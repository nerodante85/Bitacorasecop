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UJETOS" sheetId="2" state="visible" r:id="rId2"/>
    <sheet xmlns:r="http://schemas.openxmlformats.org/officeDocument/2006/relationships" name="CONTRATOS" sheetId="3" state="visible" r:id="rId3"/>
    <sheet xmlns:r="http://schemas.openxmlformats.org/officeDocument/2006/relationships" name="PARTICIPACIONES" sheetId="4" state="visible" r:id="rId4"/>
    <sheet xmlns:r="http://schemas.openxmlformats.org/officeDocument/2006/relationships" name="UNSPSC" sheetId="5" state="visible" r:id="rId5"/>
    <sheet xmlns:r="http://schemas.openxmlformats.org/officeDocument/2006/relationships" name="CANTIDADES" sheetId="6" state="visible" r:id="rId6"/>
    <sheet xmlns:r="http://schemas.openxmlformats.org/officeDocument/2006/relationships" name="RESUMEN" sheetId="7" state="visible" r:id="rId7"/>
    <sheet xmlns:r="http://schemas.openxmlformats.org/officeDocument/2006/relationships" name="LISTAS" sheetId="8" state="visible" r:id="rId8"/>
    <sheet xmlns:r="http://schemas.openxmlformats.org/officeDocument/2006/relationships" name="SMMLV" sheetId="9" state="visible" r:id="rId9"/>
    <sheet xmlns:r="http://schemas.openxmlformats.org/officeDocument/2006/relationships" name="CATALOGO_ENTIDADES" sheetId="10" state="visible" r:id="rId10"/>
  </sheets>
  <definedNames>
    <definedName name="L_TIPO_CLIENTE">LISTAS!$A$2:$A$5</definedName>
    <definedName name="L_ESTADO">LISTAS!$B$2:$B$5</definedName>
    <definedName name="L_FORMA">LISTAS!$C$2:$C$5</definedName>
    <definedName name="L_ROL">LISTAS!$D$2:$D$3</definedName>
    <definedName name="L_CERT">LISTAS!$E$2:$E$5</definedName>
    <definedName name="L_SINO">LISTAS!$F$2:$F$3</definedName>
    <definedName name="L_TIPO_SUJETO">LISTAS!$G$2:$G$3</definedName>
    <definedName name="L_CARGO">LISTAS!$H$2:$H$8</definedName>
    <definedName name="L_ESPECIALIDAD">LISTAS!$I$2:$I$23</definedName>
    <definedName name="L_ACTIVIDAD">LISTAS!$J$2:$J$8</definedName>
    <definedName name="L_UNIDAD">LISTAS!$K$2:$K$11</definedName>
    <definedName name="L_DEPARTAMENTO">LISTAS!$L$2:$L$34</definedName>
    <definedName name="L_ENTIDAD">CATALOGO_ENTIDADES!$A$2:$A$304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</font>
    <font>
      <b val="1"/>
      <sz val="12"/>
    </font>
    <font>
      <b val="1"/>
      <sz val="14"/>
    </font>
    <font>
      <i val="1"/>
      <color rgb="007F8C8D"/>
    </font>
    <font>
      <b val="1"/>
      <sz val="16"/>
    </font>
  </fonts>
  <fills count="10">
    <fill>
      <patternFill/>
    </fill>
    <fill>
      <patternFill patternType="gray125"/>
    </fill>
    <fill>
      <patternFill patternType="solid">
        <fgColor rgb="001B2631"/>
        <bgColor rgb="001B2631"/>
      </patternFill>
    </fill>
    <fill>
      <patternFill patternType="solid">
        <fgColor rgb="00FCF3CF"/>
        <bgColor rgb="00FCF3CF"/>
      </patternFill>
    </fill>
    <fill>
      <patternFill patternType="solid">
        <fgColor rgb="00C0392B"/>
        <bgColor rgb="00C0392B"/>
      </patternFill>
    </fill>
    <fill>
      <patternFill patternType="solid">
        <fgColor rgb="005D6D7E"/>
        <bgColor rgb="005D6D7E"/>
      </patternFill>
    </fill>
    <fill>
      <patternFill patternType="solid">
        <fgColor rgb="001F618D"/>
        <bgColor rgb="001F618D"/>
      </patternFill>
    </fill>
    <fill>
      <patternFill patternType="solid">
        <fgColor rgb="00EAF2F8"/>
        <bgColor rgb="00EAF2F8"/>
      </patternFill>
    </fill>
    <fill>
      <patternFill patternType="solid">
        <fgColor rgb="00D68910"/>
        <bgColor rgb="00D68910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164" fontId="0" fillId="7" borderId="0" pivotButton="0" quotePrefix="0" xfId="0"/>
    <xf numFmtId="0" fontId="1" fillId="8" borderId="1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4" fontId="0" fillId="7" borderId="0" pivotButton="0" quotePrefix="0" xfId="0"/>
    <xf numFmtId="9" fontId="0" fillId="0" borderId="0" pivotButton="0" quotePrefix="0" xfId="0"/>
    <xf numFmtId="9" fontId="0" fillId="7" borderId="0" pivotButton="0" quotePrefix="0" xfId="0"/>
    <xf numFmtId="49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1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Bitácora SECOP</author>
  </authors>
  <commentList>
    <comment ref="A1" authorId="0" shapeId="0">
      <text>
        <t>OBLIGATORIO. Código corto único. Ej.: S-001. Lo usan las participaciones.</t>
      </text>
    </comment>
    <comment ref="B1" authorId="0" shapeId="0">
      <text>
        <t>OBLIGATORIO. Empresa o Persona natural. La experiencia de una persona es PROFESIONAL; solo cuenta para una empresa si se indica en CUENTA_PARA.</t>
      </text>
    </comment>
    <comment ref="C1" authorId="0" shapeId="0">
      <text>
        <t>OBLIGATORIO. Razón social o nombre completo.</t>
      </text>
    </comment>
    <comment ref="D1" authorId="0" shapeId="0">
      <text>
        <t>OBLIGATORIO. NIT (empresa) o cédula (persona).</t>
      </text>
    </comment>
    <comment ref="E1" authorId="0" shapeId="0">
      <text>
        <t>OPCIONAL. Número de RUP (empresa) o matrícula profesional (persona).</t>
      </text>
    </comment>
    <comment ref="F1" authorId="0" shapeId="0">
      <text>
        <t>OPCIONAL. Solo para personas naturales: ID_SUJETO de la empresa a la que se le cuenta su experiencia (ej. S-003). Vacío = su experiencia es solo suya.</t>
      </text>
    </comment>
    <comment ref="G1" authorId="0" shapeId="0">
      <text>
        <t xml:space="preserve">OPCIONAL. </t>
      </text>
    </comment>
    <comment ref="H1" authorId="0" shapeId="0">
      <text>
        <t>CALCULADO (no escribir). Contratos en los que participa (cuenta las participaciones).</t>
      </text>
    </comment>
    <comment ref="I1" authorId="0" shapeId="0">
      <text>
        <t>CALCULADO (no escribir). Suma del valor actualizado participado, sin contar contratos en ejecución.</t>
      </text>
    </comment>
    <comment ref="J1" authorId="0" shapeId="0">
      <text>
        <t>CALCULADO (no escribir). Contratos propios + los de las personas cuya experiencia cuenta para este sujeto.</t>
      </text>
    </comment>
    <comment ref="K1" authorId="0" shapeId="0">
      <text>
        <t>CALCULADO (no escribir). Valor actualizado propio + el de las personas vinculadas (CUENTA_PARA). Un contrato compartido no se cuenta dos veces: cada uno aporta solo su porcentaje.</t>
      </text>
    </comment>
  </commentList>
</comments>
</file>

<file path=xl/comments/comment2.xml><?xml version="1.0" encoding="utf-8"?>
<comments xmlns="http://schemas.openxmlformats.org/spreadsheetml/2006/main">
  <authors>
    <author>Bitácora SECOP</author>
  </authors>
  <commentList>
    <comment ref="A1" authorId="0" shapeId="0">
      <text>
        <t>OBLIGATORIO. Código único del contrato. Ej.: C-0001. Es la llave: cada contrato va UNA sola vez, aunque lo hayan ejecutado varias empresas.</t>
      </text>
    </comment>
    <comment ref="B1" authorId="0" shapeId="0">
      <text>
        <t>OBLIGATORIO. Número tal como figura en el contrato. Si no tiene, escriba S/N y explíquelo en OBSERVACIONES. Sirve para detectar duplicados.</t>
      </text>
    </comment>
    <comment ref="C1" authorId="0" shapeId="0">
      <text>
        <t>OBLIGATORIO. Entidad contratante. Elija de CATALOGO_ENTIDADES; si no está, agréguela allí primero. Evita escribir "Alcaldía de Cúcuta" de cuatro maneras.</t>
      </text>
    </comment>
    <comment ref="D1" authorId="0" shapeId="0">
      <text>
        <t>OBLIGATORIO. Público, Privado, Concesionario u Otro.</t>
      </text>
    </comment>
    <comment ref="E1" authorId="0" shapeId="0">
      <text>
        <t>OBLIGATORIO. Objeto tal como figura en el contrato. El motor lo compara con los requisitos de cada pliego.</t>
      </text>
    </comment>
    <comment ref="F1" authorId="0" shapeId="0">
      <text>
        <t>OBLIGATORIO. Una especialidad de la lista. Reemplaza el nombre de la hoja de los Excel antiguos.</t>
      </text>
    </comment>
    <comment ref="G1" authorId="0" shapeId="0">
      <text>
        <t>RECOMENDADO. Construcción, mantenimiento, etc. Muchos pliegos distinguen construcción de mantenimiento.</t>
      </text>
    </comment>
    <comment ref="H1" authorId="0" shapeId="0">
      <text>
        <t>RECOMENDADO. Departamento donde se ejecutó la obra.</t>
      </text>
    </comment>
    <comment ref="I1" authorId="0" shapeId="0">
      <text>
        <t>RECOMENDADO. Municipio donde se ejecutó la obra.</t>
      </text>
    </comment>
    <comment ref="J1" authorId="0" shapeId="0">
      <text>
        <t>OPCIONAL. Fecha de firma. Formato AAAA-MM-DD o fecha de Excel.</t>
      </text>
    </comment>
    <comment ref="K1" authorId="0" shapeId="0">
      <text>
        <t>RECOMENDADO. Fecha del acta de inicio. Recomendada: algunos archivos antiguos solo traen la fecha de terminación, y ese dato basta para la mayoría de requisitos.</t>
      </text>
    </comment>
    <comment ref="L1" authorId="0" shapeId="0">
      <text>
        <t>OBLIGATORIO. Fecha de terminación real. Si está en ejecución, déjela vacía.</t>
      </text>
    </comment>
    <comment ref="M1" authorId="0" shapeId="0">
      <text>
        <t>OBLIGATORIO. En ejecución, Terminado, Liquidado o Suspendido. Un contrato en ejecución NO acredita experiencia (pero sí cuenta para la capacidad residual).</t>
      </text>
    </comment>
    <comment ref="N1" authorId="0" shapeId="0">
      <text>
        <t>OPCIONAL. Fecha del acta de liquidación, si existe.</t>
      </text>
    </comment>
    <comment ref="O1" authorId="0" shapeId="0">
      <text>
        <t>OPCIONAL. Valor al firmar, en pesos.</t>
      </text>
    </comment>
    <comment ref="P1" authorId="0" shapeId="0">
      <text>
        <t>OBLIGATORIO. Valor TOTAL del contrato en pesos, con adiciones. Solo el número, sin $ ni texto.</t>
      </text>
    </comment>
    <comment ref="Q1" authorId="0" shapeId="0">
      <text>
        <t>RECOMENDADO. Obligatorio si está en ejecución: valor ya ejecutado. Con él se calcula el saldo que descuenta la capacidad residual.</t>
      </text>
    </comment>
    <comment ref="R1" authorId="0" shapeId="0">
      <text>
        <t>OPCIONAL. Número de la fila de este contrato en el RUP.</t>
      </text>
    </comment>
    <comment ref="S1" authorId="0" shapeId="0">
      <text>
        <t>RECOMENDADO. Nombre del documento que lo respalda (certificación, acta de liquidación). No pegue rutas de su computador.</t>
      </text>
    </comment>
    <comment ref="T1" authorId="0" shapeId="0">
      <text>
        <t xml:space="preserve">OPCIONAL. </t>
      </text>
    </comment>
    <comment ref="U1" authorId="0" shapeId="0">
      <text>
        <t>OPCIONAL. Notas libres: discrepancias entre archivos, trámites pendientes.</t>
      </text>
    </comment>
    <comment ref="V1" authorId="0" shapeId="0">
      <text>
        <t>RECOMENDADO. De dónde salió el dato: archivo, hoja y fila del Excel original. Permite volver a verificar.</t>
      </text>
    </comment>
    <comment ref="W1" authorId="0" shapeId="0">
      <text>
        <t>CALCULADO (no escribir). (Fecha de terminación − fecha de inicio) / 30,4375.</t>
      </text>
    </comment>
    <comment ref="X1" authorId="0" shapeId="0">
      <text>
        <t>CALCULADO (no escribir). Año de terminación. Si está en ejecución queda vacío: no se convierte a SMMLV.</t>
      </text>
    </comment>
    <comment ref="Y1" authorId="0" shapeId="0">
      <text>
        <t>CALCULADO (no escribir). Salario mínimo del año de terminación (hoja SMMLV).</t>
      </text>
    </comment>
    <comment ref="Z1" authorId="0" shapeId="0">
      <text>
        <t>CALCULADO (no escribir). VALOR_CONTRATO / SMMLV del año de terminación.</t>
      </text>
    </comment>
    <comment ref="AA1" authorId="0" shapeId="0">
      <text>
        <t>CALCULADO (no escribir). VALOR_EN_SMMLV × SMMLV del año de referencia (hoja SMMLV, celda E2). Es el valor del contrato completo, no el participado.</t>
      </text>
    </comment>
    <comment ref="AB1" authorId="0" shapeId="0">
      <text>
        <t>CALCULADO (no escribir). Solo contratos en ejecución: VALOR_CONTRATO − VALOR_EJECUTADO. Alimenta la capacidad residual (SCE).</t>
      </text>
    </comment>
    <comment ref="AC1" authorId="0" shapeId="0">
      <text>
        <t>CALCULADO (no escribir). Qué falta o está inconsistente en este contrato.</t>
      </text>
    </comment>
  </commentList>
</comments>
</file>

<file path=xl/comments/comment3.xml><?xml version="1.0" encoding="utf-8"?>
<comments xmlns="http://schemas.openxmlformats.org/spreadsheetml/2006/main">
  <authors>
    <author>Bitácora SECOP</author>
  </authors>
  <commentList>
    <comment ref="A1" authorId="0" shapeId="0">
      <text>
        <t>OBLIGATORIO. Contrato (de la hoja CONTRATOS).</t>
      </text>
    </comment>
    <comment ref="B1" authorId="0" shapeId="0">
      <text>
        <t>OBLIGATORIO. Empresa o persona que participó (de la hoja SUJETOS).</t>
      </text>
    </comment>
    <comment ref="C1" authorId="0" shapeId="0">
      <text>
        <t>OBLIGATORIO. Individual, Consorcio, Unión temporal u Otra.</t>
      </text>
    </comment>
    <comment ref="D1" authorId="0" shapeId="0">
      <text>
        <t>RECOMENDADO. Nombre del consorcio o unión temporal. Ej.: Unión Temporal María Inmaculada.</t>
      </text>
    </comment>
    <comment ref="E1" authorId="0" shapeId="0">
      <text>
        <t>OBLIGATORIO. Participación de este sujeto en el contrato (0 % a 100 %). Si es individual, 100 %. Se descuentan los porcentajes: los pliegos pagan por la parte ejecutada.</t>
      </text>
    </comment>
    <comment ref="F1" authorId="0" shapeId="0">
      <text>
        <t>OPCIONAL. Líder o Integrante.</t>
      </text>
    </comment>
    <comment ref="G1" authorId="0" shapeId="0">
      <text>
        <t>OPCIONAL. Solo personas naturales: cargo que desempeñó (director, residente...). Sirve para experiencia del equipo de trabajo.</t>
      </text>
    </comment>
    <comment ref="H1" authorId="0" shapeId="0">
      <text>
        <t>RECOMENDADO. ¿Hay certificación del contrato? Sí / Solicitada / Pendiente / No.</t>
      </text>
    </comment>
    <comment ref="I1" authorId="0" shapeId="0">
      <text>
        <t>RECOMENDADO. ¿Está inscrito en el RUP?</t>
      </text>
    </comment>
    <comment ref="J1" authorId="0" shapeId="0">
      <text>
        <t>OPCIONAL. Documento que acredita ESTA participación (certificación con el porcentaje).</t>
      </text>
    </comment>
    <comment ref="K1" authorId="0" shapeId="0">
      <text>
        <t>CALCULADO (no escribir). VALOR_CONTRATO × PORCENTAJE.</t>
      </text>
    </comment>
    <comment ref="L1" authorId="0" shapeId="0">
      <text>
        <t>CALCULADO (no escribir). VALOR_EN_SMMLV × PORCENTAJE.</t>
      </text>
    </comment>
    <comment ref="M1" authorId="0" shapeId="0">
      <text>
        <t>CALCULADO (no escribir). VALOR_ACTUALIZADO × PORCENTAJE: lo que cuenta como experiencia de este sujeto, a pesos del año de referencia.</t>
      </text>
    </comment>
    <comment ref="N1" authorId="0" shapeId="0">
      <text>
        <t>CALCULADO (no escribir). Suma de los porcentajes registrados para el contrato. Debe ser ≤ 100 %.</t>
      </text>
    </comment>
    <comment ref="O1" authorId="0" shapeId="0">
      <text>
        <t>CALCULADO (no escribir). Se trae del contrato.</t>
      </text>
    </comment>
    <comment ref="P1" authorId="0" shapeId="0">
      <text>
        <t>CALCULADO (no escribir). Se trae del contrato.</t>
      </text>
    </comment>
    <comment ref="Q1" authorId="0" shapeId="0">
      <text>
        <t>CALCULADO (no escribir). Qué revisar en esta participación.</t>
      </text>
    </comment>
    <comment ref="R1" authorId="0" shapeId="0">
      <text>
        <t>CALCULADO (no escribir). Si el sujeto es una persona vinculada (CUENTA_PARA), la empresa a la que se le cuenta; si no, el mismo sujeto.</t>
      </text>
    </comment>
  </commentList>
</comments>
</file>

<file path=xl/comments/comment4.xml><?xml version="1.0" encoding="utf-8"?>
<comments xmlns="http://schemas.openxmlformats.org/spreadsheetml/2006/main">
  <authors>
    <author>Bitácora SECOP</author>
  </authors>
  <commentList>
    <comment ref="A1" authorId="0" shapeId="0">
      <text>
        <t>OBLIGATORIO. Contrato (de la hoja CONTRATOS).</t>
      </text>
    </comment>
    <comment ref="B1" authorId="0" shapeId="0">
      <text>
        <t>OBLIGATORIO. Código de 8 dígitos (ej. 72141100). UNA fila por código; no los pegue juntos en una celda.</t>
      </text>
    </comment>
    <comment ref="C1" authorId="0" shapeId="0">
      <text>
        <t>OPCIONAL. Nombre del código.</t>
      </text>
    </comment>
    <comment ref="D1" authorId="0" shapeId="0">
      <text>
        <t>CALCULADO (no escribir). Primeros 2 dígitos (ej. 72 = construcción).</t>
      </text>
    </comment>
    <comment ref="E1" authorId="0" shapeId="0">
      <text>
        <t>CALCULADO (no escribir). Primeros 4 dígitos.</t>
      </text>
    </comment>
  </commentList>
</comments>
</file>

<file path=xl/comments/comment5.xml><?xml version="1.0" encoding="utf-8"?>
<comments xmlns="http://schemas.openxmlformats.org/spreadsheetml/2006/main">
  <authors>
    <author>Bitácora SECOP</author>
  </authors>
  <commentList>
    <comment ref="A1" authorId="0" shapeId="0">
      <text>
        <t>OBLIGATORIO. Contrato (de la hoja CONTRATOS).</t>
      </text>
    </comment>
    <comment ref="B1" authorId="0" shapeId="0">
      <text>
        <t>OBLIGATORIO. Concepto de obra. Ej.: Pavimento asfáltico, Tubería PVC Ø 16", Excavación.</t>
      </text>
    </comment>
    <comment ref="C1" authorId="0" shapeId="0">
      <text>
        <t>OBLIGATORIO. Cantidad ejecutada (número).</t>
      </text>
    </comment>
    <comment ref="D1" authorId="0" shapeId="0">
      <text>
        <t>OBLIGATORIO. Unidad de la lista (m, m², m³, ml, un...).</t>
      </text>
    </comment>
    <comment ref="E1" authorId="0" shapeId="0">
      <text>
        <t xml:space="preserve">OPCIONAL.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B2631"/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10" customWidth="1" min="3" max="3"/>
  </cols>
  <sheetData>
    <row r="1">
      <c r="B1" s="1" t="inlineStr">
        <is>
          <t>Formato Maestro de Experiencia — Bitácora SECOP (v1)</t>
        </is>
      </c>
    </row>
    <row r="2" ht="32" customHeight="1">
      <c r="B2" s="2" t="inlineStr">
        <is>
          <t>Un solo formato para registrar la experiencia de empresas y de personas, sin perder información y listo para alimentar el análisis de pliegos.</t>
        </is>
      </c>
    </row>
    <row r="4">
      <c r="B4" s="3" t="inlineStr">
        <is>
          <t>Cómo está organizado</t>
        </is>
      </c>
      <c r="C4" s="2" t="inlineStr"/>
    </row>
    <row r="5">
      <c r="B5" s="4" t="inlineStr">
        <is>
          <t>SUJETOS</t>
        </is>
      </c>
      <c r="C5" s="2" t="inlineStr">
        <is>
          <t>Quién tiene la experiencia: una empresa o una persona natural. Un registro por sujeto.</t>
        </is>
      </c>
    </row>
    <row r="6">
      <c r="B6" s="4" t="inlineStr">
        <is>
          <t>CONTRATOS</t>
        </is>
      </c>
      <c r="C6" s="2" t="inlineStr">
        <is>
          <t>Cada contrato UNA sola vez, aunque lo hayan ejecutado varias empresas en consorcio o unión temporal.</t>
        </is>
      </c>
    </row>
    <row r="7">
      <c r="B7" s="4" t="inlineStr">
        <is>
          <t>PARTICIPACIONES</t>
        </is>
      </c>
      <c r="C7" s="2" t="inlineStr">
        <is>
          <t>Qué parte del contrato le corresponde a cada sujeto (porcentaje, forma de ejecución, cargo). Aquí se evita repetir el contrato por empresa.</t>
        </is>
      </c>
    </row>
    <row r="8">
      <c r="B8" s="4" t="inlineStr">
        <is>
          <t>UNSPSC</t>
        </is>
      </c>
      <c r="C8" s="2" t="inlineStr">
        <is>
          <t>Los códigos UNSPSC de cada contrato, uno por fila.</t>
        </is>
      </c>
    </row>
    <row r="9">
      <c r="B9" s="4" t="inlineStr">
        <is>
          <t>CANTIDADES</t>
        </is>
      </c>
      <c r="C9" s="2" t="inlineStr">
        <is>
          <t>Cantidades principales de obra (m², ml, m³...) cuando un pliego las pide.</t>
        </is>
      </c>
    </row>
    <row r="10">
      <c r="B10" s="4" t="inlineStr">
        <is>
          <t>RESUMEN</t>
        </is>
      </c>
      <c r="C10" s="2" t="inlineStr">
        <is>
          <t>Total de experiencia por especialidad para un sujeto (sin contratos en ejecución).</t>
        </is>
      </c>
    </row>
    <row r="11">
      <c r="B11" s="4" t="inlineStr">
        <is>
          <t>LISTAS · SMMLV · CATALOGO_ENTIDADES</t>
        </is>
      </c>
      <c r="C11" s="2" t="inlineStr">
        <is>
          <t>Valores permitidos, salario mínimo por año y nombres únicos de entidades. Aquí se agregan opciones nuevas.</t>
        </is>
      </c>
    </row>
    <row r="12">
      <c r="B12" s="2" t="inlineStr"/>
      <c r="C12" s="2" t="inlineStr"/>
    </row>
    <row r="13">
      <c r="B13" s="3" t="inlineStr">
        <is>
          <t>Colores de los encabezados</t>
        </is>
      </c>
      <c r="C13" s="2" t="inlineStr"/>
    </row>
    <row r="14">
      <c r="B14" s="5" t="inlineStr">
        <is>
          <t>Rojo — OBLIGATORIO</t>
        </is>
      </c>
      <c r="C14" s="2" t="inlineStr">
        <is>
          <t>Sin este dato el contrato no puede analizarse. La celda se marca en rosa si falta.</t>
        </is>
      </c>
    </row>
    <row r="15">
      <c r="B15" s="6" t="inlineStr">
        <is>
          <t>Naranja — RECOMENDADO</t>
        </is>
      </c>
      <c r="C15" s="2" t="inlineStr">
        <is>
          <t>Mejora el análisis (por ejemplo, el departamento o el soporte).</t>
        </is>
      </c>
    </row>
    <row r="16">
      <c r="B16" s="7" t="inlineStr">
        <is>
          <t>Gris — OPCIONAL</t>
        </is>
      </c>
      <c r="C16" s="2" t="inlineStr">
        <is>
          <t>Información útil pero que ningún requisito exige normalmente.</t>
        </is>
      </c>
    </row>
    <row r="17">
      <c r="B17" s="8" t="inlineStr">
        <is>
          <t>Azul — CALCULADO</t>
        </is>
      </c>
      <c r="C17" s="2" t="inlineStr">
        <is>
          <t>No se escribe: lo calcula el libro (plazo, SMMLV, valor actualizado, saldo, alertas).</t>
        </is>
      </c>
    </row>
    <row r="18">
      <c r="B18" s="2" t="inlineStr"/>
      <c r="C18" s="2" t="inlineStr"/>
    </row>
    <row r="19">
      <c r="B19" s="3" t="inlineStr">
        <is>
          <t>Reglas</t>
        </is>
      </c>
      <c r="C19" s="2" t="inlineStr"/>
    </row>
    <row r="20">
      <c r="B20" s="4" t="inlineStr">
        <is>
          <t>1. Un contrato, una fila</t>
        </is>
      </c>
      <c r="C20" s="2" t="inlineStr">
        <is>
          <t>Si dos archivos traen el mismo contrato con porcentajes distintos, es el mismo contrato: se registra una vez en CONTRATOS y dos veces en PARTICIPACIONES.</t>
        </is>
      </c>
    </row>
    <row r="21">
      <c r="B21" s="4" t="inlineStr">
        <is>
          <t>2. Solo números en los valores</t>
        </is>
      </c>
      <c r="C21" s="2" t="inlineStr">
        <is>
          <t>Pesos sin "$" ni puntos de texto (use el formato de celda). Porcentajes de 0 % a 100 %. Fechas como fechas (AAAA-MM-DD), nunca como texto ("En Ejecución" va en ESTADO).</t>
        </is>
      </c>
    </row>
    <row r="22">
      <c r="B22" s="4" t="inlineStr">
        <is>
          <t>3. Persona ≠ empresa</t>
        </is>
      </c>
      <c r="C22" s="2" t="inlineStr">
        <is>
          <t>La experiencia profesional de una persona se registra a su nombre y no se suma a la de la empresa, salvo que usted lo decida.</t>
        </is>
      </c>
    </row>
    <row r="23">
      <c r="B23" s="4" t="inlineStr">
        <is>
          <t>4. Contrato en ejecución</t>
        </is>
      </c>
      <c r="C23" s="2" t="inlineStr">
        <is>
          <t>No acredita experiencia. Se registra con su valor ejecutado: el saldo alimenta la Capacidad Residual de Bitácora.</t>
        </is>
      </c>
    </row>
    <row r="24">
      <c r="B24" s="4" t="inlineStr">
        <is>
          <t>5. Valor actualizado</t>
        </is>
      </c>
      <c r="C24" s="2" t="inlineStr">
        <is>
          <t>Se calcula con el SMMLV del año de terminación y el del año de referencia (hoja SMMLV, celda E2). Verifique los años marcados "por verificar".</t>
        </is>
      </c>
    </row>
    <row r="25">
      <c r="B25" s="4" t="inlineStr">
        <is>
          <t>6. Entidades</t>
        </is>
      </c>
      <c r="C25" s="2" t="inlineStr">
        <is>
          <t>Use siempre el nombre del catálogo. "Gobernación de Santander" y "Gobernación de Norte de Santander" son entidades distintas: no las unifique.</t>
        </is>
      </c>
    </row>
    <row r="26">
      <c r="B26" s="4" t="inlineStr">
        <is>
          <t>7. Personas vinculadas</t>
        </is>
      </c>
      <c r="C26" s="2" t="inlineStr">
        <is>
          <t>Si la experiencia de una persona natural cuenta para una empresa (por ejemplo, su representante o socio), escriba en CUENTA_PARA de esa persona el ID de la empresa. El RESUMEN y las columnas "CON_VINCULADOS" de SUJETOS la suman; en RESUMEN puede apagar la opción.</t>
        </is>
      </c>
    </row>
    <row r="27">
      <c r="B27" s="4" t="inlineStr">
        <is>
          <t>8. Trazabilidad</t>
        </is>
      </c>
      <c r="C27" s="2" t="inlineStr">
        <is>
          <t>Anote en ORIGEN el archivo, hoja y fila de donde salió cada contrato, para poder revisarlo contra el original.</t>
        </is>
      </c>
    </row>
    <row r="28">
      <c r="B28" s="2" t="inlineStr"/>
      <c r="C28" s="2" t="inlineStr"/>
    </row>
    <row r="29">
      <c r="B29" s="4" t="inlineStr">
        <is>
          <t>Datos de ejemplo</t>
        </is>
      </c>
      <c r="C29" s="2" t="inlineStr">
        <is>
          <t>Las filas 2 a 4 de cada hoja son ejemplos FICTICIOS (borrar o reemplazar antes de usar).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18D"/>
    <outlinePr summaryBelow="1" summaryRight="1"/>
    <pageSetUpPr/>
  </sheetPr>
  <dimension ref="A1:K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8" customWidth="1" min="4" max="4"/>
    <col width="22" customWidth="1" min="5" max="5"/>
    <col width="14" customWidth="1" min="6" max="6"/>
    <col width="30" customWidth="1" min="7" max="7"/>
    <col width="12" customWidth="1" min="8" max="8"/>
    <col width="24" customWidth="1" min="9" max="9"/>
    <col width="16" customWidth="1" min="10" max="10"/>
    <col width="26" customWidth="1" min="11" max="11"/>
  </cols>
  <sheetData>
    <row r="1" ht="42" customHeight="1">
      <c r="A1" s="9" t="inlineStr">
        <is>
          <t>ID_SUJETO</t>
        </is>
      </c>
      <c r="B1" s="9" t="inlineStr">
        <is>
          <t>TIPO</t>
        </is>
      </c>
      <c r="C1" s="9" t="inlineStr">
        <is>
          <t>NOMBRE</t>
        </is>
      </c>
      <c r="D1" s="9" t="inlineStr">
        <is>
          <t>DOCUMENTO</t>
        </is>
      </c>
      <c r="E1" s="10" t="inlineStr">
        <is>
          <t>REGISTRO</t>
        </is>
      </c>
      <c r="F1" s="10" t="inlineStr">
        <is>
          <t>CUENTA_PARA</t>
        </is>
      </c>
      <c r="G1" s="10" t="inlineStr">
        <is>
          <t>OBSERVACIONES</t>
        </is>
      </c>
      <c r="H1" s="11" t="inlineStr">
        <is>
          <t>N_CONTRATOS</t>
        </is>
      </c>
      <c r="I1" s="11" t="inlineStr">
        <is>
          <t>VALOR_ACTUALIZADO_TOTAL</t>
        </is>
      </c>
      <c r="J1" s="11" t="inlineStr">
        <is>
          <t>N_CONTRATOS_CON_VINCULADOS</t>
        </is>
      </c>
      <c r="K1" s="11" t="inlineStr">
        <is>
          <t>VALOR_ACTUALIZADO_CON_VINCULADOS</t>
        </is>
      </c>
    </row>
    <row r="2">
      <c r="A2" t="inlineStr">
        <is>
          <t>S-001</t>
        </is>
      </c>
      <c r="B2" t="inlineStr">
        <is>
          <t>Empresa</t>
        </is>
      </c>
      <c r="C2" t="inlineStr">
        <is>
          <t>CONSTRUCTORA EJEMPLO S.A.S.</t>
        </is>
      </c>
      <c r="D2" t="inlineStr">
        <is>
          <t>900.000.001-1</t>
        </is>
      </c>
      <c r="E2" t="inlineStr">
        <is>
          <t>RUP 0001</t>
        </is>
      </c>
      <c r="F2" t="inlineStr"/>
      <c r="G2" t="inlineStr">
        <is>
          <t>Ejemplo ficticio</t>
        </is>
      </c>
      <c r="H2" s="12">
        <f>IF(A2="","",COUNTIF(PARTICIPACIONES!$B$2:$B$601,A2))</f>
        <v/>
      </c>
      <c r="I2" s="13">
        <f>IF(A2="","",SUMIFS(PARTICIPACIONES!$M$2:$M$601,PARTICIPACIONES!$B$2:$B$601,A2,PARTICIPACIONES!$P$2:$P$601,"&lt;&gt;En ejecución"))</f>
        <v/>
      </c>
      <c r="J2" s="12">
        <f>IF(A2="","",H2+SUMIF($F$2:$F$601,A2,$H$2:$H$601))</f>
        <v/>
      </c>
      <c r="K2" s="13">
        <f>IF(A2="","",I2+SUMIF($F$2:$F$601,A2,$I$2:$I$601))</f>
        <v/>
      </c>
    </row>
    <row r="3">
      <c r="A3" t="inlineStr">
        <is>
          <t>S-002</t>
        </is>
      </c>
      <c r="B3" t="inlineStr">
        <is>
          <t>Persona natural</t>
        </is>
      </c>
      <c r="C3" t="inlineStr">
        <is>
          <t>María Ejemplo Pérez</t>
        </is>
      </c>
      <c r="D3" t="inlineStr">
        <is>
          <t>1.000.000.001</t>
        </is>
      </c>
      <c r="E3" t="inlineStr">
        <is>
          <t>Mat. prof. 00-0001</t>
        </is>
      </c>
      <c r="F3" t="inlineStr">
        <is>
          <t>S-001</t>
        </is>
      </c>
      <c r="G3" t="inlineStr">
        <is>
          <t>Ejemplo ficticio: ingeniera vinculada a la empresa; su experiencia cuenta para S-001</t>
        </is>
      </c>
      <c r="H3" s="12">
        <f>IF(A3="","",COUNTIF(PARTICIPACIONES!$B$2:$B$601,A3))</f>
        <v/>
      </c>
      <c r="I3" s="13">
        <f>IF(A3="","",SUMIFS(PARTICIPACIONES!$M$2:$M$601,PARTICIPACIONES!$B$2:$B$601,A3,PARTICIPACIONES!$P$2:$P$601,"&lt;&gt;En ejecución"))</f>
        <v/>
      </c>
      <c r="J3" s="12">
        <f>IF(A3="","",H3+SUMIF($F$2:$F$601,A3,$H$2:$H$601))</f>
        <v/>
      </c>
      <c r="K3" s="13">
        <f>IF(A3="","",I3+SUMIF($F$2:$F$601,A3,$I$2:$I$601))</f>
        <v/>
      </c>
    </row>
    <row r="4">
      <c r="A4" t="inlineStr">
        <is>
          <t>S-003</t>
        </is>
      </c>
      <c r="B4" t="inlineStr">
        <is>
          <t>Empresa</t>
        </is>
      </c>
      <c r="C4" t="inlineStr">
        <is>
          <t>INGENIERÍA DE MUESTRA LTDA.</t>
        </is>
      </c>
      <c r="D4" t="inlineStr">
        <is>
          <t>900.000.002-2</t>
        </is>
      </c>
      <c r="E4" t="inlineStr">
        <is>
          <t>RUP 0002</t>
        </is>
      </c>
      <c r="F4" t="inlineStr"/>
      <c r="G4" t="inlineStr">
        <is>
          <t>Ejemplo ficticio</t>
        </is>
      </c>
      <c r="H4" s="12">
        <f>IF(A4="","",COUNTIF(PARTICIPACIONES!$B$2:$B$601,A4))</f>
        <v/>
      </c>
      <c r="I4" s="13">
        <f>IF(A4="","",SUMIFS(PARTICIPACIONES!$M$2:$M$601,PARTICIPACIONES!$B$2:$B$601,A4,PARTICIPACIONES!$P$2:$P$601,"&lt;&gt;En ejecución"))</f>
        <v/>
      </c>
      <c r="J4" s="12">
        <f>IF(A4="","",H4+SUMIF($F$2:$F$601,A4,$H$2:$H$601))</f>
        <v/>
      </c>
      <c r="K4" s="13">
        <f>IF(A4="","",I4+SUMIF($F$2:$F$601,A4,$I$2:$I$601))</f>
        <v/>
      </c>
    </row>
    <row r="5">
      <c r="H5" s="12">
        <f>IF(A5="","",COUNTIF(PARTICIPACIONES!$B$2:$B$601,A5))</f>
        <v/>
      </c>
      <c r="I5" s="13">
        <f>IF(A5="","",SUMIFS(PARTICIPACIONES!$M$2:$M$601,PARTICIPACIONES!$B$2:$B$601,A5,PARTICIPACIONES!$P$2:$P$601,"&lt;&gt;En ejecución"))</f>
        <v/>
      </c>
      <c r="J5" s="12">
        <f>IF(A5="","",H5+SUMIF($F$2:$F$601,A5,$H$2:$H$601))</f>
        <v/>
      </c>
      <c r="K5" s="13">
        <f>IF(A5="","",I5+SUMIF($F$2:$F$601,A5,$I$2:$I$601))</f>
        <v/>
      </c>
    </row>
    <row r="6">
      <c r="H6" s="12">
        <f>IF(A6="","",COUNTIF(PARTICIPACIONES!$B$2:$B$601,A6))</f>
        <v/>
      </c>
      <c r="I6" s="13">
        <f>IF(A6="","",SUMIFS(PARTICIPACIONES!$M$2:$M$601,PARTICIPACIONES!$B$2:$B$601,A6,PARTICIPACIONES!$P$2:$P$601,"&lt;&gt;En ejecución"))</f>
        <v/>
      </c>
      <c r="J6" s="12">
        <f>IF(A6="","",H6+SUMIF($F$2:$F$601,A6,$H$2:$H$601))</f>
        <v/>
      </c>
      <c r="K6" s="13">
        <f>IF(A6="","",I6+SUMIF($F$2:$F$601,A6,$I$2:$I$601))</f>
        <v/>
      </c>
    </row>
    <row r="7">
      <c r="H7" s="12">
        <f>IF(A7="","",COUNTIF(PARTICIPACIONES!$B$2:$B$601,A7))</f>
        <v/>
      </c>
      <c r="I7" s="13">
        <f>IF(A7="","",SUMIFS(PARTICIPACIONES!$M$2:$M$601,PARTICIPACIONES!$B$2:$B$601,A7,PARTICIPACIONES!$P$2:$P$601,"&lt;&gt;En ejecución"))</f>
        <v/>
      </c>
      <c r="J7" s="12">
        <f>IF(A7="","",H7+SUMIF($F$2:$F$601,A7,$H$2:$H$601))</f>
        <v/>
      </c>
      <c r="K7" s="13">
        <f>IF(A7="","",I7+SUMIF($F$2:$F$601,A7,$I$2:$I$601))</f>
        <v/>
      </c>
    </row>
    <row r="8">
      <c r="H8" s="12">
        <f>IF(A8="","",COUNTIF(PARTICIPACIONES!$B$2:$B$601,A8))</f>
        <v/>
      </c>
      <c r="I8" s="13">
        <f>IF(A8="","",SUMIFS(PARTICIPACIONES!$M$2:$M$601,PARTICIPACIONES!$B$2:$B$601,A8,PARTICIPACIONES!$P$2:$P$601,"&lt;&gt;En ejecución"))</f>
        <v/>
      </c>
      <c r="J8" s="12">
        <f>IF(A8="","",H8+SUMIF($F$2:$F$601,A8,$H$2:$H$601))</f>
        <v/>
      </c>
      <c r="K8" s="13">
        <f>IF(A8="","",I8+SUMIF($F$2:$F$601,A8,$I$2:$I$601))</f>
        <v/>
      </c>
    </row>
    <row r="9">
      <c r="H9" s="12">
        <f>IF(A9="","",COUNTIF(PARTICIPACIONES!$B$2:$B$601,A9))</f>
        <v/>
      </c>
      <c r="I9" s="13">
        <f>IF(A9="","",SUMIFS(PARTICIPACIONES!$M$2:$M$601,PARTICIPACIONES!$B$2:$B$601,A9,PARTICIPACIONES!$P$2:$P$601,"&lt;&gt;En ejecución"))</f>
        <v/>
      </c>
      <c r="J9" s="12">
        <f>IF(A9="","",H9+SUMIF($F$2:$F$601,A9,$H$2:$H$601))</f>
        <v/>
      </c>
      <c r="K9" s="13">
        <f>IF(A9="","",I9+SUMIF($F$2:$F$601,A9,$I$2:$I$601))</f>
        <v/>
      </c>
    </row>
    <row r="10">
      <c r="H10" s="12">
        <f>IF(A10="","",COUNTIF(PARTICIPACIONES!$B$2:$B$601,A10))</f>
        <v/>
      </c>
      <c r="I10" s="13">
        <f>IF(A10="","",SUMIFS(PARTICIPACIONES!$M$2:$M$601,PARTICIPACIONES!$B$2:$B$601,A10,PARTICIPACIONES!$P$2:$P$601,"&lt;&gt;En ejecución"))</f>
        <v/>
      </c>
      <c r="J10" s="12">
        <f>IF(A10="","",H10+SUMIF($F$2:$F$601,A10,$H$2:$H$601))</f>
        <v/>
      </c>
      <c r="K10" s="13">
        <f>IF(A10="","",I10+SUMIF($F$2:$F$601,A10,$I$2:$I$601))</f>
        <v/>
      </c>
    </row>
    <row r="11">
      <c r="H11" s="12">
        <f>IF(A11="","",COUNTIF(PARTICIPACIONES!$B$2:$B$601,A11))</f>
        <v/>
      </c>
      <c r="I11" s="13">
        <f>IF(A11="","",SUMIFS(PARTICIPACIONES!$M$2:$M$601,PARTICIPACIONES!$B$2:$B$601,A11,PARTICIPACIONES!$P$2:$P$601,"&lt;&gt;En ejecución"))</f>
        <v/>
      </c>
      <c r="J11" s="12">
        <f>IF(A11="","",H11+SUMIF($F$2:$F$601,A11,$H$2:$H$601))</f>
        <v/>
      </c>
      <c r="K11" s="13">
        <f>IF(A11="","",I11+SUMIF($F$2:$F$601,A11,$I$2:$I$601))</f>
        <v/>
      </c>
    </row>
    <row r="12">
      <c r="H12" s="12">
        <f>IF(A12="","",COUNTIF(PARTICIPACIONES!$B$2:$B$601,A12))</f>
        <v/>
      </c>
      <c r="I12" s="13">
        <f>IF(A12="","",SUMIFS(PARTICIPACIONES!$M$2:$M$601,PARTICIPACIONES!$B$2:$B$601,A12,PARTICIPACIONES!$P$2:$P$601,"&lt;&gt;En ejecución"))</f>
        <v/>
      </c>
      <c r="J12" s="12">
        <f>IF(A12="","",H12+SUMIF($F$2:$F$601,A12,$H$2:$H$601))</f>
        <v/>
      </c>
      <c r="K12" s="13">
        <f>IF(A12="","",I12+SUMIF($F$2:$F$601,A12,$I$2:$I$601))</f>
        <v/>
      </c>
    </row>
    <row r="13">
      <c r="H13" s="12">
        <f>IF(A13="","",COUNTIF(PARTICIPACIONES!$B$2:$B$601,A13))</f>
        <v/>
      </c>
      <c r="I13" s="13">
        <f>IF(A13="","",SUMIFS(PARTICIPACIONES!$M$2:$M$601,PARTICIPACIONES!$B$2:$B$601,A13,PARTICIPACIONES!$P$2:$P$601,"&lt;&gt;En ejecución"))</f>
        <v/>
      </c>
      <c r="J13" s="12">
        <f>IF(A13="","",H13+SUMIF($F$2:$F$601,A13,$H$2:$H$601))</f>
        <v/>
      </c>
      <c r="K13" s="13">
        <f>IF(A13="","",I13+SUMIF($F$2:$F$601,A13,$I$2:$I$601))</f>
        <v/>
      </c>
    </row>
    <row r="14">
      <c r="H14" s="12">
        <f>IF(A14="","",COUNTIF(PARTICIPACIONES!$B$2:$B$601,A14))</f>
        <v/>
      </c>
      <c r="I14" s="13">
        <f>IF(A14="","",SUMIFS(PARTICIPACIONES!$M$2:$M$601,PARTICIPACIONES!$B$2:$B$601,A14,PARTICIPACIONES!$P$2:$P$601,"&lt;&gt;En ejecución"))</f>
        <v/>
      </c>
      <c r="J14" s="12">
        <f>IF(A14="","",H14+SUMIF($F$2:$F$601,A14,$H$2:$H$601))</f>
        <v/>
      </c>
      <c r="K14" s="13">
        <f>IF(A14="","",I14+SUMIF($F$2:$F$601,A14,$I$2:$I$601))</f>
        <v/>
      </c>
    </row>
    <row r="15">
      <c r="H15" s="12">
        <f>IF(A15="","",COUNTIF(PARTICIPACIONES!$B$2:$B$601,A15))</f>
        <v/>
      </c>
      <c r="I15" s="13">
        <f>IF(A15="","",SUMIFS(PARTICIPACIONES!$M$2:$M$601,PARTICIPACIONES!$B$2:$B$601,A15,PARTICIPACIONES!$P$2:$P$601,"&lt;&gt;En ejecución"))</f>
        <v/>
      </c>
      <c r="J15" s="12">
        <f>IF(A15="","",H15+SUMIF($F$2:$F$601,A15,$H$2:$H$601))</f>
        <v/>
      </c>
      <c r="K15" s="13">
        <f>IF(A15="","",I15+SUMIF($F$2:$F$601,A15,$I$2:$I$601))</f>
        <v/>
      </c>
    </row>
    <row r="16">
      <c r="H16" s="12">
        <f>IF(A16="","",COUNTIF(PARTICIPACIONES!$B$2:$B$601,A16))</f>
        <v/>
      </c>
      <c r="I16" s="13">
        <f>IF(A16="","",SUMIFS(PARTICIPACIONES!$M$2:$M$601,PARTICIPACIONES!$B$2:$B$601,A16,PARTICIPACIONES!$P$2:$P$601,"&lt;&gt;En ejecución"))</f>
        <v/>
      </c>
      <c r="J16" s="12">
        <f>IF(A16="","",H16+SUMIF($F$2:$F$601,A16,$H$2:$H$601))</f>
        <v/>
      </c>
      <c r="K16" s="13">
        <f>IF(A16="","",I16+SUMIF($F$2:$F$601,A16,$I$2:$I$601))</f>
        <v/>
      </c>
    </row>
    <row r="17">
      <c r="H17" s="12">
        <f>IF(A17="","",COUNTIF(PARTICIPACIONES!$B$2:$B$601,A17))</f>
        <v/>
      </c>
      <c r="I17" s="13">
        <f>IF(A17="","",SUMIFS(PARTICIPACIONES!$M$2:$M$601,PARTICIPACIONES!$B$2:$B$601,A17,PARTICIPACIONES!$P$2:$P$601,"&lt;&gt;En ejecución"))</f>
        <v/>
      </c>
      <c r="J17" s="12">
        <f>IF(A17="","",H17+SUMIF($F$2:$F$601,A17,$H$2:$H$601))</f>
        <v/>
      </c>
      <c r="K17" s="13">
        <f>IF(A17="","",I17+SUMIF($F$2:$F$601,A17,$I$2:$I$601))</f>
        <v/>
      </c>
    </row>
    <row r="18">
      <c r="H18" s="12">
        <f>IF(A18="","",COUNTIF(PARTICIPACIONES!$B$2:$B$601,A18))</f>
        <v/>
      </c>
      <c r="I18" s="13">
        <f>IF(A18="","",SUMIFS(PARTICIPACIONES!$M$2:$M$601,PARTICIPACIONES!$B$2:$B$601,A18,PARTICIPACIONES!$P$2:$P$601,"&lt;&gt;En ejecución"))</f>
        <v/>
      </c>
      <c r="J18" s="12">
        <f>IF(A18="","",H18+SUMIF($F$2:$F$601,A18,$H$2:$H$601))</f>
        <v/>
      </c>
      <c r="K18" s="13">
        <f>IF(A18="","",I18+SUMIF($F$2:$F$601,A18,$I$2:$I$601))</f>
        <v/>
      </c>
    </row>
    <row r="19">
      <c r="H19" s="12">
        <f>IF(A19="","",COUNTIF(PARTICIPACIONES!$B$2:$B$601,A19))</f>
        <v/>
      </c>
      <c r="I19" s="13">
        <f>IF(A19="","",SUMIFS(PARTICIPACIONES!$M$2:$M$601,PARTICIPACIONES!$B$2:$B$601,A19,PARTICIPACIONES!$P$2:$P$601,"&lt;&gt;En ejecución"))</f>
        <v/>
      </c>
      <c r="J19" s="12">
        <f>IF(A19="","",H19+SUMIF($F$2:$F$601,A19,$H$2:$H$601))</f>
        <v/>
      </c>
      <c r="K19" s="13">
        <f>IF(A19="","",I19+SUMIF($F$2:$F$601,A19,$I$2:$I$601))</f>
        <v/>
      </c>
    </row>
    <row r="20">
      <c r="H20" s="12">
        <f>IF(A20="","",COUNTIF(PARTICIPACIONES!$B$2:$B$601,A20))</f>
        <v/>
      </c>
      <c r="I20" s="13">
        <f>IF(A20="","",SUMIFS(PARTICIPACIONES!$M$2:$M$601,PARTICIPACIONES!$B$2:$B$601,A20,PARTICIPACIONES!$P$2:$P$601,"&lt;&gt;En ejecución"))</f>
        <v/>
      </c>
      <c r="J20" s="12">
        <f>IF(A20="","",H20+SUMIF($F$2:$F$601,A20,$H$2:$H$601))</f>
        <v/>
      </c>
      <c r="K20" s="13">
        <f>IF(A20="","",I20+SUMIF($F$2:$F$601,A20,$I$2:$I$601))</f>
        <v/>
      </c>
    </row>
    <row r="21">
      <c r="H21" s="12">
        <f>IF(A21="","",COUNTIF(PARTICIPACIONES!$B$2:$B$601,A21))</f>
        <v/>
      </c>
      <c r="I21" s="13">
        <f>IF(A21="","",SUMIFS(PARTICIPACIONES!$M$2:$M$601,PARTICIPACIONES!$B$2:$B$601,A21,PARTICIPACIONES!$P$2:$P$601,"&lt;&gt;En ejecución"))</f>
        <v/>
      </c>
      <c r="J21" s="12">
        <f>IF(A21="","",H21+SUMIF($F$2:$F$601,A21,$H$2:$H$601))</f>
        <v/>
      </c>
      <c r="K21" s="13">
        <f>IF(A21="","",I21+SUMIF($F$2:$F$601,A21,$I$2:$I$601))</f>
        <v/>
      </c>
    </row>
    <row r="22">
      <c r="H22" s="12">
        <f>IF(A22="","",COUNTIF(PARTICIPACIONES!$B$2:$B$601,A22))</f>
        <v/>
      </c>
      <c r="I22" s="13">
        <f>IF(A22="","",SUMIFS(PARTICIPACIONES!$M$2:$M$601,PARTICIPACIONES!$B$2:$B$601,A22,PARTICIPACIONES!$P$2:$P$601,"&lt;&gt;En ejecución"))</f>
        <v/>
      </c>
      <c r="J22" s="12">
        <f>IF(A22="","",H22+SUMIF($F$2:$F$601,A22,$H$2:$H$601))</f>
        <v/>
      </c>
      <c r="K22" s="13">
        <f>IF(A22="","",I22+SUMIF($F$2:$F$601,A22,$I$2:$I$601))</f>
        <v/>
      </c>
    </row>
    <row r="23">
      <c r="H23" s="12">
        <f>IF(A23="","",COUNTIF(PARTICIPACIONES!$B$2:$B$601,A23))</f>
        <v/>
      </c>
      <c r="I23" s="13">
        <f>IF(A23="","",SUMIFS(PARTICIPACIONES!$M$2:$M$601,PARTICIPACIONES!$B$2:$B$601,A23,PARTICIPACIONES!$P$2:$P$601,"&lt;&gt;En ejecución"))</f>
        <v/>
      </c>
      <c r="J23" s="12">
        <f>IF(A23="","",H23+SUMIF($F$2:$F$601,A23,$H$2:$H$601))</f>
        <v/>
      </c>
      <c r="K23" s="13">
        <f>IF(A23="","",I23+SUMIF($F$2:$F$601,A23,$I$2:$I$601))</f>
        <v/>
      </c>
    </row>
    <row r="24">
      <c r="H24" s="12">
        <f>IF(A24="","",COUNTIF(PARTICIPACIONES!$B$2:$B$601,A24))</f>
        <v/>
      </c>
      <c r="I24" s="13">
        <f>IF(A24="","",SUMIFS(PARTICIPACIONES!$M$2:$M$601,PARTICIPACIONES!$B$2:$B$601,A24,PARTICIPACIONES!$P$2:$P$601,"&lt;&gt;En ejecución"))</f>
        <v/>
      </c>
      <c r="J24" s="12">
        <f>IF(A24="","",H24+SUMIF($F$2:$F$601,A24,$H$2:$H$601))</f>
        <v/>
      </c>
      <c r="K24" s="13">
        <f>IF(A24="","",I24+SUMIF($F$2:$F$601,A24,$I$2:$I$601))</f>
        <v/>
      </c>
    </row>
    <row r="25">
      <c r="H25" s="12">
        <f>IF(A25="","",COUNTIF(PARTICIPACIONES!$B$2:$B$601,A25))</f>
        <v/>
      </c>
      <c r="I25" s="13">
        <f>IF(A25="","",SUMIFS(PARTICIPACIONES!$M$2:$M$601,PARTICIPACIONES!$B$2:$B$601,A25,PARTICIPACIONES!$P$2:$P$601,"&lt;&gt;En ejecución"))</f>
        <v/>
      </c>
      <c r="J25" s="12">
        <f>IF(A25="","",H25+SUMIF($F$2:$F$601,A25,$H$2:$H$601))</f>
        <v/>
      </c>
      <c r="K25" s="13">
        <f>IF(A25="","",I25+SUMIF($F$2:$F$601,A25,$I$2:$I$601))</f>
        <v/>
      </c>
    </row>
    <row r="26">
      <c r="H26" s="12">
        <f>IF(A26="","",COUNTIF(PARTICIPACIONES!$B$2:$B$601,A26))</f>
        <v/>
      </c>
      <c r="I26" s="13">
        <f>IF(A26="","",SUMIFS(PARTICIPACIONES!$M$2:$M$601,PARTICIPACIONES!$B$2:$B$601,A26,PARTICIPACIONES!$P$2:$P$601,"&lt;&gt;En ejecución"))</f>
        <v/>
      </c>
      <c r="J26" s="12">
        <f>IF(A26="","",H26+SUMIF($F$2:$F$601,A26,$H$2:$H$601))</f>
        <v/>
      </c>
      <c r="K26" s="13">
        <f>IF(A26="","",I26+SUMIF($F$2:$F$601,A26,$I$2:$I$601))</f>
        <v/>
      </c>
    </row>
    <row r="27">
      <c r="H27" s="12">
        <f>IF(A27="","",COUNTIF(PARTICIPACIONES!$B$2:$B$601,A27))</f>
        <v/>
      </c>
      <c r="I27" s="13">
        <f>IF(A27="","",SUMIFS(PARTICIPACIONES!$M$2:$M$601,PARTICIPACIONES!$B$2:$B$601,A27,PARTICIPACIONES!$P$2:$P$601,"&lt;&gt;En ejecución"))</f>
        <v/>
      </c>
      <c r="J27" s="12">
        <f>IF(A27="","",H27+SUMIF($F$2:$F$601,A27,$H$2:$H$601))</f>
        <v/>
      </c>
      <c r="K27" s="13">
        <f>IF(A27="","",I27+SUMIF($F$2:$F$601,A27,$I$2:$I$601))</f>
        <v/>
      </c>
    </row>
    <row r="28">
      <c r="H28" s="12">
        <f>IF(A28="","",COUNTIF(PARTICIPACIONES!$B$2:$B$601,A28))</f>
        <v/>
      </c>
      <c r="I28" s="13">
        <f>IF(A28="","",SUMIFS(PARTICIPACIONES!$M$2:$M$601,PARTICIPACIONES!$B$2:$B$601,A28,PARTICIPACIONES!$P$2:$P$601,"&lt;&gt;En ejecución"))</f>
        <v/>
      </c>
      <c r="J28" s="12">
        <f>IF(A28="","",H28+SUMIF($F$2:$F$601,A28,$H$2:$H$601))</f>
        <v/>
      </c>
      <c r="K28" s="13">
        <f>IF(A28="","",I28+SUMIF($F$2:$F$601,A28,$I$2:$I$601))</f>
        <v/>
      </c>
    </row>
    <row r="29">
      <c r="H29" s="12">
        <f>IF(A29="","",COUNTIF(PARTICIPACIONES!$B$2:$B$601,A29))</f>
        <v/>
      </c>
      <c r="I29" s="13">
        <f>IF(A29="","",SUMIFS(PARTICIPACIONES!$M$2:$M$601,PARTICIPACIONES!$B$2:$B$601,A29,PARTICIPACIONES!$P$2:$P$601,"&lt;&gt;En ejecución"))</f>
        <v/>
      </c>
      <c r="J29" s="12">
        <f>IF(A29="","",H29+SUMIF($F$2:$F$601,A29,$H$2:$H$601))</f>
        <v/>
      </c>
      <c r="K29" s="13">
        <f>IF(A29="","",I29+SUMIF($F$2:$F$601,A29,$I$2:$I$601))</f>
        <v/>
      </c>
    </row>
    <row r="30">
      <c r="H30" s="12">
        <f>IF(A30="","",COUNTIF(PARTICIPACIONES!$B$2:$B$601,A30))</f>
        <v/>
      </c>
      <c r="I30" s="13">
        <f>IF(A30="","",SUMIFS(PARTICIPACIONES!$M$2:$M$601,PARTICIPACIONES!$B$2:$B$601,A30,PARTICIPACIONES!$P$2:$P$601,"&lt;&gt;En ejecución"))</f>
        <v/>
      </c>
      <c r="J30" s="12">
        <f>IF(A30="","",H30+SUMIF($F$2:$F$601,A30,$H$2:$H$601))</f>
        <v/>
      </c>
      <c r="K30" s="13">
        <f>IF(A30="","",I30+SUMIF($F$2:$F$601,A30,$I$2:$I$601))</f>
        <v/>
      </c>
    </row>
    <row r="31">
      <c r="H31" s="12">
        <f>IF(A31="","",COUNTIF(PARTICIPACIONES!$B$2:$B$601,A31))</f>
        <v/>
      </c>
      <c r="I31" s="13">
        <f>IF(A31="","",SUMIFS(PARTICIPACIONES!$M$2:$M$601,PARTICIPACIONES!$B$2:$B$601,A31,PARTICIPACIONES!$P$2:$P$601,"&lt;&gt;En ejecución"))</f>
        <v/>
      </c>
      <c r="J31" s="12">
        <f>IF(A31="","",H31+SUMIF($F$2:$F$601,A31,$H$2:$H$601))</f>
        <v/>
      </c>
      <c r="K31" s="13">
        <f>IF(A31="","",I31+SUMIF($F$2:$F$601,A31,$I$2:$I$601))</f>
        <v/>
      </c>
    </row>
    <row r="32">
      <c r="H32" s="12">
        <f>IF(A32="","",COUNTIF(PARTICIPACIONES!$B$2:$B$601,A32))</f>
        <v/>
      </c>
      <c r="I32" s="13">
        <f>IF(A32="","",SUMIFS(PARTICIPACIONES!$M$2:$M$601,PARTICIPACIONES!$B$2:$B$601,A32,PARTICIPACIONES!$P$2:$P$601,"&lt;&gt;En ejecución"))</f>
        <v/>
      </c>
      <c r="J32" s="12">
        <f>IF(A32="","",H32+SUMIF($F$2:$F$601,A32,$H$2:$H$601))</f>
        <v/>
      </c>
      <c r="K32" s="13">
        <f>IF(A32="","",I32+SUMIF($F$2:$F$601,A32,$I$2:$I$601))</f>
        <v/>
      </c>
    </row>
    <row r="33">
      <c r="H33" s="12">
        <f>IF(A33="","",COUNTIF(PARTICIPACIONES!$B$2:$B$601,A33))</f>
        <v/>
      </c>
      <c r="I33" s="13">
        <f>IF(A33="","",SUMIFS(PARTICIPACIONES!$M$2:$M$601,PARTICIPACIONES!$B$2:$B$601,A33,PARTICIPACIONES!$P$2:$P$601,"&lt;&gt;En ejecución"))</f>
        <v/>
      </c>
      <c r="J33" s="12">
        <f>IF(A33="","",H33+SUMIF($F$2:$F$601,A33,$H$2:$H$601))</f>
        <v/>
      </c>
      <c r="K33" s="13">
        <f>IF(A33="","",I33+SUMIF($F$2:$F$601,A33,$I$2:$I$601))</f>
        <v/>
      </c>
    </row>
    <row r="34">
      <c r="H34" s="12">
        <f>IF(A34="","",COUNTIF(PARTICIPACIONES!$B$2:$B$601,A34))</f>
        <v/>
      </c>
      <c r="I34" s="13">
        <f>IF(A34="","",SUMIFS(PARTICIPACIONES!$M$2:$M$601,PARTICIPACIONES!$B$2:$B$601,A34,PARTICIPACIONES!$P$2:$P$601,"&lt;&gt;En ejecución"))</f>
        <v/>
      </c>
      <c r="J34" s="12">
        <f>IF(A34="","",H34+SUMIF($F$2:$F$601,A34,$H$2:$H$601))</f>
        <v/>
      </c>
      <c r="K34" s="13">
        <f>IF(A34="","",I34+SUMIF($F$2:$F$601,A34,$I$2:$I$601))</f>
        <v/>
      </c>
    </row>
    <row r="35">
      <c r="H35" s="12">
        <f>IF(A35="","",COUNTIF(PARTICIPACIONES!$B$2:$B$601,A35))</f>
        <v/>
      </c>
      <c r="I35" s="13">
        <f>IF(A35="","",SUMIFS(PARTICIPACIONES!$M$2:$M$601,PARTICIPACIONES!$B$2:$B$601,A35,PARTICIPACIONES!$P$2:$P$601,"&lt;&gt;En ejecución"))</f>
        <v/>
      </c>
      <c r="J35" s="12">
        <f>IF(A35="","",H35+SUMIF($F$2:$F$601,A35,$H$2:$H$601))</f>
        <v/>
      </c>
      <c r="K35" s="13">
        <f>IF(A35="","",I35+SUMIF($F$2:$F$601,A35,$I$2:$I$601))</f>
        <v/>
      </c>
    </row>
    <row r="36">
      <c r="H36" s="12">
        <f>IF(A36="","",COUNTIF(PARTICIPACIONES!$B$2:$B$601,A36))</f>
        <v/>
      </c>
      <c r="I36" s="13">
        <f>IF(A36="","",SUMIFS(PARTICIPACIONES!$M$2:$M$601,PARTICIPACIONES!$B$2:$B$601,A36,PARTICIPACIONES!$P$2:$P$601,"&lt;&gt;En ejecución"))</f>
        <v/>
      </c>
      <c r="J36" s="12">
        <f>IF(A36="","",H36+SUMIF($F$2:$F$601,A36,$H$2:$H$601))</f>
        <v/>
      </c>
      <c r="K36" s="13">
        <f>IF(A36="","",I36+SUMIF($F$2:$F$601,A36,$I$2:$I$601))</f>
        <v/>
      </c>
    </row>
    <row r="37">
      <c r="H37" s="12">
        <f>IF(A37="","",COUNTIF(PARTICIPACIONES!$B$2:$B$601,A37))</f>
        <v/>
      </c>
      <c r="I37" s="13">
        <f>IF(A37="","",SUMIFS(PARTICIPACIONES!$M$2:$M$601,PARTICIPACIONES!$B$2:$B$601,A37,PARTICIPACIONES!$P$2:$P$601,"&lt;&gt;En ejecución"))</f>
        <v/>
      </c>
      <c r="J37" s="12">
        <f>IF(A37="","",H37+SUMIF($F$2:$F$601,A37,$H$2:$H$601))</f>
        <v/>
      </c>
      <c r="K37" s="13">
        <f>IF(A37="","",I37+SUMIF($F$2:$F$601,A37,$I$2:$I$601))</f>
        <v/>
      </c>
    </row>
    <row r="38">
      <c r="H38" s="12">
        <f>IF(A38="","",COUNTIF(PARTICIPACIONES!$B$2:$B$601,A38))</f>
        <v/>
      </c>
      <c r="I38" s="13">
        <f>IF(A38="","",SUMIFS(PARTICIPACIONES!$M$2:$M$601,PARTICIPACIONES!$B$2:$B$601,A38,PARTICIPACIONES!$P$2:$P$601,"&lt;&gt;En ejecución"))</f>
        <v/>
      </c>
      <c r="J38" s="12">
        <f>IF(A38="","",H38+SUMIF($F$2:$F$601,A38,$H$2:$H$601))</f>
        <v/>
      </c>
      <c r="K38" s="13">
        <f>IF(A38="","",I38+SUMIF($F$2:$F$601,A38,$I$2:$I$601))</f>
        <v/>
      </c>
    </row>
    <row r="39">
      <c r="H39" s="12">
        <f>IF(A39="","",COUNTIF(PARTICIPACIONES!$B$2:$B$601,A39))</f>
        <v/>
      </c>
      <c r="I39" s="13">
        <f>IF(A39="","",SUMIFS(PARTICIPACIONES!$M$2:$M$601,PARTICIPACIONES!$B$2:$B$601,A39,PARTICIPACIONES!$P$2:$P$601,"&lt;&gt;En ejecución"))</f>
        <v/>
      </c>
      <c r="J39" s="12">
        <f>IF(A39="","",H39+SUMIF($F$2:$F$601,A39,$H$2:$H$601))</f>
        <v/>
      </c>
      <c r="K39" s="13">
        <f>IF(A39="","",I39+SUMIF($F$2:$F$601,A39,$I$2:$I$601))</f>
        <v/>
      </c>
    </row>
    <row r="40">
      <c r="H40" s="12">
        <f>IF(A40="","",COUNTIF(PARTICIPACIONES!$B$2:$B$601,A40))</f>
        <v/>
      </c>
      <c r="I40" s="13">
        <f>IF(A40="","",SUMIFS(PARTICIPACIONES!$M$2:$M$601,PARTICIPACIONES!$B$2:$B$601,A40,PARTICIPACIONES!$P$2:$P$601,"&lt;&gt;En ejecución"))</f>
        <v/>
      </c>
      <c r="J40" s="12">
        <f>IF(A40="","",H40+SUMIF($F$2:$F$601,A40,$H$2:$H$601))</f>
        <v/>
      </c>
      <c r="K40" s="13">
        <f>IF(A40="","",I40+SUMIF($F$2:$F$601,A40,$I$2:$I$601))</f>
        <v/>
      </c>
    </row>
    <row r="41">
      <c r="H41" s="12">
        <f>IF(A41="","",COUNTIF(PARTICIPACIONES!$B$2:$B$601,A41))</f>
        <v/>
      </c>
      <c r="I41" s="13">
        <f>IF(A41="","",SUMIFS(PARTICIPACIONES!$M$2:$M$601,PARTICIPACIONES!$B$2:$B$601,A41,PARTICIPACIONES!$P$2:$P$601,"&lt;&gt;En ejecución"))</f>
        <v/>
      </c>
      <c r="J41" s="12">
        <f>IF(A41="","",H41+SUMIF($F$2:$F$601,A41,$H$2:$H$601))</f>
        <v/>
      </c>
      <c r="K41" s="13">
        <f>IF(A41="","",I41+SUMIF($F$2:$F$601,A41,$I$2:$I$601))</f>
        <v/>
      </c>
    </row>
    <row r="42">
      <c r="H42" s="12">
        <f>IF(A42="","",COUNTIF(PARTICIPACIONES!$B$2:$B$601,A42))</f>
        <v/>
      </c>
      <c r="I42" s="13">
        <f>IF(A42="","",SUMIFS(PARTICIPACIONES!$M$2:$M$601,PARTICIPACIONES!$B$2:$B$601,A42,PARTICIPACIONES!$P$2:$P$601,"&lt;&gt;En ejecución"))</f>
        <v/>
      </c>
      <c r="J42" s="12">
        <f>IF(A42="","",H42+SUMIF($F$2:$F$601,A42,$H$2:$H$601))</f>
        <v/>
      </c>
      <c r="K42" s="13">
        <f>IF(A42="","",I42+SUMIF($F$2:$F$601,A42,$I$2:$I$601))</f>
        <v/>
      </c>
    </row>
    <row r="43">
      <c r="H43" s="12">
        <f>IF(A43="","",COUNTIF(PARTICIPACIONES!$B$2:$B$601,A43))</f>
        <v/>
      </c>
      <c r="I43" s="13">
        <f>IF(A43="","",SUMIFS(PARTICIPACIONES!$M$2:$M$601,PARTICIPACIONES!$B$2:$B$601,A43,PARTICIPACIONES!$P$2:$P$601,"&lt;&gt;En ejecución"))</f>
        <v/>
      </c>
      <c r="J43" s="12">
        <f>IF(A43="","",H43+SUMIF($F$2:$F$601,A43,$H$2:$H$601))</f>
        <v/>
      </c>
      <c r="K43" s="13">
        <f>IF(A43="","",I43+SUMIF($F$2:$F$601,A43,$I$2:$I$601))</f>
        <v/>
      </c>
    </row>
    <row r="44">
      <c r="H44" s="12">
        <f>IF(A44="","",COUNTIF(PARTICIPACIONES!$B$2:$B$601,A44))</f>
        <v/>
      </c>
      <c r="I44" s="13">
        <f>IF(A44="","",SUMIFS(PARTICIPACIONES!$M$2:$M$601,PARTICIPACIONES!$B$2:$B$601,A44,PARTICIPACIONES!$P$2:$P$601,"&lt;&gt;En ejecución"))</f>
        <v/>
      </c>
      <c r="J44" s="12">
        <f>IF(A44="","",H44+SUMIF($F$2:$F$601,A44,$H$2:$H$601))</f>
        <v/>
      </c>
      <c r="K44" s="13">
        <f>IF(A44="","",I44+SUMIF($F$2:$F$601,A44,$I$2:$I$601))</f>
        <v/>
      </c>
    </row>
    <row r="45">
      <c r="H45" s="12">
        <f>IF(A45="","",COUNTIF(PARTICIPACIONES!$B$2:$B$601,A45))</f>
        <v/>
      </c>
      <c r="I45" s="13">
        <f>IF(A45="","",SUMIFS(PARTICIPACIONES!$M$2:$M$601,PARTICIPACIONES!$B$2:$B$601,A45,PARTICIPACIONES!$P$2:$P$601,"&lt;&gt;En ejecución"))</f>
        <v/>
      </c>
      <c r="J45" s="12">
        <f>IF(A45="","",H45+SUMIF($F$2:$F$601,A45,$H$2:$H$601))</f>
        <v/>
      </c>
      <c r="K45" s="13">
        <f>IF(A45="","",I45+SUMIF($F$2:$F$601,A45,$I$2:$I$601))</f>
        <v/>
      </c>
    </row>
    <row r="46">
      <c r="H46" s="12">
        <f>IF(A46="","",COUNTIF(PARTICIPACIONES!$B$2:$B$601,A46))</f>
        <v/>
      </c>
      <c r="I46" s="13">
        <f>IF(A46="","",SUMIFS(PARTICIPACIONES!$M$2:$M$601,PARTICIPACIONES!$B$2:$B$601,A46,PARTICIPACIONES!$P$2:$P$601,"&lt;&gt;En ejecución"))</f>
        <v/>
      </c>
      <c r="J46" s="12">
        <f>IF(A46="","",H46+SUMIF($F$2:$F$601,A46,$H$2:$H$601))</f>
        <v/>
      </c>
      <c r="K46" s="13">
        <f>IF(A46="","",I46+SUMIF($F$2:$F$601,A46,$I$2:$I$601))</f>
        <v/>
      </c>
    </row>
    <row r="47">
      <c r="H47" s="12">
        <f>IF(A47="","",COUNTIF(PARTICIPACIONES!$B$2:$B$601,A47))</f>
        <v/>
      </c>
      <c r="I47" s="13">
        <f>IF(A47="","",SUMIFS(PARTICIPACIONES!$M$2:$M$601,PARTICIPACIONES!$B$2:$B$601,A47,PARTICIPACIONES!$P$2:$P$601,"&lt;&gt;En ejecución"))</f>
        <v/>
      </c>
      <c r="J47" s="12">
        <f>IF(A47="","",H47+SUMIF($F$2:$F$601,A47,$H$2:$H$601))</f>
        <v/>
      </c>
      <c r="K47" s="13">
        <f>IF(A47="","",I47+SUMIF($F$2:$F$601,A47,$I$2:$I$601))</f>
        <v/>
      </c>
    </row>
    <row r="48">
      <c r="H48" s="12">
        <f>IF(A48="","",COUNTIF(PARTICIPACIONES!$B$2:$B$601,A48))</f>
        <v/>
      </c>
      <c r="I48" s="13">
        <f>IF(A48="","",SUMIFS(PARTICIPACIONES!$M$2:$M$601,PARTICIPACIONES!$B$2:$B$601,A48,PARTICIPACIONES!$P$2:$P$601,"&lt;&gt;En ejecución"))</f>
        <v/>
      </c>
      <c r="J48" s="12">
        <f>IF(A48="","",H48+SUMIF($F$2:$F$601,A48,$H$2:$H$601))</f>
        <v/>
      </c>
      <c r="K48" s="13">
        <f>IF(A48="","",I48+SUMIF($F$2:$F$601,A48,$I$2:$I$601))</f>
        <v/>
      </c>
    </row>
    <row r="49">
      <c r="H49" s="12">
        <f>IF(A49="","",COUNTIF(PARTICIPACIONES!$B$2:$B$601,A49))</f>
        <v/>
      </c>
      <c r="I49" s="13">
        <f>IF(A49="","",SUMIFS(PARTICIPACIONES!$M$2:$M$601,PARTICIPACIONES!$B$2:$B$601,A49,PARTICIPACIONES!$P$2:$P$601,"&lt;&gt;En ejecución"))</f>
        <v/>
      </c>
      <c r="J49" s="12">
        <f>IF(A49="","",H49+SUMIF($F$2:$F$601,A49,$H$2:$H$601))</f>
        <v/>
      </c>
      <c r="K49" s="13">
        <f>IF(A49="","",I49+SUMIF($F$2:$F$601,A49,$I$2:$I$601))</f>
        <v/>
      </c>
    </row>
    <row r="50">
      <c r="H50" s="12">
        <f>IF(A50="","",COUNTIF(PARTICIPACIONES!$B$2:$B$601,A50))</f>
        <v/>
      </c>
      <c r="I50" s="13">
        <f>IF(A50="","",SUMIFS(PARTICIPACIONES!$M$2:$M$601,PARTICIPACIONES!$B$2:$B$601,A50,PARTICIPACIONES!$P$2:$P$601,"&lt;&gt;En ejecución"))</f>
        <v/>
      </c>
      <c r="J50" s="12">
        <f>IF(A50="","",H50+SUMIF($F$2:$F$601,A50,$H$2:$H$601))</f>
        <v/>
      </c>
      <c r="K50" s="13">
        <f>IF(A50="","",I50+SUMIF($F$2:$F$601,A50,$I$2:$I$601))</f>
        <v/>
      </c>
    </row>
    <row r="51">
      <c r="H51" s="12">
        <f>IF(A51="","",COUNTIF(PARTICIPACIONES!$B$2:$B$601,A51))</f>
        <v/>
      </c>
      <c r="I51" s="13">
        <f>IF(A51="","",SUMIFS(PARTICIPACIONES!$M$2:$M$601,PARTICIPACIONES!$B$2:$B$601,A51,PARTICIPACIONES!$P$2:$P$601,"&lt;&gt;En ejecución"))</f>
        <v/>
      </c>
      <c r="J51" s="12">
        <f>IF(A51="","",H51+SUMIF($F$2:$F$601,A51,$H$2:$H$601))</f>
        <v/>
      </c>
      <c r="K51" s="13">
        <f>IF(A51="","",I51+SUMIF($F$2:$F$601,A51,$I$2:$I$601))</f>
        <v/>
      </c>
    </row>
    <row r="52">
      <c r="H52" s="12">
        <f>IF(A52="","",COUNTIF(PARTICIPACIONES!$B$2:$B$601,A52))</f>
        <v/>
      </c>
      <c r="I52" s="13">
        <f>IF(A52="","",SUMIFS(PARTICIPACIONES!$M$2:$M$601,PARTICIPACIONES!$B$2:$B$601,A52,PARTICIPACIONES!$P$2:$P$601,"&lt;&gt;En ejecución"))</f>
        <v/>
      </c>
      <c r="J52" s="12">
        <f>IF(A52="","",H52+SUMIF($F$2:$F$601,A52,$H$2:$H$601))</f>
        <v/>
      </c>
      <c r="K52" s="13">
        <f>IF(A52="","",I52+SUMIF($F$2:$F$601,A52,$I$2:$I$601))</f>
        <v/>
      </c>
    </row>
    <row r="53">
      <c r="H53" s="12">
        <f>IF(A53="","",COUNTIF(PARTICIPACIONES!$B$2:$B$601,A53))</f>
        <v/>
      </c>
      <c r="I53" s="13">
        <f>IF(A53="","",SUMIFS(PARTICIPACIONES!$M$2:$M$601,PARTICIPACIONES!$B$2:$B$601,A53,PARTICIPACIONES!$P$2:$P$601,"&lt;&gt;En ejecución"))</f>
        <v/>
      </c>
      <c r="J53" s="12">
        <f>IF(A53="","",H53+SUMIF($F$2:$F$601,A53,$H$2:$H$601))</f>
        <v/>
      </c>
      <c r="K53" s="13">
        <f>IF(A53="","",I53+SUMIF($F$2:$F$601,A53,$I$2:$I$601))</f>
        <v/>
      </c>
    </row>
    <row r="54">
      <c r="H54" s="12">
        <f>IF(A54="","",COUNTIF(PARTICIPACIONES!$B$2:$B$601,A54))</f>
        <v/>
      </c>
      <c r="I54" s="13">
        <f>IF(A54="","",SUMIFS(PARTICIPACIONES!$M$2:$M$601,PARTICIPACIONES!$B$2:$B$601,A54,PARTICIPACIONES!$P$2:$P$601,"&lt;&gt;En ejecución"))</f>
        <v/>
      </c>
      <c r="J54" s="12">
        <f>IF(A54="","",H54+SUMIF($F$2:$F$601,A54,$H$2:$H$601))</f>
        <v/>
      </c>
      <c r="K54" s="13">
        <f>IF(A54="","",I54+SUMIF($F$2:$F$601,A54,$I$2:$I$601))</f>
        <v/>
      </c>
    </row>
    <row r="55">
      <c r="H55" s="12">
        <f>IF(A55="","",COUNTIF(PARTICIPACIONES!$B$2:$B$601,A55))</f>
        <v/>
      </c>
      <c r="I55" s="13">
        <f>IF(A55="","",SUMIFS(PARTICIPACIONES!$M$2:$M$601,PARTICIPACIONES!$B$2:$B$601,A55,PARTICIPACIONES!$P$2:$P$601,"&lt;&gt;En ejecución"))</f>
        <v/>
      </c>
      <c r="J55" s="12">
        <f>IF(A55="","",H55+SUMIF($F$2:$F$601,A55,$H$2:$H$601))</f>
        <v/>
      </c>
      <c r="K55" s="13">
        <f>IF(A55="","",I55+SUMIF($F$2:$F$601,A55,$I$2:$I$601))</f>
        <v/>
      </c>
    </row>
    <row r="56">
      <c r="H56" s="12">
        <f>IF(A56="","",COUNTIF(PARTICIPACIONES!$B$2:$B$601,A56))</f>
        <v/>
      </c>
      <c r="I56" s="13">
        <f>IF(A56="","",SUMIFS(PARTICIPACIONES!$M$2:$M$601,PARTICIPACIONES!$B$2:$B$601,A56,PARTICIPACIONES!$P$2:$P$601,"&lt;&gt;En ejecución"))</f>
        <v/>
      </c>
      <c r="J56" s="12">
        <f>IF(A56="","",H56+SUMIF($F$2:$F$601,A56,$H$2:$H$601))</f>
        <v/>
      </c>
      <c r="K56" s="13">
        <f>IF(A56="","",I56+SUMIF($F$2:$F$601,A56,$I$2:$I$601))</f>
        <v/>
      </c>
    </row>
    <row r="57">
      <c r="H57" s="12">
        <f>IF(A57="","",COUNTIF(PARTICIPACIONES!$B$2:$B$601,A57))</f>
        <v/>
      </c>
      <c r="I57" s="13">
        <f>IF(A57="","",SUMIFS(PARTICIPACIONES!$M$2:$M$601,PARTICIPACIONES!$B$2:$B$601,A57,PARTICIPACIONES!$P$2:$P$601,"&lt;&gt;En ejecución"))</f>
        <v/>
      </c>
      <c r="J57" s="12">
        <f>IF(A57="","",H57+SUMIF($F$2:$F$601,A57,$H$2:$H$601))</f>
        <v/>
      </c>
      <c r="K57" s="13">
        <f>IF(A57="","",I57+SUMIF($F$2:$F$601,A57,$I$2:$I$601))</f>
        <v/>
      </c>
    </row>
    <row r="58">
      <c r="H58" s="12">
        <f>IF(A58="","",COUNTIF(PARTICIPACIONES!$B$2:$B$601,A58))</f>
        <v/>
      </c>
      <c r="I58" s="13">
        <f>IF(A58="","",SUMIFS(PARTICIPACIONES!$M$2:$M$601,PARTICIPACIONES!$B$2:$B$601,A58,PARTICIPACIONES!$P$2:$P$601,"&lt;&gt;En ejecución"))</f>
        <v/>
      </c>
      <c r="J58" s="12">
        <f>IF(A58="","",H58+SUMIF($F$2:$F$601,A58,$H$2:$H$601))</f>
        <v/>
      </c>
      <c r="K58" s="13">
        <f>IF(A58="","",I58+SUMIF($F$2:$F$601,A58,$I$2:$I$601))</f>
        <v/>
      </c>
    </row>
    <row r="59">
      <c r="H59" s="12">
        <f>IF(A59="","",COUNTIF(PARTICIPACIONES!$B$2:$B$601,A59))</f>
        <v/>
      </c>
      <c r="I59" s="13">
        <f>IF(A59="","",SUMIFS(PARTICIPACIONES!$M$2:$M$601,PARTICIPACIONES!$B$2:$B$601,A59,PARTICIPACIONES!$P$2:$P$601,"&lt;&gt;En ejecución"))</f>
        <v/>
      </c>
      <c r="J59" s="12">
        <f>IF(A59="","",H59+SUMIF($F$2:$F$601,A59,$H$2:$H$601))</f>
        <v/>
      </c>
      <c r="K59" s="13">
        <f>IF(A59="","",I59+SUMIF($F$2:$F$601,A59,$I$2:$I$601))</f>
        <v/>
      </c>
    </row>
    <row r="60">
      <c r="H60" s="12">
        <f>IF(A60="","",COUNTIF(PARTICIPACIONES!$B$2:$B$601,A60))</f>
        <v/>
      </c>
      <c r="I60" s="13">
        <f>IF(A60="","",SUMIFS(PARTICIPACIONES!$M$2:$M$601,PARTICIPACIONES!$B$2:$B$601,A60,PARTICIPACIONES!$P$2:$P$601,"&lt;&gt;En ejecución"))</f>
        <v/>
      </c>
      <c r="J60" s="12">
        <f>IF(A60="","",H60+SUMIF($F$2:$F$601,A60,$H$2:$H$601))</f>
        <v/>
      </c>
      <c r="K60" s="13">
        <f>IF(A60="","",I60+SUMIF($F$2:$F$601,A60,$I$2:$I$601))</f>
        <v/>
      </c>
    </row>
    <row r="61">
      <c r="H61" s="12">
        <f>IF(A61="","",COUNTIF(PARTICIPACIONES!$B$2:$B$601,A61))</f>
        <v/>
      </c>
      <c r="I61" s="13">
        <f>IF(A61="","",SUMIFS(PARTICIPACIONES!$M$2:$M$601,PARTICIPACIONES!$B$2:$B$601,A61,PARTICIPACIONES!$P$2:$P$601,"&lt;&gt;En ejecución"))</f>
        <v/>
      </c>
      <c r="J61" s="12">
        <f>IF(A61="","",H61+SUMIF($F$2:$F$601,A61,$H$2:$H$601))</f>
        <v/>
      </c>
      <c r="K61" s="13">
        <f>IF(A61="","",I61+SUMIF($F$2:$F$601,A61,$I$2:$I$601))</f>
        <v/>
      </c>
    </row>
    <row r="62">
      <c r="H62" s="12">
        <f>IF(A62="","",COUNTIF(PARTICIPACIONES!$B$2:$B$601,A62))</f>
        <v/>
      </c>
      <c r="I62" s="13">
        <f>IF(A62="","",SUMIFS(PARTICIPACIONES!$M$2:$M$601,PARTICIPACIONES!$B$2:$B$601,A62,PARTICIPACIONES!$P$2:$P$601,"&lt;&gt;En ejecución"))</f>
        <v/>
      </c>
      <c r="J62" s="12">
        <f>IF(A62="","",H62+SUMIF($F$2:$F$601,A62,$H$2:$H$601))</f>
        <v/>
      </c>
      <c r="K62" s="13">
        <f>IF(A62="","",I62+SUMIF($F$2:$F$601,A62,$I$2:$I$601))</f>
        <v/>
      </c>
    </row>
    <row r="63">
      <c r="H63" s="12">
        <f>IF(A63="","",COUNTIF(PARTICIPACIONES!$B$2:$B$601,A63))</f>
        <v/>
      </c>
      <c r="I63" s="13">
        <f>IF(A63="","",SUMIFS(PARTICIPACIONES!$M$2:$M$601,PARTICIPACIONES!$B$2:$B$601,A63,PARTICIPACIONES!$P$2:$P$601,"&lt;&gt;En ejecución"))</f>
        <v/>
      </c>
      <c r="J63" s="12">
        <f>IF(A63="","",H63+SUMIF($F$2:$F$601,A63,$H$2:$H$601))</f>
        <v/>
      </c>
      <c r="K63" s="13">
        <f>IF(A63="","",I63+SUMIF($F$2:$F$601,A63,$I$2:$I$601))</f>
        <v/>
      </c>
    </row>
    <row r="64">
      <c r="H64" s="12">
        <f>IF(A64="","",COUNTIF(PARTICIPACIONES!$B$2:$B$601,A64))</f>
        <v/>
      </c>
      <c r="I64" s="13">
        <f>IF(A64="","",SUMIFS(PARTICIPACIONES!$M$2:$M$601,PARTICIPACIONES!$B$2:$B$601,A64,PARTICIPACIONES!$P$2:$P$601,"&lt;&gt;En ejecución"))</f>
        <v/>
      </c>
      <c r="J64" s="12">
        <f>IF(A64="","",H64+SUMIF($F$2:$F$601,A64,$H$2:$H$601))</f>
        <v/>
      </c>
      <c r="K64" s="13">
        <f>IF(A64="","",I64+SUMIF($F$2:$F$601,A64,$I$2:$I$601))</f>
        <v/>
      </c>
    </row>
    <row r="65">
      <c r="H65" s="12">
        <f>IF(A65="","",COUNTIF(PARTICIPACIONES!$B$2:$B$601,A65))</f>
        <v/>
      </c>
      <c r="I65" s="13">
        <f>IF(A65="","",SUMIFS(PARTICIPACIONES!$M$2:$M$601,PARTICIPACIONES!$B$2:$B$601,A65,PARTICIPACIONES!$P$2:$P$601,"&lt;&gt;En ejecución"))</f>
        <v/>
      </c>
      <c r="J65" s="12">
        <f>IF(A65="","",H65+SUMIF($F$2:$F$601,A65,$H$2:$H$601))</f>
        <v/>
      </c>
      <c r="K65" s="13">
        <f>IF(A65="","",I65+SUMIF($F$2:$F$601,A65,$I$2:$I$601))</f>
        <v/>
      </c>
    </row>
    <row r="66">
      <c r="H66" s="12">
        <f>IF(A66="","",COUNTIF(PARTICIPACIONES!$B$2:$B$601,A66))</f>
        <v/>
      </c>
      <c r="I66" s="13">
        <f>IF(A66="","",SUMIFS(PARTICIPACIONES!$M$2:$M$601,PARTICIPACIONES!$B$2:$B$601,A66,PARTICIPACIONES!$P$2:$P$601,"&lt;&gt;En ejecución"))</f>
        <v/>
      </c>
      <c r="J66" s="12">
        <f>IF(A66="","",H66+SUMIF($F$2:$F$601,A66,$H$2:$H$601))</f>
        <v/>
      </c>
      <c r="K66" s="13">
        <f>IF(A66="","",I66+SUMIF($F$2:$F$601,A66,$I$2:$I$601))</f>
        <v/>
      </c>
    </row>
    <row r="67">
      <c r="H67" s="12">
        <f>IF(A67="","",COUNTIF(PARTICIPACIONES!$B$2:$B$601,A67))</f>
        <v/>
      </c>
      <c r="I67" s="13">
        <f>IF(A67="","",SUMIFS(PARTICIPACIONES!$M$2:$M$601,PARTICIPACIONES!$B$2:$B$601,A67,PARTICIPACIONES!$P$2:$P$601,"&lt;&gt;En ejecución"))</f>
        <v/>
      </c>
      <c r="J67" s="12">
        <f>IF(A67="","",H67+SUMIF($F$2:$F$601,A67,$H$2:$H$601))</f>
        <v/>
      </c>
      <c r="K67" s="13">
        <f>IF(A67="","",I67+SUMIF($F$2:$F$601,A67,$I$2:$I$601))</f>
        <v/>
      </c>
    </row>
    <row r="68">
      <c r="H68" s="12">
        <f>IF(A68="","",COUNTIF(PARTICIPACIONES!$B$2:$B$601,A68))</f>
        <v/>
      </c>
      <c r="I68" s="13">
        <f>IF(A68="","",SUMIFS(PARTICIPACIONES!$M$2:$M$601,PARTICIPACIONES!$B$2:$B$601,A68,PARTICIPACIONES!$P$2:$P$601,"&lt;&gt;En ejecución"))</f>
        <v/>
      </c>
      <c r="J68" s="12">
        <f>IF(A68="","",H68+SUMIF($F$2:$F$601,A68,$H$2:$H$601))</f>
        <v/>
      </c>
      <c r="K68" s="13">
        <f>IF(A68="","",I68+SUMIF($F$2:$F$601,A68,$I$2:$I$601))</f>
        <v/>
      </c>
    </row>
    <row r="69">
      <c r="H69" s="12">
        <f>IF(A69="","",COUNTIF(PARTICIPACIONES!$B$2:$B$601,A69))</f>
        <v/>
      </c>
      <c r="I69" s="13">
        <f>IF(A69="","",SUMIFS(PARTICIPACIONES!$M$2:$M$601,PARTICIPACIONES!$B$2:$B$601,A69,PARTICIPACIONES!$P$2:$P$601,"&lt;&gt;En ejecución"))</f>
        <v/>
      </c>
      <c r="J69" s="12">
        <f>IF(A69="","",H69+SUMIF($F$2:$F$601,A69,$H$2:$H$601))</f>
        <v/>
      </c>
      <c r="K69" s="13">
        <f>IF(A69="","",I69+SUMIF($F$2:$F$601,A69,$I$2:$I$601))</f>
        <v/>
      </c>
    </row>
    <row r="70">
      <c r="H70" s="12">
        <f>IF(A70="","",COUNTIF(PARTICIPACIONES!$B$2:$B$601,A70))</f>
        <v/>
      </c>
      <c r="I70" s="13">
        <f>IF(A70="","",SUMIFS(PARTICIPACIONES!$M$2:$M$601,PARTICIPACIONES!$B$2:$B$601,A70,PARTICIPACIONES!$P$2:$P$601,"&lt;&gt;En ejecución"))</f>
        <v/>
      </c>
      <c r="J70" s="12">
        <f>IF(A70="","",H70+SUMIF($F$2:$F$601,A70,$H$2:$H$601))</f>
        <v/>
      </c>
      <c r="K70" s="13">
        <f>IF(A70="","",I70+SUMIF($F$2:$F$601,A70,$I$2:$I$601))</f>
        <v/>
      </c>
    </row>
    <row r="71">
      <c r="H71" s="12">
        <f>IF(A71="","",COUNTIF(PARTICIPACIONES!$B$2:$B$601,A71))</f>
        <v/>
      </c>
      <c r="I71" s="13">
        <f>IF(A71="","",SUMIFS(PARTICIPACIONES!$M$2:$M$601,PARTICIPACIONES!$B$2:$B$601,A71,PARTICIPACIONES!$P$2:$P$601,"&lt;&gt;En ejecución"))</f>
        <v/>
      </c>
      <c r="J71" s="12">
        <f>IF(A71="","",H71+SUMIF($F$2:$F$601,A71,$H$2:$H$601))</f>
        <v/>
      </c>
      <c r="K71" s="13">
        <f>IF(A71="","",I71+SUMIF($F$2:$F$601,A71,$I$2:$I$601))</f>
        <v/>
      </c>
    </row>
    <row r="72">
      <c r="H72" s="12">
        <f>IF(A72="","",COUNTIF(PARTICIPACIONES!$B$2:$B$601,A72))</f>
        <v/>
      </c>
      <c r="I72" s="13">
        <f>IF(A72="","",SUMIFS(PARTICIPACIONES!$M$2:$M$601,PARTICIPACIONES!$B$2:$B$601,A72,PARTICIPACIONES!$P$2:$P$601,"&lt;&gt;En ejecución"))</f>
        <v/>
      </c>
      <c r="J72" s="12">
        <f>IF(A72="","",H72+SUMIF($F$2:$F$601,A72,$H$2:$H$601))</f>
        <v/>
      </c>
      <c r="K72" s="13">
        <f>IF(A72="","",I72+SUMIF($F$2:$F$601,A72,$I$2:$I$601))</f>
        <v/>
      </c>
    </row>
    <row r="73">
      <c r="H73" s="12">
        <f>IF(A73="","",COUNTIF(PARTICIPACIONES!$B$2:$B$601,A73))</f>
        <v/>
      </c>
      <c r="I73" s="13">
        <f>IF(A73="","",SUMIFS(PARTICIPACIONES!$M$2:$M$601,PARTICIPACIONES!$B$2:$B$601,A73,PARTICIPACIONES!$P$2:$P$601,"&lt;&gt;En ejecución"))</f>
        <v/>
      </c>
      <c r="J73" s="12">
        <f>IF(A73="","",H73+SUMIF($F$2:$F$601,A73,$H$2:$H$601))</f>
        <v/>
      </c>
      <c r="K73" s="13">
        <f>IF(A73="","",I73+SUMIF($F$2:$F$601,A73,$I$2:$I$601))</f>
        <v/>
      </c>
    </row>
    <row r="74">
      <c r="H74" s="12">
        <f>IF(A74="","",COUNTIF(PARTICIPACIONES!$B$2:$B$601,A74))</f>
        <v/>
      </c>
      <c r="I74" s="13">
        <f>IF(A74="","",SUMIFS(PARTICIPACIONES!$M$2:$M$601,PARTICIPACIONES!$B$2:$B$601,A74,PARTICIPACIONES!$P$2:$P$601,"&lt;&gt;En ejecución"))</f>
        <v/>
      </c>
      <c r="J74" s="12">
        <f>IF(A74="","",H74+SUMIF($F$2:$F$601,A74,$H$2:$H$601))</f>
        <v/>
      </c>
      <c r="K74" s="13">
        <f>IF(A74="","",I74+SUMIF($F$2:$F$601,A74,$I$2:$I$601))</f>
        <v/>
      </c>
    </row>
    <row r="75">
      <c r="H75" s="12">
        <f>IF(A75="","",COUNTIF(PARTICIPACIONES!$B$2:$B$601,A75))</f>
        <v/>
      </c>
      <c r="I75" s="13">
        <f>IF(A75="","",SUMIFS(PARTICIPACIONES!$M$2:$M$601,PARTICIPACIONES!$B$2:$B$601,A75,PARTICIPACIONES!$P$2:$P$601,"&lt;&gt;En ejecución"))</f>
        <v/>
      </c>
      <c r="J75" s="12">
        <f>IF(A75="","",H75+SUMIF($F$2:$F$601,A75,$H$2:$H$601))</f>
        <v/>
      </c>
      <c r="K75" s="13">
        <f>IF(A75="","",I75+SUMIF($F$2:$F$601,A75,$I$2:$I$601))</f>
        <v/>
      </c>
    </row>
    <row r="76">
      <c r="H76" s="12">
        <f>IF(A76="","",COUNTIF(PARTICIPACIONES!$B$2:$B$601,A76))</f>
        <v/>
      </c>
      <c r="I76" s="13">
        <f>IF(A76="","",SUMIFS(PARTICIPACIONES!$M$2:$M$601,PARTICIPACIONES!$B$2:$B$601,A76,PARTICIPACIONES!$P$2:$P$601,"&lt;&gt;En ejecución"))</f>
        <v/>
      </c>
      <c r="J76" s="12">
        <f>IF(A76="","",H76+SUMIF($F$2:$F$601,A76,$H$2:$H$601))</f>
        <v/>
      </c>
      <c r="K76" s="13">
        <f>IF(A76="","",I76+SUMIF($F$2:$F$601,A76,$I$2:$I$601))</f>
        <v/>
      </c>
    </row>
    <row r="77">
      <c r="H77" s="12">
        <f>IF(A77="","",COUNTIF(PARTICIPACIONES!$B$2:$B$601,A77))</f>
        <v/>
      </c>
      <c r="I77" s="13">
        <f>IF(A77="","",SUMIFS(PARTICIPACIONES!$M$2:$M$601,PARTICIPACIONES!$B$2:$B$601,A77,PARTICIPACIONES!$P$2:$P$601,"&lt;&gt;En ejecución"))</f>
        <v/>
      </c>
      <c r="J77" s="12">
        <f>IF(A77="","",H77+SUMIF($F$2:$F$601,A77,$H$2:$H$601))</f>
        <v/>
      </c>
      <c r="K77" s="13">
        <f>IF(A77="","",I77+SUMIF($F$2:$F$601,A77,$I$2:$I$601))</f>
        <v/>
      </c>
    </row>
    <row r="78">
      <c r="H78" s="12">
        <f>IF(A78="","",COUNTIF(PARTICIPACIONES!$B$2:$B$601,A78))</f>
        <v/>
      </c>
      <c r="I78" s="13">
        <f>IF(A78="","",SUMIFS(PARTICIPACIONES!$M$2:$M$601,PARTICIPACIONES!$B$2:$B$601,A78,PARTICIPACIONES!$P$2:$P$601,"&lt;&gt;En ejecución"))</f>
        <v/>
      </c>
      <c r="J78" s="12">
        <f>IF(A78="","",H78+SUMIF($F$2:$F$601,A78,$H$2:$H$601))</f>
        <v/>
      </c>
      <c r="K78" s="13">
        <f>IF(A78="","",I78+SUMIF($F$2:$F$601,A78,$I$2:$I$601))</f>
        <v/>
      </c>
    </row>
    <row r="79">
      <c r="H79" s="12">
        <f>IF(A79="","",COUNTIF(PARTICIPACIONES!$B$2:$B$601,A79))</f>
        <v/>
      </c>
      <c r="I79" s="13">
        <f>IF(A79="","",SUMIFS(PARTICIPACIONES!$M$2:$M$601,PARTICIPACIONES!$B$2:$B$601,A79,PARTICIPACIONES!$P$2:$P$601,"&lt;&gt;En ejecución"))</f>
        <v/>
      </c>
      <c r="J79" s="12">
        <f>IF(A79="","",H79+SUMIF($F$2:$F$601,A79,$H$2:$H$601))</f>
        <v/>
      </c>
      <c r="K79" s="13">
        <f>IF(A79="","",I79+SUMIF($F$2:$F$601,A79,$I$2:$I$601))</f>
        <v/>
      </c>
    </row>
    <row r="80">
      <c r="H80" s="12">
        <f>IF(A80="","",COUNTIF(PARTICIPACIONES!$B$2:$B$601,A80))</f>
        <v/>
      </c>
      <c r="I80" s="13">
        <f>IF(A80="","",SUMIFS(PARTICIPACIONES!$M$2:$M$601,PARTICIPACIONES!$B$2:$B$601,A80,PARTICIPACIONES!$P$2:$P$601,"&lt;&gt;En ejecución"))</f>
        <v/>
      </c>
      <c r="J80" s="12">
        <f>IF(A80="","",H80+SUMIF($F$2:$F$601,A80,$H$2:$H$601))</f>
        <v/>
      </c>
      <c r="K80" s="13">
        <f>IF(A80="","",I80+SUMIF($F$2:$F$601,A80,$I$2:$I$601))</f>
        <v/>
      </c>
    </row>
    <row r="81">
      <c r="H81" s="12">
        <f>IF(A81="","",COUNTIF(PARTICIPACIONES!$B$2:$B$601,A81))</f>
        <v/>
      </c>
      <c r="I81" s="13">
        <f>IF(A81="","",SUMIFS(PARTICIPACIONES!$M$2:$M$601,PARTICIPACIONES!$B$2:$B$601,A81,PARTICIPACIONES!$P$2:$P$601,"&lt;&gt;En ejecución"))</f>
        <v/>
      </c>
      <c r="J81" s="12">
        <f>IF(A81="","",H81+SUMIF($F$2:$F$601,A81,$H$2:$H$601))</f>
        <v/>
      </c>
      <c r="K81" s="13">
        <f>IF(A81="","",I81+SUMIF($F$2:$F$601,A81,$I$2:$I$601))</f>
        <v/>
      </c>
    </row>
    <row r="82">
      <c r="H82" s="12">
        <f>IF(A82="","",COUNTIF(PARTICIPACIONES!$B$2:$B$601,A82))</f>
        <v/>
      </c>
      <c r="I82" s="13">
        <f>IF(A82="","",SUMIFS(PARTICIPACIONES!$M$2:$M$601,PARTICIPACIONES!$B$2:$B$601,A82,PARTICIPACIONES!$P$2:$P$601,"&lt;&gt;En ejecución"))</f>
        <v/>
      </c>
      <c r="J82" s="12">
        <f>IF(A82="","",H82+SUMIF($F$2:$F$601,A82,$H$2:$H$601))</f>
        <v/>
      </c>
      <c r="K82" s="13">
        <f>IF(A82="","",I82+SUMIF($F$2:$F$601,A82,$I$2:$I$601))</f>
        <v/>
      </c>
    </row>
    <row r="83">
      <c r="H83" s="12">
        <f>IF(A83="","",COUNTIF(PARTICIPACIONES!$B$2:$B$601,A83))</f>
        <v/>
      </c>
      <c r="I83" s="13">
        <f>IF(A83="","",SUMIFS(PARTICIPACIONES!$M$2:$M$601,PARTICIPACIONES!$B$2:$B$601,A83,PARTICIPACIONES!$P$2:$P$601,"&lt;&gt;En ejecución"))</f>
        <v/>
      </c>
      <c r="J83" s="12">
        <f>IF(A83="","",H83+SUMIF($F$2:$F$601,A83,$H$2:$H$601))</f>
        <v/>
      </c>
      <c r="K83" s="13">
        <f>IF(A83="","",I83+SUMIF($F$2:$F$601,A83,$I$2:$I$601))</f>
        <v/>
      </c>
    </row>
    <row r="84">
      <c r="H84" s="12">
        <f>IF(A84="","",COUNTIF(PARTICIPACIONES!$B$2:$B$601,A84))</f>
        <v/>
      </c>
      <c r="I84" s="13">
        <f>IF(A84="","",SUMIFS(PARTICIPACIONES!$M$2:$M$601,PARTICIPACIONES!$B$2:$B$601,A84,PARTICIPACIONES!$P$2:$P$601,"&lt;&gt;En ejecución"))</f>
        <v/>
      </c>
      <c r="J84" s="12">
        <f>IF(A84="","",H84+SUMIF($F$2:$F$601,A84,$H$2:$H$601))</f>
        <v/>
      </c>
      <c r="K84" s="13">
        <f>IF(A84="","",I84+SUMIF($F$2:$F$601,A84,$I$2:$I$601))</f>
        <v/>
      </c>
    </row>
    <row r="85">
      <c r="H85" s="12">
        <f>IF(A85="","",COUNTIF(PARTICIPACIONES!$B$2:$B$601,A85))</f>
        <v/>
      </c>
      <c r="I85" s="13">
        <f>IF(A85="","",SUMIFS(PARTICIPACIONES!$M$2:$M$601,PARTICIPACIONES!$B$2:$B$601,A85,PARTICIPACIONES!$P$2:$P$601,"&lt;&gt;En ejecución"))</f>
        <v/>
      </c>
      <c r="J85" s="12">
        <f>IF(A85="","",H85+SUMIF($F$2:$F$601,A85,$H$2:$H$601))</f>
        <v/>
      </c>
      <c r="K85" s="13">
        <f>IF(A85="","",I85+SUMIF($F$2:$F$601,A85,$I$2:$I$601))</f>
        <v/>
      </c>
    </row>
    <row r="86">
      <c r="H86" s="12">
        <f>IF(A86="","",COUNTIF(PARTICIPACIONES!$B$2:$B$601,A86))</f>
        <v/>
      </c>
      <c r="I86" s="13">
        <f>IF(A86="","",SUMIFS(PARTICIPACIONES!$M$2:$M$601,PARTICIPACIONES!$B$2:$B$601,A86,PARTICIPACIONES!$P$2:$P$601,"&lt;&gt;En ejecución"))</f>
        <v/>
      </c>
      <c r="J86" s="12">
        <f>IF(A86="","",H86+SUMIF($F$2:$F$601,A86,$H$2:$H$601))</f>
        <v/>
      </c>
      <c r="K86" s="13">
        <f>IF(A86="","",I86+SUMIF($F$2:$F$601,A86,$I$2:$I$601))</f>
        <v/>
      </c>
    </row>
    <row r="87">
      <c r="H87" s="12">
        <f>IF(A87="","",COUNTIF(PARTICIPACIONES!$B$2:$B$601,A87))</f>
        <v/>
      </c>
      <c r="I87" s="13">
        <f>IF(A87="","",SUMIFS(PARTICIPACIONES!$M$2:$M$601,PARTICIPACIONES!$B$2:$B$601,A87,PARTICIPACIONES!$P$2:$P$601,"&lt;&gt;En ejecución"))</f>
        <v/>
      </c>
      <c r="J87" s="12">
        <f>IF(A87="","",H87+SUMIF($F$2:$F$601,A87,$H$2:$H$601))</f>
        <v/>
      </c>
      <c r="K87" s="13">
        <f>IF(A87="","",I87+SUMIF($F$2:$F$601,A87,$I$2:$I$601))</f>
        <v/>
      </c>
    </row>
    <row r="88">
      <c r="H88" s="12">
        <f>IF(A88="","",COUNTIF(PARTICIPACIONES!$B$2:$B$601,A88))</f>
        <v/>
      </c>
      <c r="I88" s="13">
        <f>IF(A88="","",SUMIFS(PARTICIPACIONES!$M$2:$M$601,PARTICIPACIONES!$B$2:$B$601,A88,PARTICIPACIONES!$P$2:$P$601,"&lt;&gt;En ejecución"))</f>
        <v/>
      </c>
      <c r="J88" s="12">
        <f>IF(A88="","",H88+SUMIF($F$2:$F$601,A88,$H$2:$H$601))</f>
        <v/>
      </c>
      <c r="K88" s="13">
        <f>IF(A88="","",I88+SUMIF($F$2:$F$601,A88,$I$2:$I$601))</f>
        <v/>
      </c>
    </row>
    <row r="89">
      <c r="H89" s="12">
        <f>IF(A89="","",COUNTIF(PARTICIPACIONES!$B$2:$B$601,A89))</f>
        <v/>
      </c>
      <c r="I89" s="13">
        <f>IF(A89="","",SUMIFS(PARTICIPACIONES!$M$2:$M$601,PARTICIPACIONES!$B$2:$B$601,A89,PARTICIPACIONES!$P$2:$P$601,"&lt;&gt;En ejecución"))</f>
        <v/>
      </c>
      <c r="J89" s="12">
        <f>IF(A89="","",H89+SUMIF($F$2:$F$601,A89,$H$2:$H$601))</f>
        <v/>
      </c>
      <c r="K89" s="13">
        <f>IF(A89="","",I89+SUMIF($F$2:$F$601,A89,$I$2:$I$601))</f>
        <v/>
      </c>
    </row>
    <row r="90">
      <c r="H90" s="12">
        <f>IF(A90="","",COUNTIF(PARTICIPACIONES!$B$2:$B$601,A90))</f>
        <v/>
      </c>
      <c r="I90" s="13">
        <f>IF(A90="","",SUMIFS(PARTICIPACIONES!$M$2:$M$601,PARTICIPACIONES!$B$2:$B$601,A90,PARTICIPACIONES!$P$2:$P$601,"&lt;&gt;En ejecución"))</f>
        <v/>
      </c>
      <c r="J90" s="12">
        <f>IF(A90="","",H90+SUMIF($F$2:$F$601,A90,$H$2:$H$601))</f>
        <v/>
      </c>
      <c r="K90" s="13">
        <f>IF(A90="","",I90+SUMIF($F$2:$F$601,A90,$I$2:$I$601))</f>
        <v/>
      </c>
    </row>
    <row r="91">
      <c r="H91" s="12">
        <f>IF(A91="","",COUNTIF(PARTICIPACIONES!$B$2:$B$601,A91))</f>
        <v/>
      </c>
      <c r="I91" s="13">
        <f>IF(A91="","",SUMIFS(PARTICIPACIONES!$M$2:$M$601,PARTICIPACIONES!$B$2:$B$601,A91,PARTICIPACIONES!$P$2:$P$601,"&lt;&gt;En ejecución"))</f>
        <v/>
      </c>
      <c r="J91" s="12">
        <f>IF(A91="","",H91+SUMIF($F$2:$F$601,A91,$H$2:$H$601))</f>
        <v/>
      </c>
      <c r="K91" s="13">
        <f>IF(A91="","",I91+SUMIF($F$2:$F$601,A91,$I$2:$I$601))</f>
        <v/>
      </c>
    </row>
    <row r="92">
      <c r="H92" s="12">
        <f>IF(A92="","",COUNTIF(PARTICIPACIONES!$B$2:$B$601,A92))</f>
        <v/>
      </c>
      <c r="I92" s="13">
        <f>IF(A92="","",SUMIFS(PARTICIPACIONES!$M$2:$M$601,PARTICIPACIONES!$B$2:$B$601,A92,PARTICIPACIONES!$P$2:$P$601,"&lt;&gt;En ejecución"))</f>
        <v/>
      </c>
      <c r="J92" s="12">
        <f>IF(A92="","",H92+SUMIF($F$2:$F$601,A92,$H$2:$H$601))</f>
        <v/>
      </c>
      <c r="K92" s="13">
        <f>IF(A92="","",I92+SUMIF($F$2:$F$601,A92,$I$2:$I$601))</f>
        <v/>
      </c>
    </row>
    <row r="93">
      <c r="H93" s="12">
        <f>IF(A93="","",COUNTIF(PARTICIPACIONES!$B$2:$B$601,A93))</f>
        <v/>
      </c>
      <c r="I93" s="13">
        <f>IF(A93="","",SUMIFS(PARTICIPACIONES!$M$2:$M$601,PARTICIPACIONES!$B$2:$B$601,A93,PARTICIPACIONES!$P$2:$P$601,"&lt;&gt;En ejecución"))</f>
        <v/>
      </c>
      <c r="J93" s="12">
        <f>IF(A93="","",H93+SUMIF($F$2:$F$601,A93,$H$2:$H$601))</f>
        <v/>
      </c>
      <c r="K93" s="13">
        <f>IF(A93="","",I93+SUMIF($F$2:$F$601,A93,$I$2:$I$601))</f>
        <v/>
      </c>
    </row>
    <row r="94">
      <c r="H94" s="12">
        <f>IF(A94="","",COUNTIF(PARTICIPACIONES!$B$2:$B$601,A94))</f>
        <v/>
      </c>
      <c r="I94" s="13">
        <f>IF(A94="","",SUMIFS(PARTICIPACIONES!$M$2:$M$601,PARTICIPACIONES!$B$2:$B$601,A94,PARTICIPACIONES!$P$2:$P$601,"&lt;&gt;En ejecución"))</f>
        <v/>
      </c>
      <c r="J94" s="12">
        <f>IF(A94="","",H94+SUMIF($F$2:$F$601,A94,$H$2:$H$601))</f>
        <v/>
      </c>
      <c r="K94" s="13">
        <f>IF(A94="","",I94+SUMIF($F$2:$F$601,A94,$I$2:$I$601))</f>
        <v/>
      </c>
    </row>
    <row r="95">
      <c r="H95" s="12">
        <f>IF(A95="","",COUNTIF(PARTICIPACIONES!$B$2:$B$601,A95))</f>
        <v/>
      </c>
      <c r="I95" s="13">
        <f>IF(A95="","",SUMIFS(PARTICIPACIONES!$M$2:$M$601,PARTICIPACIONES!$B$2:$B$601,A95,PARTICIPACIONES!$P$2:$P$601,"&lt;&gt;En ejecución"))</f>
        <v/>
      </c>
      <c r="J95" s="12">
        <f>IF(A95="","",H95+SUMIF($F$2:$F$601,A95,$H$2:$H$601))</f>
        <v/>
      </c>
      <c r="K95" s="13">
        <f>IF(A95="","",I95+SUMIF($F$2:$F$601,A95,$I$2:$I$601))</f>
        <v/>
      </c>
    </row>
    <row r="96">
      <c r="H96" s="12">
        <f>IF(A96="","",COUNTIF(PARTICIPACIONES!$B$2:$B$601,A96))</f>
        <v/>
      </c>
      <c r="I96" s="13">
        <f>IF(A96="","",SUMIFS(PARTICIPACIONES!$M$2:$M$601,PARTICIPACIONES!$B$2:$B$601,A96,PARTICIPACIONES!$P$2:$P$601,"&lt;&gt;En ejecución"))</f>
        <v/>
      </c>
      <c r="J96" s="12">
        <f>IF(A96="","",H96+SUMIF($F$2:$F$601,A96,$H$2:$H$601))</f>
        <v/>
      </c>
      <c r="K96" s="13">
        <f>IF(A96="","",I96+SUMIF($F$2:$F$601,A96,$I$2:$I$601))</f>
        <v/>
      </c>
    </row>
    <row r="97">
      <c r="H97" s="12">
        <f>IF(A97="","",COUNTIF(PARTICIPACIONES!$B$2:$B$601,A97))</f>
        <v/>
      </c>
      <c r="I97" s="13">
        <f>IF(A97="","",SUMIFS(PARTICIPACIONES!$M$2:$M$601,PARTICIPACIONES!$B$2:$B$601,A97,PARTICIPACIONES!$P$2:$P$601,"&lt;&gt;En ejecución"))</f>
        <v/>
      </c>
      <c r="J97" s="12">
        <f>IF(A97="","",H97+SUMIF($F$2:$F$601,A97,$H$2:$H$601))</f>
        <v/>
      </c>
      <c r="K97" s="13">
        <f>IF(A97="","",I97+SUMIF($F$2:$F$601,A97,$I$2:$I$601))</f>
        <v/>
      </c>
    </row>
    <row r="98">
      <c r="H98" s="12">
        <f>IF(A98="","",COUNTIF(PARTICIPACIONES!$B$2:$B$601,A98))</f>
        <v/>
      </c>
      <c r="I98" s="13">
        <f>IF(A98="","",SUMIFS(PARTICIPACIONES!$M$2:$M$601,PARTICIPACIONES!$B$2:$B$601,A98,PARTICIPACIONES!$P$2:$P$601,"&lt;&gt;En ejecución"))</f>
        <v/>
      </c>
      <c r="J98" s="12">
        <f>IF(A98="","",H98+SUMIF($F$2:$F$601,A98,$H$2:$H$601))</f>
        <v/>
      </c>
      <c r="K98" s="13">
        <f>IF(A98="","",I98+SUMIF($F$2:$F$601,A98,$I$2:$I$601))</f>
        <v/>
      </c>
    </row>
    <row r="99">
      <c r="H99" s="12">
        <f>IF(A99="","",COUNTIF(PARTICIPACIONES!$B$2:$B$601,A99))</f>
        <v/>
      </c>
      <c r="I99" s="13">
        <f>IF(A99="","",SUMIFS(PARTICIPACIONES!$M$2:$M$601,PARTICIPACIONES!$B$2:$B$601,A99,PARTICIPACIONES!$P$2:$P$601,"&lt;&gt;En ejecución"))</f>
        <v/>
      </c>
      <c r="J99" s="12">
        <f>IF(A99="","",H99+SUMIF($F$2:$F$601,A99,$H$2:$H$601))</f>
        <v/>
      </c>
      <c r="K99" s="13">
        <f>IF(A99="","",I99+SUMIF($F$2:$F$601,A99,$I$2:$I$601))</f>
        <v/>
      </c>
    </row>
    <row r="100">
      <c r="H100" s="12">
        <f>IF(A100="","",COUNTIF(PARTICIPACIONES!$B$2:$B$601,A100))</f>
        <v/>
      </c>
      <c r="I100" s="13">
        <f>IF(A100="","",SUMIFS(PARTICIPACIONES!$M$2:$M$601,PARTICIPACIONES!$B$2:$B$601,A100,PARTICIPACIONES!$P$2:$P$601,"&lt;&gt;En ejecución"))</f>
        <v/>
      </c>
      <c r="J100" s="12">
        <f>IF(A100="","",H100+SUMIF($F$2:$F$601,A100,$H$2:$H$601))</f>
        <v/>
      </c>
      <c r="K100" s="13">
        <f>IF(A100="","",I100+SUMIF($F$2:$F$601,A100,$I$2:$I$601))</f>
        <v/>
      </c>
    </row>
    <row r="101">
      <c r="H101" s="12">
        <f>IF(A101="","",COUNTIF(PARTICIPACIONES!$B$2:$B$601,A101))</f>
        <v/>
      </c>
      <c r="I101" s="13">
        <f>IF(A101="","",SUMIFS(PARTICIPACIONES!$M$2:$M$601,PARTICIPACIONES!$B$2:$B$601,A101,PARTICIPACIONES!$P$2:$P$601,"&lt;&gt;En ejecución"))</f>
        <v/>
      </c>
      <c r="J101" s="12">
        <f>IF(A101="","",H101+SUMIF($F$2:$F$601,A101,$H$2:$H$601))</f>
        <v/>
      </c>
      <c r="K101" s="13">
        <f>IF(A101="","",I101+SUMIF($F$2:$F$601,A101,$I$2:$I$601))</f>
        <v/>
      </c>
    </row>
    <row r="102">
      <c r="H102" s="12">
        <f>IF(A102="","",COUNTIF(PARTICIPACIONES!$B$2:$B$601,A102))</f>
        <v/>
      </c>
      <c r="I102" s="13">
        <f>IF(A102="","",SUMIFS(PARTICIPACIONES!$M$2:$M$601,PARTICIPACIONES!$B$2:$B$601,A102,PARTICIPACIONES!$P$2:$P$601,"&lt;&gt;En ejecución"))</f>
        <v/>
      </c>
      <c r="J102" s="12">
        <f>IF(A102="","",H102+SUMIF($F$2:$F$601,A102,$H$2:$H$601))</f>
        <v/>
      </c>
      <c r="K102" s="13">
        <f>IF(A102="","",I102+SUMIF($F$2:$F$601,A102,$I$2:$I$601))</f>
        <v/>
      </c>
    </row>
    <row r="103">
      <c r="H103" s="12">
        <f>IF(A103="","",COUNTIF(PARTICIPACIONES!$B$2:$B$601,A103))</f>
        <v/>
      </c>
      <c r="I103" s="13">
        <f>IF(A103="","",SUMIFS(PARTICIPACIONES!$M$2:$M$601,PARTICIPACIONES!$B$2:$B$601,A103,PARTICIPACIONES!$P$2:$P$601,"&lt;&gt;En ejecución"))</f>
        <v/>
      </c>
      <c r="J103" s="12">
        <f>IF(A103="","",H103+SUMIF($F$2:$F$601,A103,$H$2:$H$601))</f>
        <v/>
      </c>
      <c r="K103" s="13">
        <f>IF(A103="","",I103+SUMIF($F$2:$F$601,A103,$I$2:$I$601))</f>
        <v/>
      </c>
    </row>
    <row r="104">
      <c r="H104" s="12">
        <f>IF(A104="","",COUNTIF(PARTICIPACIONES!$B$2:$B$601,A104))</f>
        <v/>
      </c>
      <c r="I104" s="13">
        <f>IF(A104="","",SUMIFS(PARTICIPACIONES!$M$2:$M$601,PARTICIPACIONES!$B$2:$B$601,A104,PARTICIPACIONES!$P$2:$P$601,"&lt;&gt;En ejecución"))</f>
        <v/>
      </c>
      <c r="J104" s="12">
        <f>IF(A104="","",H104+SUMIF($F$2:$F$601,A104,$H$2:$H$601))</f>
        <v/>
      </c>
      <c r="K104" s="13">
        <f>IF(A104="","",I104+SUMIF($F$2:$F$601,A104,$I$2:$I$601))</f>
        <v/>
      </c>
    </row>
    <row r="105">
      <c r="H105" s="12">
        <f>IF(A105="","",COUNTIF(PARTICIPACIONES!$B$2:$B$601,A105))</f>
        <v/>
      </c>
      <c r="I105" s="13">
        <f>IF(A105="","",SUMIFS(PARTICIPACIONES!$M$2:$M$601,PARTICIPACIONES!$B$2:$B$601,A105,PARTICIPACIONES!$P$2:$P$601,"&lt;&gt;En ejecución"))</f>
        <v/>
      </c>
      <c r="J105" s="12">
        <f>IF(A105="","",H105+SUMIF($F$2:$F$601,A105,$H$2:$H$601))</f>
        <v/>
      </c>
      <c r="K105" s="13">
        <f>IF(A105="","",I105+SUMIF($F$2:$F$601,A105,$I$2:$I$601))</f>
        <v/>
      </c>
    </row>
    <row r="106">
      <c r="H106" s="12">
        <f>IF(A106="","",COUNTIF(PARTICIPACIONES!$B$2:$B$601,A106))</f>
        <v/>
      </c>
      <c r="I106" s="13">
        <f>IF(A106="","",SUMIFS(PARTICIPACIONES!$M$2:$M$601,PARTICIPACIONES!$B$2:$B$601,A106,PARTICIPACIONES!$P$2:$P$601,"&lt;&gt;En ejecución"))</f>
        <v/>
      </c>
      <c r="J106" s="12">
        <f>IF(A106="","",H106+SUMIF($F$2:$F$601,A106,$H$2:$H$601))</f>
        <v/>
      </c>
      <c r="K106" s="13">
        <f>IF(A106="","",I106+SUMIF($F$2:$F$601,A106,$I$2:$I$601))</f>
        <v/>
      </c>
    </row>
    <row r="107">
      <c r="H107" s="12">
        <f>IF(A107="","",COUNTIF(PARTICIPACIONES!$B$2:$B$601,A107))</f>
        <v/>
      </c>
      <c r="I107" s="13">
        <f>IF(A107="","",SUMIFS(PARTICIPACIONES!$M$2:$M$601,PARTICIPACIONES!$B$2:$B$601,A107,PARTICIPACIONES!$P$2:$P$601,"&lt;&gt;En ejecución"))</f>
        <v/>
      </c>
      <c r="J107" s="12">
        <f>IF(A107="","",H107+SUMIF($F$2:$F$601,A107,$H$2:$H$601))</f>
        <v/>
      </c>
      <c r="K107" s="13">
        <f>IF(A107="","",I107+SUMIF($F$2:$F$601,A107,$I$2:$I$601))</f>
        <v/>
      </c>
    </row>
    <row r="108">
      <c r="H108" s="12">
        <f>IF(A108="","",COUNTIF(PARTICIPACIONES!$B$2:$B$601,A108))</f>
        <v/>
      </c>
      <c r="I108" s="13">
        <f>IF(A108="","",SUMIFS(PARTICIPACIONES!$M$2:$M$601,PARTICIPACIONES!$B$2:$B$601,A108,PARTICIPACIONES!$P$2:$P$601,"&lt;&gt;En ejecución"))</f>
        <v/>
      </c>
      <c r="J108" s="12">
        <f>IF(A108="","",H108+SUMIF($F$2:$F$601,A108,$H$2:$H$601))</f>
        <v/>
      </c>
      <c r="K108" s="13">
        <f>IF(A108="","",I108+SUMIF($F$2:$F$601,A108,$I$2:$I$601))</f>
        <v/>
      </c>
    </row>
    <row r="109">
      <c r="H109" s="12">
        <f>IF(A109="","",COUNTIF(PARTICIPACIONES!$B$2:$B$601,A109))</f>
        <v/>
      </c>
      <c r="I109" s="13">
        <f>IF(A109="","",SUMIFS(PARTICIPACIONES!$M$2:$M$601,PARTICIPACIONES!$B$2:$B$601,A109,PARTICIPACIONES!$P$2:$P$601,"&lt;&gt;En ejecución"))</f>
        <v/>
      </c>
      <c r="J109" s="12">
        <f>IF(A109="","",H109+SUMIF($F$2:$F$601,A109,$H$2:$H$601))</f>
        <v/>
      </c>
      <c r="K109" s="13">
        <f>IF(A109="","",I109+SUMIF($F$2:$F$601,A109,$I$2:$I$601))</f>
        <v/>
      </c>
    </row>
    <row r="110">
      <c r="H110" s="12">
        <f>IF(A110="","",COUNTIF(PARTICIPACIONES!$B$2:$B$601,A110))</f>
        <v/>
      </c>
      <c r="I110" s="13">
        <f>IF(A110="","",SUMIFS(PARTICIPACIONES!$M$2:$M$601,PARTICIPACIONES!$B$2:$B$601,A110,PARTICIPACIONES!$P$2:$P$601,"&lt;&gt;En ejecución"))</f>
        <v/>
      </c>
      <c r="J110" s="12">
        <f>IF(A110="","",H110+SUMIF($F$2:$F$601,A110,$H$2:$H$601))</f>
        <v/>
      </c>
      <c r="K110" s="13">
        <f>IF(A110="","",I110+SUMIF($F$2:$F$601,A110,$I$2:$I$601))</f>
        <v/>
      </c>
    </row>
    <row r="111">
      <c r="H111" s="12">
        <f>IF(A111="","",COUNTIF(PARTICIPACIONES!$B$2:$B$601,A111))</f>
        <v/>
      </c>
      <c r="I111" s="13">
        <f>IF(A111="","",SUMIFS(PARTICIPACIONES!$M$2:$M$601,PARTICIPACIONES!$B$2:$B$601,A111,PARTICIPACIONES!$P$2:$P$601,"&lt;&gt;En ejecución"))</f>
        <v/>
      </c>
      <c r="J111" s="12">
        <f>IF(A111="","",H111+SUMIF($F$2:$F$601,A111,$H$2:$H$601))</f>
        <v/>
      </c>
      <c r="K111" s="13">
        <f>IF(A111="","",I111+SUMIF($F$2:$F$601,A111,$I$2:$I$601))</f>
        <v/>
      </c>
    </row>
    <row r="112">
      <c r="H112" s="12">
        <f>IF(A112="","",COUNTIF(PARTICIPACIONES!$B$2:$B$601,A112))</f>
        <v/>
      </c>
      <c r="I112" s="13">
        <f>IF(A112="","",SUMIFS(PARTICIPACIONES!$M$2:$M$601,PARTICIPACIONES!$B$2:$B$601,A112,PARTICIPACIONES!$P$2:$P$601,"&lt;&gt;En ejecución"))</f>
        <v/>
      </c>
      <c r="J112" s="12">
        <f>IF(A112="","",H112+SUMIF($F$2:$F$601,A112,$H$2:$H$601))</f>
        <v/>
      </c>
      <c r="K112" s="13">
        <f>IF(A112="","",I112+SUMIF($F$2:$F$601,A112,$I$2:$I$601))</f>
        <v/>
      </c>
    </row>
    <row r="113">
      <c r="H113" s="12">
        <f>IF(A113="","",COUNTIF(PARTICIPACIONES!$B$2:$B$601,A113))</f>
        <v/>
      </c>
      <c r="I113" s="13">
        <f>IF(A113="","",SUMIFS(PARTICIPACIONES!$M$2:$M$601,PARTICIPACIONES!$B$2:$B$601,A113,PARTICIPACIONES!$P$2:$P$601,"&lt;&gt;En ejecución"))</f>
        <v/>
      </c>
      <c r="J113" s="12">
        <f>IF(A113="","",H113+SUMIF($F$2:$F$601,A113,$H$2:$H$601))</f>
        <v/>
      </c>
      <c r="K113" s="13">
        <f>IF(A113="","",I113+SUMIF($F$2:$F$601,A113,$I$2:$I$601))</f>
        <v/>
      </c>
    </row>
    <row r="114">
      <c r="H114" s="12">
        <f>IF(A114="","",COUNTIF(PARTICIPACIONES!$B$2:$B$601,A114))</f>
        <v/>
      </c>
      <c r="I114" s="13">
        <f>IF(A114="","",SUMIFS(PARTICIPACIONES!$M$2:$M$601,PARTICIPACIONES!$B$2:$B$601,A114,PARTICIPACIONES!$P$2:$P$601,"&lt;&gt;En ejecución"))</f>
        <v/>
      </c>
      <c r="J114" s="12">
        <f>IF(A114="","",H114+SUMIF($F$2:$F$601,A114,$H$2:$H$601))</f>
        <v/>
      </c>
      <c r="K114" s="13">
        <f>IF(A114="","",I114+SUMIF($F$2:$F$601,A114,$I$2:$I$601))</f>
        <v/>
      </c>
    </row>
    <row r="115">
      <c r="H115" s="12">
        <f>IF(A115="","",COUNTIF(PARTICIPACIONES!$B$2:$B$601,A115))</f>
        <v/>
      </c>
      <c r="I115" s="13">
        <f>IF(A115="","",SUMIFS(PARTICIPACIONES!$M$2:$M$601,PARTICIPACIONES!$B$2:$B$601,A115,PARTICIPACIONES!$P$2:$P$601,"&lt;&gt;En ejecución"))</f>
        <v/>
      </c>
      <c r="J115" s="12">
        <f>IF(A115="","",H115+SUMIF($F$2:$F$601,A115,$H$2:$H$601))</f>
        <v/>
      </c>
      <c r="K115" s="13">
        <f>IF(A115="","",I115+SUMIF($F$2:$F$601,A115,$I$2:$I$601))</f>
        <v/>
      </c>
    </row>
    <row r="116">
      <c r="H116" s="12">
        <f>IF(A116="","",COUNTIF(PARTICIPACIONES!$B$2:$B$601,A116))</f>
        <v/>
      </c>
      <c r="I116" s="13">
        <f>IF(A116="","",SUMIFS(PARTICIPACIONES!$M$2:$M$601,PARTICIPACIONES!$B$2:$B$601,A116,PARTICIPACIONES!$P$2:$P$601,"&lt;&gt;En ejecución"))</f>
        <v/>
      </c>
      <c r="J116" s="12">
        <f>IF(A116="","",H116+SUMIF($F$2:$F$601,A116,$H$2:$H$601))</f>
        <v/>
      </c>
      <c r="K116" s="13">
        <f>IF(A116="","",I116+SUMIF($F$2:$F$601,A116,$I$2:$I$601))</f>
        <v/>
      </c>
    </row>
    <row r="117">
      <c r="H117" s="12">
        <f>IF(A117="","",COUNTIF(PARTICIPACIONES!$B$2:$B$601,A117))</f>
        <v/>
      </c>
      <c r="I117" s="13">
        <f>IF(A117="","",SUMIFS(PARTICIPACIONES!$M$2:$M$601,PARTICIPACIONES!$B$2:$B$601,A117,PARTICIPACIONES!$P$2:$P$601,"&lt;&gt;En ejecución"))</f>
        <v/>
      </c>
      <c r="J117" s="12">
        <f>IF(A117="","",H117+SUMIF($F$2:$F$601,A117,$H$2:$H$601))</f>
        <v/>
      </c>
      <c r="K117" s="13">
        <f>IF(A117="","",I117+SUMIF($F$2:$F$601,A117,$I$2:$I$601))</f>
        <v/>
      </c>
    </row>
    <row r="118">
      <c r="H118" s="12">
        <f>IF(A118="","",COUNTIF(PARTICIPACIONES!$B$2:$B$601,A118))</f>
        <v/>
      </c>
      <c r="I118" s="13">
        <f>IF(A118="","",SUMIFS(PARTICIPACIONES!$M$2:$M$601,PARTICIPACIONES!$B$2:$B$601,A118,PARTICIPACIONES!$P$2:$P$601,"&lt;&gt;En ejecución"))</f>
        <v/>
      </c>
      <c r="J118" s="12">
        <f>IF(A118="","",H118+SUMIF($F$2:$F$601,A118,$H$2:$H$601))</f>
        <v/>
      </c>
      <c r="K118" s="13">
        <f>IF(A118="","",I118+SUMIF($F$2:$F$601,A118,$I$2:$I$601))</f>
        <v/>
      </c>
    </row>
    <row r="119">
      <c r="H119" s="12">
        <f>IF(A119="","",COUNTIF(PARTICIPACIONES!$B$2:$B$601,A119))</f>
        <v/>
      </c>
      <c r="I119" s="13">
        <f>IF(A119="","",SUMIFS(PARTICIPACIONES!$M$2:$M$601,PARTICIPACIONES!$B$2:$B$601,A119,PARTICIPACIONES!$P$2:$P$601,"&lt;&gt;En ejecución"))</f>
        <v/>
      </c>
      <c r="J119" s="12">
        <f>IF(A119="","",H119+SUMIF($F$2:$F$601,A119,$H$2:$H$601))</f>
        <v/>
      </c>
      <c r="K119" s="13">
        <f>IF(A119="","",I119+SUMIF($F$2:$F$601,A119,$I$2:$I$601))</f>
        <v/>
      </c>
    </row>
    <row r="120">
      <c r="H120" s="12">
        <f>IF(A120="","",COUNTIF(PARTICIPACIONES!$B$2:$B$601,A120))</f>
        <v/>
      </c>
      <c r="I120" s="13">
        <f>IF(A120="","",SUMIFS(PARTICIPACIONES!$M$2:$M$601,PARTICIPACIONES!$B$2:$B$601,A120,PARTICIPACIONES!$P$2:$P$601,"&lt;&gt;En ejecución"))</f>
        <v/>
      </c>
      <c r="J120" s="12">
        <f>IF(A120="","",H120+SUMIF($F$2:$F$601,A120,$H$2:$H$601))</f>
        <v/>
      </c>
      <c r="K120" s="13">
        <f>IF(A120="","",I120+SUMIF($F$2:$F$601,A120,$I$2:$I$601))</f>
        <v/>
      </c>
    </row>
    <row r="121">
      <c r="H121" s="12">
        <f>IF(A121="","",COUNTIF(PARTICIPACIONES!$B$2:$B$601,A121))</f>
        <v/>
      </c>
      <c r="I121" s="13">
        <f>IF(A121="","",SUMIFS(PARTICIPACIONES!$M$2:$M$601,PARTICIPACIONES!$B$2:$B$601,A121,PARTICIPACIONES!$P$2:$P$601,"&lt;&gt;En ejecución"))</f>
        <v/>
      </c>
      <c r="J121" s="12">
        <f>IF(A121="","",H121+SUMIF($F$2:$F$601,A121,$H$2:$H$601))</f>
        <v/>
      </c>
      <c r="K121" s="13">
        <f>IF(A121="","",I121+SUMIF($F$2:$F$601,A121,$I$2:$I$601))</f>
        <v/>
      </c>
    </row>
    <row r="122">
      <c r="H122" s="12">
        <f>IF(A122="","",COUNTIF(PARTICIPACIONES!$B$2:$B$601,A122))</f>
        <v/>
      </c>
      <c r="I122" s="13">
        <f>IF(A122="","",SUMIFS(PARTICIPACIONES!$M$2:$M$601,PARTICIPACIONES!$B$2:$B$601,A122,PARTICIPACIONES!$P$2:$P$601,"&lt;&gt;En ejecución"))</f>
        <v/>
      </c>
      <c r="J122" s="12">
        <f>IF(A122="","",H122+SUMIF($F$2:$F$601,A122,$H$2:$H$601))</f>
        <v/>
      </c>
      <c r="K122" s="13">
        <f>IF(A122="","",I122+SUMIF($F$2:$F$601,A122,$I$2:$I$601))</f>
        <v/>
      </c>
    </row>
    <row r="123">
      <c r="H123" s="12">
        <f>IF(A123="","",COUNTIF(PARTICIPACIONES!$B$2:$B$601,A123))</f>
        <v/>
      </c>
      <c r="I123" s="13">
        <f>IF(A123="","",SUMIFS(PARTICIPACIONES!$M$2:$M$601,PARTICIPACIONES!$B$2:$B$601,A123,PARTICIPACIONES!$P$2:$P$601,"&lt;&gt;En ejecución"))</f>
        <v/>
      </c>
      <c r="J123" s="12">
        <f>IF(A123="","",H123+SUMIF($F$2:$F$601,A123,$H$2:$H$601))</f>
        <v/>
      </c>
      <c r="K123" s="13">
        <f>IF(A123="","",I123+SUMIF($F$2:$F$601,A123,$I$2:$I$601))</f>
        <v/>
      </c>
    </row>
    <row r="124">
      <c r="H124" s="12">
        <f>IF(A124="","",COUNTIF(PARTICIPACIONES!$B$2:$B$601,A124))</f>
        <v/>
      </c>
      <c r="I124" s="13">
        <f>IF(A124="","",SUMIFS(PARTICIPACIONES!$M$2:$M$601,PARTICIPACIONES!$B$2:$B$601,A124,PARTICIPACIONES!$P$2:$P$601,"&lt;&gt;En ejecución"))</f>
        <v/>
      </c>
      <c r="J124" s="12">
        <f>IF(A124="","",H124+SUMIF($F$2:$F$601,A124,$H$2:$H$601))</f>
        <v/>
      </c>
      <c r="K124" s="13">
        <f>IF(A124="","",I124+SUMIF($F$2:$F$601,A124,$I$2:$I$601))</f>
        <v/>
      </c>
    </row>
    <row r="125">
      <c r="H125" s="12">
        <f>IF(A125="","",COUNTIF(PARTICIPACIONES!$B$2:$B$601,A125))</f>
        <v/>
      </c>
      <c r="I125" s="13">
        <f>IF(A125="","",SUMIFS(PARTICIPACIONES!$M$2:$M$601,PARTICIPACIONES!$B$2:$B$601,A125,PARTICIPACIONES!$P$2:$P$601,"&lt;&gt;En ejecución"))</f>
        <v/>
      </c>
      <c r="J125" s="12">
        <f>IF(A125="","",H125+SUMIF($F$2:$F$601,A125,$H$2:$H$601))</f>
        <v/>
      </c>
      <c r="K125" s="13">
        <f>IF(A125="","",I125+SUMIF($F$2:$F$601,A125,$I$2:$I$601))</f>
        <v/>
      </c>
    </row>
    <row r="126">
      <c r="H126" s="12">
        <f>IF(A126="","",COUNTIF(PARTICIPACIONES!$B$2:$B$601,A126))</f>
        <v/>
      </c>
      <c r="I126" s="13">
        <f>IF(A126="","",SUMIFS(PARTICIPACIONES!$M$2:$M$601,PARTICIPACIONES!$B$2:$B$601,A126,PARTICIPACIONES!$P$2:$P$601,"&lt;&gt;En ejecución"))</f>
        <v/>
      </c>
      <c r="J126" s="12">
        <f>IF(A126="","",H126+SUMIF($F$2:$F$601,A126,$H$2:$H$601))</f>
        <v/>
      </c>
      <c r="K126" s="13">
        <f>IF(A126="","",I126+SUMIF($F$2:$F$601,A126,$I$2:$I$601))</f>
        <v/>
      </c>
    </row>
    <row r="127">
      <c r="H127" s="12">
        <f>IF(A127="","",COUNTIF(PARTICIPACIONES!$B$2:$B$601,A127))</f>
        <v/>
      </c>
      <c r="I127" s="13">
        <f>IF(A127="","",SUMIFS(PARTICIPACIONES!$M$2:$M$601,PARTICIPACIONES!$B$2:$B$601,A127,PARTICIPACIONES!$P$2:$P$601,"&lt;&gt;En ejecución"))</f>
        <v/>
      </c>
      <c r="J127" s="12">
        <f>IF(A127="","",H127+SUMIF($F$2:$F$601,A127,$H$2:$H$601))</f>
        <v/>
      </c>
      <c r="K127" s="13">
        <f>IF(A127="","",I127+SUMIF($F$2:$F$601,A127,$I$2:$I$601))</f>
        <v/>
      </c>
    </row>
    <row r="128">
      <c r="H128" s="12">
        <f>IF(A128="","",COUNTIF(PARTICIPACIONES!$B$2:$B$601,A128))</f>
        <v/>
      </c>
      <c r="I128" s="13">
        <f>IF(A128="","",SUMIFS(PARTICIPACIONES!$M$2:$M$601,PARTICIPACIONES!$B$2:$B$601,A128,PARTICIPACIONES!$P$2:$P$601,"&lt;&gt;En ejecución"))</f>
        <v/>
      </c>
      <c r="J128" s="12">
        <f>IF(A128="","",H128+SUMIF($F$2:$F$601,A128,$H$2:$H$601))</f>
        <v/>
      </c>
      <c r="K128" s="13">
        <f>IF(A128="","",I128+SUMIF($F$2:$F$601,A128,$I$2:$I$601))</f>
        <v/>
      </c>
    </row>
    <row r="129">
      <c r="H129" s="12">
        <f>IF(A129="","",COUNTIF(PARTICIPACIONES!$B$2:$B$601,A129))</f>
        <v/>
      </c>
      <c r="I129" s="13">
        <f>IF(A129="","",SUMIFS(PARTICIPACIONES!$M$2:$M$601,PARTICIPACIONES!$B$2:$B$601,A129,PARTICIPACIONES!$P$2:$P$601,"&lt;&gt;En ejecución"))</f>
        <v/>
      </c>
      <c r="J129" s="12">
        <f>IF(A129="","",H129+SUMIF($F$2:$F$601,A129,$H$2:$H$601))</f>
        <v/>
      </c>
      <c r="K129" s="13">
        <f>IF(A129="","",I129+SUMIF($F$2:$F$601,A129,$I$2:$I$601))</f>
        <v/>
      </c>
    </row>
    <row r="130">
      <c r="H130" s="12">
        <f>IF(A130="","",COUNTIF(PARTICIPACIONES!$B$2:$B$601,A130))</f>
        <v/>
      </c>
      <c r="I130" s="13">
        <f>IF(A130="","",SUMIFS(PARTICIPACIONES!$M$2:$M$601,PARTICIPACIONES!$B$2:$B$601,A130,PARTICIPACIONES!$P$2:$P$601,"&lt;&gt;En ejecución"))</f>
        <v/>
      </c>
      <c r="J130" s="12">
        <f>IF(A130="","",H130+SUMIF($F$2:$F$601,A130,$H$2:$H$601))</f>
        <v/>
      </c>
      <c r="K130" s="13">
        <f>IF(A130="","",I130+SUMIF($F$2:$F$601,A130,$I$2:$I$601))</f>
        <v/>
      </c>
    </row>
    <row r="131">
      <c r="H131" s="12">
        <f>IF(A131="","",COUNTIF(PARTICIPACIONES!$B$2:$B$601,A131))</f>
        <v/>
      </c>
      <c r="I131" s="13">
        <f>IF(A131="","",SUMIFS(PARTICIPACIONES!$M$2:$M$601,PARTICIPACIONES!$B$2:$B$601,A131,PARTICIPACIONES!$P$2:$P$601,"&lt;&gt;En ejecución"))</f>
        <v/>
      </c>
      <c r="J131" s="12">
        <f>IF(A131="","",H131+SUMIF($F$2:$F$601,A131,$H$2:$H$601))</f>
        <v/>
      </c>
      <c r="K131" s="13">
        <f>IF(A131="","",I131+SUMIF($F$2:$F$601,A131,$I$2:$I$601))</f>
        <v/>
      </c>
    </row>
    <row r="132">
      <c r="H132" s="12">
        <f>IF(A132="","",COUNTIF(PARTICIPACIONES!$B$2:$B$601,A132))</f>
        <v/>
      </c>
      <c r="I132" s="13">
        <f>IF(A132="","",SUMIFS(PARTICIPACIONES!$M$2:$M$601,PARTICIPACIONES!$B$2:$B$601,A132,PARTICIPACIONES!$P$2:$P$601,"&lt;&gt;En ejecución"))</f>
        <v/>
      </c>
      <c r="J132" s="12">
        <f>IF(A132="","",H132+SUMIF($F$2:$F$601,A132,$H$2:$H$601))</f>
        <v/>
      </c>
      <c r="K132" s="13">
        <f>IF(A132="","",I132+SUMIF($F$2:$F$601,A132,$I$2:$I$601))</f>
        <v/>
      </c>
    </row>
    <row r="133">
      <c r="H133" s="12">
        <f>IF(A133="","",COUNTIF(PARTICIPACIONES!$B$2:$B$601,A133))</f>
        <v/>
      </c>
      <c r="I133" s="13">
        <f>IF(A133="","",SUMIFS(PARTICIPACIONES!$M$2:$M$601,PARTICIPACIONES!$B$2:$B$601,A133,PARTICIPACIONES!$P$2:$P$601,"&lt;&gt;En ejecución"))</f>
        <v/>
      </c>
      <c r="J133" s="12">
        <f>IF(A133="","",H133+SUMIF($F$2:$F$601,A133,$H$2:$H$601))</f>
        <v/>
      </c>
      <c r="K133" s="13">
        <f>IF(A133="","",I133+SUMIF($F$2:$F$601,A133,$I$2:$I$601))</f>
        <v/>
      </c>
    </row>
    <row r="134">
      <c r="H134" s="12">
        <f>IF(A134="","",COUNTIF(PARTICIPACIONES!$B$2:$B$601,A134))</f>
        <v/>
      </c>
      <c r="I134" s="13">
        <f>IF(A134="","",SUMIFS(PARTICIPACIONES!$M$2:$M$601,PARTICIPACIONES!$B$2:$B$601,A134,PARTICIPACIONES!$P$2:$P$601,"&lt;&gt;En ejecución"))</f>
        <v/>
      </c>
      <c r="J134" s="12">
        <f>IF(A134="","",H134+SUMIF($F$2:$F$601,A134,$H$2:$H$601))</f>
        <v/>
      </c>
      <c r="K134" s="13">
        <f>IF(A134="","",I134+SUMIF($F$2:$F$601,A134,$I$2:$I$601))</f>
        <v/>
      </c>
    </row>
    <row r="135">
      <c r="H135" s="12">
        <f>IF(A135="","",COUNTIF(PARTICIPACIONES!$B$2:$B$601,A135))</f>
        <v/>
      </c>
      <c r="I135" s="13">
        <f>IF(A135="","",SUMIFS(PARTICIPACIONES!$M$2:$M$601,PARTICIPACIONES!$B$2:$B$601,A135,PARTICIPACIONES!$P$2:$P$601,"&lt;&gt;En ejecución"))</f>
        <v/>
      </c>
      <c r="J135" s="12">
        <f>IF(A135="","",H135+SUMIF($F$2:$F$601,A135,$H$2:$H$601))</f>
        <v/>
      </c>
      <c r="K135" s="13">
        <f>IF(A135="","",I135+SUMIF($F$2:$F$601,A135,$I$2:$I$601))</f>
        <v/>
      </c>
    </row>
    <row r="136">
      <c r="H136" s="12">
        <f>IF(A136="","",COUNTIF(PARTICIPACIONES!$B$2:$B$601,A136))</f>
        <v/>
      </c>
      <c r="I136" s="13">
        <f>IF(A136="","",SUMIFS(PARTICIPACIONES!$M$2:$M$601,PARTICIPACIONES!$B$2:$B$601,A136,PARTICIPACIONES!$P$2:$P$601,"&lt;&gt;En ejecución"))</f>
        <v/>
      </c>
      <c r="J136" s="12">
        <f>IF(A136="","",H136+SUMIF($F$2:$F$601,A136,$H$2:$H$601))</f>
        <v/>
      </c>
      <c r="K136" s="13">
        <f>IF(A136="","",I136+SUMIF($F$2:$F$601,A136,$I$2:$I$601))</f>
        <v/>
      </c>
    </row>
    <row r="137">
      <c r="H137" s="12">
        <f>IF(A137="","",COUNTIF(PARTICIPACIONES!$B$2:$B$601,A137))</f>
        <v/>
      </c>
      <c r="I137" s="13">
        <f>IF(A137="","",SUMIFS(PARTICIPACIONES!$M$2:$M$601,PARTICIPACIONES!$B$2:$B$601,A137,PARTICIPACIONES!$P$2:$P$601,"&lt;&gt;En ejecución"))</f>
        <v/>
      </c>
      <c r="J137" s="12">
        <f>IF(A137="","",H137+SUMIF($F$2:$F$601,A137,$H$2:$H$601))</f>
        <v/>
      </c>
      <c r="K137" s="13">
        <f>IF(A137="","",I137+SUMIF($F$2:$F$601,A137,$I$2:$I$601))</f>
        <v/>
      </c>
    </row>
    <row r="138">
      <c r="H138" s="12">
        <f>IF(A138="","",COUNTIF(PARTICIPACIONES!$B$2:$B$601,A138))</f>
        <v/>
      </c>
      <c r="I138" s="13">
        <f>IF(A138="","",SUMIFS(PARTICIPACIONES!$M$2:$M$601,PARTICIPACIONES!$B$2:$B$601,A138,PARTICIPACIONES!$P$2:$P$601,"&lt;&gt;En ejecución"))</f>
        <v/>
      </c>
      <c r="J138" s="12">
        <f>IF(A138="","",H138+SUMIF($F$2:$F$601,A138,$H$2:$H$601))</f>
        <v/>
      </c>
      <c r="K138" s="13">
        <f>IF(A138="","",I138+SUMIF($F$2:$F$601,A138,$I$2:$I$601))</f>
        <v/>
      </c>
    </row>
    <row r="139">
      <c r="H139" s="12">
        <f>IF(A139="","",COUNTIF(PARTICIPACIONES!$B$2:$B$601,A139))</f>
        <v/>
      </c>
      <c r="I139" s="13">
        <f>IF(A139="","",SUMIFS(PARTICIPACIONES!$M$2:$M$601,PARTICIPACIONES!$B$2:$B$601,A139,PARTICIPACIONES!$P$2:$P$601,"&lt;&gt;En ejecución"))</f>
        <v/>
      </c>
      <c r="J139" s="12">
        <f>IF(A139="","",H139+SUMIF($F$2:$F$601,A139,$H$2:$H$601))</f>
        <v/>
      </c>
      <c r="K139" s="13">
        <f>IF(A139="","",I139+SUMIF($F$2:$F$601,A139,$I$2:$I$601))</f>
        <v/>
      </c>
    </row>
    <row r="140">
      <c r="H140" s="12">
        <f>IF(A140="","",COUNTIF(PARTICIPACIONES!$B$2:$B$601,A140))</f>
        <v/>
      </c>
      <c r="I140" s="13">
        <f>IF(A140="","",SUMIFS(PARTICIPACIONES!$M$2:$M$601,PARTICIPACIONES!$B$2:$B$601,A140,PARTICIPACIONES!$P$2:$P$601,"&lt;&gt;En ejecución"))</f>
        <v/>
      </c>
      <c r="J140" s="12">
        <f>IF(A140="","",H140+SUMIF($F$2:$F$601,A140,$H$2:$H$601))</f>
        <v/>
      </c>
      <c r="K140" s="13">
        <f>IF(A140="","",I140+SUMIF($F$2:$F$601,A140,$I$2:$I$601))</f>
        <v/>
      </c>
    </row>
    <row r="141">
      <c r="H141" s="12">
        <f>IF(A141="","",COUNTIF(PARTICIPACIONES!$B$2:$B$601,A141))</f>
        <v/>
      </c>
      <c r="I141" s="13">
        <f>IF(A141="","",SUMIFS(PARTICIPACIONES!$M$2:$M$601,PARTICIPACIONES!$B$2:$B$601,A141,PARTICIPACIONES!$P$2:$P$601,"&lt;&gt;En ejecución"))</f>
        <v/>
      </c>
      <c r="J141" s="12">
        <f>IF(A141="","",H141+SUMIF($F$2:$F$601,A141,$H$2:$H$601))</f>
        <v/>
      </c>
      <c r="K141" s="13">
        <f>IF(A141="","",I141+SUMIF($F$2:$F$601,A141,$I$2:$I$601))</f>
        <v/>
      </c>
    </row>
    <row r="142">
      <c r="H142" s="12">
        <f>IF(A142="","",COUNTIF(PARTICIPACIONES!$B$2:$B$601,A142))</f>
        <v/>
      </c>
      <c r="I142" s="13">
        <f>IF(A142="","",SUMIFS(PARTICIPACIONES!$M$2:$M$601,PARTICIPACIONES!$B$2:$B$601,A142,PARTICIPACIONES!$P$2:$P$601,"&lt;&gt;En ejecución"))</f>
        <v/>
      </c>
      <c r="J142" s="12">
        <f>IF(A142="","",H142+SUMIF($F$2:$F$601,A142,$H$2:$H$601))</f>
        <v/>
      </c>
      <c r="K142" s="13">
        <f>IF(A142="","",I142+SUMIF($F$2:$F$601,A142,$I$2:$I$601))</f>
        <v/>
      </c>
    </row>
    <row r="143">
      <c r="H143" s="12">
        <f>IF(A143="","",COUNTIF(PARTICIPACIONES!$B$2:$B$601,A143))</f>
        <v/>
      </c>
      <c r="I143" s="13">
        <f>IF(A143="","",SUMIFS(PARTICIPACIONES!$M$2:$M$601,PARTICIPACIONES!$B$2:$B$601,A143,PARTICIPACIONES!$P$2:$P$601,"&lt;&gt;En ejecución"))</f>
        <v/>
      </c>
      <c r="J143" s="12">
        <f>IF(A143="","",H143+SUMIF($F$2:$F$601,A143,$H$2:$H$601))</f>
        <v/>
      </c>
      <c r="K143" s="13">
        <f>IF(A143="","",I143+SUMIF($F$2:$F$601,A143,$I$2:$I$601))</f>
        <v/>
      </c>
    </row>
    <row r="144">
      <c r="H144" s="12">
        <f>IF(A144="","",COUNTIF(PARTICIPACIONES!$B$2:$B$601,A144))</f>
        <v/>
      </c>
      <c r="I144" s="13">
        <f>IF(A144="","",SUMIFS(PARTICIPACIONES!$M$2:$M$601,PARTICIPACIONES!$B$2:$B$601,A144,PARTICIPACIONES!$P$2:$P$601,"&lt;&gt;En ejecución"))</f>
        <v/>
      </c>
      <c r="J144" s="12">
        <f>IF(A144="","",H144+SUMIF($F$2:$F$601,A144,$H$2:$H$601))</f>
        <v/>
      </c>
      <c r="K144" s="13">
        <f>IF(A144="","",I144+SUMIF($F$2:$F$601,A144,$I$2:$I$601))</f>
        <v/>
      </c>
    </row>
    <row r="145">
      <c r="H145" s="12">
        <f>IF(A145="","",COUNTIF(PARTICIPACIONES!$B$2:$B$601,A145))</f>
        <v/>
      </c>
      <c r="I145" s="13">
        <f>IF(A145="","",SUMIFS(PARTICIPACIONES!$M$2:$M$601,PARTICIPACIONES!$B$2:$B$601,A145,PARTICIPACIONES!$P$2:$P$601,"&lt;&gt;En ejecución"))</f>
        <v/>
      </c>
      <c r="J145" s="12">
        <f>IF(A145="","",H145+SUMIF($F$2:$F$601,A145,$H$2:$H$601))</f>
        <v/>
      </c>
      <c r="K145" s="13">
        <f>IF(A145="","",I145+SUMIF($F$2:$F$601,A145,$I$2:$I$601))</f>
        <v/>
      </c>
    </row>
    <row r="146">
      <c r="H146" s="12">
        <f>IF(A146="","",COUNTIF(PARTICIPACIONES!$B$2:$B$601,A146))</f>
        <v/>
      </c>
      <c r="I146" s="13">
        <f>IF(A146="","",SUMIFS(PARTICIPACIONES!$M$2:$M$601,PARTICIPACIONES!$B$2:$B$601,A146,PARTICIPACIONES!$P$2:$P$601,"&lt;&gt;En ejecución"))</f>
        <v/>
      </c>
      <c r="J146" s="12">
        <f>IF(A146="","",H146+SUMIF($F$2:$F$601,A146,$H$2:$H$601))</f>
        <v/>
      </c>
      <c r="K146" s="13">
        <f>IF(A146="","",I146+SUMIF($F$2:$F$601,A146,$I$2:$I$601))</f>
        <v/>
      </c>
    </row>
    <row r="147">
      <c r="H147" s="12">
        <f>IF(A147="","",COUNTIF(PARTICIPACIONES!$B$2:$B$601,A147))</f>
        <v/>
      </c>
      <c r="I147" s="13">
        <f>IF(A147="","",SUMIFS(PARTICIPACIONES!$M$2:$M$601,PARTICIPACIONES!$B$2:$B$601,A147,PARTICIPACIONES!$P$2:$P$601,"&lt;&gt;En ejecución"))</f>
        <v/>
      </c>
      <c r="J147" s="12">
        <f>IF(A147="","",H147+SUMIF($F$2:$F$601,A147,$H$2:$H$601))</f>
        <v/>
      </c>
      <c r="K147" s="13">
        <f>IF(A147="","",I147+SUMIF($F$2:$F$601,A147,$I$2:$I$601))</f>
        <v/>
      </c>
    </row>
    <row r="148">
      <c r="H148" s="12">
        <f>IF(A148="","",COUNTIF(PARTICIPACIONES!$B$2:$B$601,A148))</f>
        <v/>
      </c>
      <c r="I148" s="13">
        <f>IF(A148="","",SUMIFS(PARTICIPACIONES!$M$2:$M$601,PARTICIPACIONES!$B$2:$B$601,A148,PARTICIPACIONES!$P$2:$P$601,"&lt;&gt;En ejecución"))</f>
        <v/>
      </c>
      <c r="J148" s="12">
        <f>IF(A148="","",H148+SUMIF($F$2:$F$601,A148,$H$2:$H$601))</f>
        <v/>
      </c>
      <c r="K148" s="13">
        <f>IF(A148="","",I148+SUMIF($F$2:$F$601,A148,$I$2:$I$601))</f>
        <v/>
      </c>
    </row>
    <row r="149">
      <c r="H149" s="12">
        <f>IF(A149="","",COUNTIF(PARTICIPACIONES!$B$2:$B$601,A149))</f>
        <v/>
      </c>
      <c r="I149" s="13">
        <f>IF(A149="","",SUMIFS(PARTICIPACIONES!$M$2:$M$601,PARTICIPACIONES!$B$2:$B$601,A149,PARTICIPACIONES!$P$2:$P$601,"&lt;&gt;En ejecución"))</f>
        <v/>
      </c>
      <c r="J149" s="12">
        <f>IF(A149="","",H149+SUMIF($F$2:$F$601,A149,$H$2:$H$601))</f>
        <v/>
      </c>
      <c r="K149" s="13">
        <f>IF(A149="","",I149+SUMIF($F$2:$F$601,A149,$I$2:$I$601))</f>
        <v/>
      </c>
    </row>
    <row r="150">
      <c r="H150" s="12">
        <f>IF(A150="","",COUNTIF(PARTICIPACIONES!$B$2:$B$601,A150))</f>
        <v/>
      </c>
      <c r="I150" s="13">
        <f>IF(A150="","",SUMIFS(PARTICIPACIONES!$M$2:$M$601,PARTICIPACIONES!$B$2:$B$601,A150,PARTICIPACIONES!$P$2:$P$601,"&lt;&gt;En ejecución"))</f>
        <v/>
      </c>
      <c r="J150" s="12">
        <f>IF(A150="","",H150+SUMIF($F$2:$F$601,A150,$H$2:$H$601))</f>
        <v/>
      </c>
      <c r="K150" s="13">
        <f>IF(A150="","",I150+SUMIF($F$2:$F$601,A150,$I$2:$I$601))</f>
        <v/>
      </c>
    </row>
    <row r="151">
      <c r="H151" s="12">
        <f>IF(A151="","",COUNTIF(PARTICIPACIONES!$B$2:$B$601,A151))</f>
        <v/>
      </c>
      <c r="I151" s="13">
        <f>IF(A151="","",SUMIFS(PARTICIPACIONES!$M$2:$M$601,PARTICIPACIONES!$B$2:$B$601,A151,PARTICIPACIONES!$P$2:$P$601,"&lt;&gt;En ejecución"))</f>
        <v/>
      </c>
      <c r="J151" s="12">
        <f>IF(A151="","",H151+SUMIF($F$2:$F$601,A151,$H$2:$H$601))</f>
        <v/>
      </c>
      <c r="K151" s="13">
        <f>IF(A151="","",I151+SUMIF($F$2:$F$601,A151,$I$2:$I$601))</f>
        <v/>
      </c>
    </row>
    <row r="152">
      <c r="H152" s="12">
        <f>IF(A152="","",COUNTIF(PARTICIPACIONES!$B$2:$B$601,A152))</f>
        <v/>
      </c>
      <c r="I152" s="13">
        <f>IF(A152="","",SUMIFS(PARTICIPACIONES!$M$2:$M$601,PARTICIPACIONES!$B$2:$B$601,A152,PARTICIPACIONES!$P$2:$P$601,"&lt;&gt;En ejecución"))</f>
        <v/>
      </c>
      <c r="J152" s="12">
        <f>IF(A152="","",H152+SUMIF($F$2:$F$601,A152,$H$2:$H$601))</f>
        <v/>
      </c>
      <c r="K152" s="13">
        <f>IF(A152="","",I152+SUMIF($F$2:$F$601,A152,$I$2:$I$601))</f>
        <v/>
      </c>
    </row>
    <row r="153">
      <c r="H153" s="12">
        <f>IF(A153="","",COUNTIF(PARTICIPACIONES!$B$2:$B$601,A153))</f>
        <v/>
      </c>
      <c r="I153" s="13">
        <f>IF(A153="","",SUMIFS(PARTICIPACIONES!$M$2:$M$601,PARTICIPACIONES!$B$2:$B$601,A153,PARTICIPACIONES!$P$2:$P$601,"&lt;&gt;En ejecución"))</f>
        <v/>
      </c>
      <c r="J153" s="12">
        <f>IF(A153="","",H153+SUMIF($F$2:$F$601,A153,$H$2:$H$601))</f>
        <v/>
      </c>
      <c r="K153" s="13">
        <f>IF(A153="","",I153+SUMIF($F$2:$F$601,A153,$I$2:$I$601))</f>
        <v/>
      </c>
    </row>
    <row r="154">
      <c r="H154" s="12">
        <f>IF(A154="","",COUNTIF(PARTICIPACIONES!$B$2:$B$601,A154))</f>
        <v/>
      </c>
      <c r="I154" s="13">
        <f>IF(A154="","",SUMIFS(PARTICIPACIONES!$M$2:$M$601,PARTICIPACIONES!$B$2:$B$601,A154,PARTICIPACIONES!$P$2:$P$601,"&lt;&gt;En ejecución"))</f>
        <v/>
      </c>
      <c r="J154" s="12">
        <f>IF(A154="","",H154+SUMIF($F$2:$F$601,A154,$H$2:$H$601))</f>
        <v/>
      </c>
      <c r="K154" s="13">
        <f>IF(A154="","",I154+SUMIF($F$2:$F$601,A154,$I$2:$I$601))</f>
        <v/>
      </c>
    </row>
    <row r="155">
      <c r="H155" s="12">
        <f>IF(A155="","",COUNTIF(PARTICIPACIONES!$B$2:$B$601,A155))</f>
        <v/>
      </c>
      <c r="I155" s="13">
        <f>IF(A155="","",SUMIFS(PARTICIPACIONES!$M$2:$M$601,PARTICIPACIONES!$B$2:$B$601,A155,PARTICIPACIONES!$P$2:$P$601,"&lt;&gt;En ejecución"))</f>
        <v/>
      </c>
      <c r="J155" s="12">
        <f>IF(A155="","",H155+SUMIF($F$2:$F$601,A155,$H$2:$H$601))</f>
        <v/>
      </c>
      <c r="K155" s="13">
        <f>IF(A155="","",I155+SUMIF($F$2:$F$601,A155,$I$2:$I$601))</f>
        <v/>
      </c>
    </row>
    <row r="156">
      <c r="H156" s="12">
        <f>IF(A156="","",COUNTIF(PARTICIPACIONES!$B$2:$B$601,A156))</f>
        <v/>
      </c>
      <c r="I156" s="13">
        <f>IF(A156="","",SUMIFS(PARTICIPACIONES!$M$2:$M$601,PARTICIPACIONES!$B$2:$B$601,A156,PARTICIPACIONES!$P$2:$P$601,"&lt;&gt;En ejecución"))</f>
        <v/>
      </c>
      <c r="J156" s="12">
        <f>IF(A156="","",H156+SUMIF($F$2:$F$601,A156,$H$2:$H$601))</f>
        <v/>
      </c>
      <c r="K156" s="13">
        <f>IF(A156="","",I156+SUMIF($F$2:$F$601,A156,$I$2:$I$601))</f>
        <v/>
      </c>
    </row>
    <row r="157">
      <c r="H157" s="12">
        <f>IF(A157="","",COUNTIF(PARTICIPACIONES!$B$2:$B$601,A157))</f>
        <v/>
      </c>
      <c r="I157" s="13">
        <f>IF(A157="","",SUMIFS(PARTICIPACIONES!$M$2:$M$601,PARTICIPACIONES!$B$2:$B$601,A157,PARTICIPACIONES!$P$2:$P$601,"&lt;&gt;En ejecución"))</f>
        <v/>
      </c>
      <c r="J157" s="12">
        <f>IF(A157="","",H157+SUMIF($F$2:$F$601,A157,$H$2:$H$601))</f>
        <v/>
      </c>
      <c r="K157" s="13">
        <f>IF(A157="","",I157+SUMIF($F$2:$F$601,A157,$I$2:$I$601))</f>
        <v/>
      </c>
    </row>
    <row r="158">
      <c r="H158" s="12">
        <f>IF(A158="","",COUNTIF(PARTICIPACIONES!$B$2:$B$601,A158))</f>
        <v/>
      </c>
      <c r="I158" s="13">
        <f>IF(A158="","",SUMIFS(PARTICIPACIONES!$M$2:$M$601,PARTICIPACIONES!$B$2:$B$601,A158,PARTICIPACIONES!$P$2:$P$601,"&lt;&gt;En ejecución"))</f>
        <v/>
      </c>
      <c r="J158" s="12">
        <f>IF(A158="","",H158+SUMIF($F$2:$F$601,A158,$H$2:$H$601))</f>
        <v/>
      </c>
      <c r="K158" s="13">
        <f>IF(A158="","",I158+SUMIF($F$2:$F$601,A158,$I$2:$I$601))</f>
        <v/>
      </c>
    </row>
    <row r="159">
      <c r="H159" s="12">
        <f>IF(A159="","",COUNTIF(PARTICIPACIONES!$B$2:$B$601,A159))</f>
        <v/>
      </c>
      <c r="I159" s="13">
        <f>IF(A159="","",SUMIFS(PARTICIPACIONES!$M$2:$M$601,PARTICIPACIONES!$B$2:$B$601,A159,PARTICIPACIONES!$P$2:$P$601,"&lt;&gt;En ejecución"))</f>
        <v/>
      </c>
      <c r="J159" s="12">
        <f>IF(A159="","",H159+SUMIF($F$2:$F$601,A159,$H$2:$H$601))</f>
        <v/>
      </c>
      <c r="K159" s="13">
        <f>IF(A159="","",I159+SUMIF($F$2:$F$601,A159,$I$2:$I$601))</f>
        <v/>
      </c>
    </row>
    <row r="160">
      <c r="H160" s="12">
        <f>IF(A160="","",COUNTIF(PARTICIPACIONES!$B$2:$B$601,A160))</f>
        <v/>
      </c>
      <c r="I160" s="13">
        <f>IF(A160="","",SUMIFS(PARTICIPACIONES!$M$2:$M$601,PARTICIPACIONES!$B$2:$B$601,A160,PARTICIPACIONES!$P$2:$P$601,"&lt;&gt;En ejecución"))</f>
        <v/>
      </c>
      <c r="J160" s="12">
        <f>IF(A160="","",H160+SUMIF($F$2:$F$601,A160,$H$2:$H$601))</f>
        <v/>
      </c>
      <c r="K160" s="13">
        <f>IF(A160="","",I160+SUMIF($F$2:$F$601,A160,$I$2:$I$601))</f>
        <v/>
      </c>
    </row>
    <row r="161">
      <c r="H161" s="12">
        <f>IF(A161="","",COUNTIF(PARTICIPACIONES!$B$2:$B$601,A161))</f>
        <v/>
      </c>
      <c r="I161" s="13">
        <f>IF(A161="","",SUMIFS(PARTICIPACIONES!$M$2:$M$601,PARTICIPACIONES!$B$2:$B$601,A161,PARTICIPACIONES!$P$2:$P$601,"&lt;&gt;En ejecución"))</f>
        <v/>
      </c>
      <c r="J161" s="12">
        <f>IF(A161="","",H161+SUMIF($F$2:$F$601,A161,$H$2:$H$601))</f>
        <v/>
      </c>
      <c r="K161" s="13">
        <f>IF(A161="","",I161+SUMIF($F$2:$F$601,A161,$I$2:$I$601))</f>
        <v/>
      </c>
    </row>
    <row r="162">
      <c r="H162" s="12">
        <f>IF(A162="","",COUNTIF(PARTICIPACIONES!$B$2:$B$601,A162))</f>
        <v/>
      </c>
      <c r="I162" s="13">
        <f>IF(A162="","",SUMIFS(PARTICIPACIONES!$M$2:$M$601,PARTICIPACIONES!$B$2:$B$601,A162,PARTICIPACIONES!$P$2:$P$601,"&lt;&gt;En ejecución"))</f>
        <v/>
      </c>
      <c r="J162" s="12">
        <f>IF(A162="","",H162+SUMIF($F$2:$F$601,A162,$H$2:$H$601))</f>
        <v/>
      </c>
      <c r="K162" s="13">
        <f>IF(A162="","",I162+SUMIF($F$2:$F$601,A162,$I$2:$I$601))</f>
        <v/>
      </c>
    </row>
    <row r="163">
      <c r="H163" s="12">
        <f>IF(A163="","",COUNTIF(PARTICIPACIONES!$B$2:$B$601,A163))</f>
        <v/>
      </c>
      <c r="I163" s="13">
        <f>IF(A163="","",SUMIFS(PARTICIPACIONES!$M$2:$M$601,PARTICIPACIONES!$B$2:$B$601,A163,PARTICIPACIONES!$P$2:$P$601,"&lt;&gt;En ejecución"))</f>
        <v/>
      </c>
      <c r="J163" s="12">
        <f>IF(A163="","",H163+SUMIF($F$2:$F$601,A163,$H$2:$H$601))</f>
        <v/>
      </c>
      <c r="K163" s="13">
        <f>IF(A163="","",I163+SUMIF($F$2:$F$601,A163,$I$2:$I$601))</f>
        <v/>
      </c>
    </row>
    <row r="164">
      <c r="H164" s="12">
        <f>IF(A164="","",COUNTIF(PARTICIPACIONES!$B$2:$B$601,A164))</f>
        <v/>
      </c>
      <c r="I164" s="13">
        <f>IF(A164="","",SUMIFS(PARTICIPACIONES!$M$2:$M$601,PARTICIPACIONES!$B$2:$B$601,A164,PARTICIPACIONES!$P$2:$P$601,"&lt;&gt;En ejecución"))</f>
        <v/>
      </c>
      <c r="J164" s="12">
        <f>IF(A164="","",H164+SUMIF($F$2:$F$601,A164,$H$2:$H$601))</f>
        <v/>
      </c>
      <c r="K164" s="13">
        <f>IF(A164="","",I164+SUMIF($F$2:$F$601,A164,$I$2:$I$601))</f>
        <v/>
      </c>
    </row>
    <row r="165">
      <c r="H165" s="12">
        <f>IF(A165="","",COUNTIF(PARTICIPACIONES!$B$2:$B$601,A165))</f>
        <v/>
      </c>
      <c r="I165" s="13">
        <f>IF(A165="","",SUMIFS(PARTICIPACIONES!$M$2:$M$601,PARTICIPACIONES!$B$2:$B$601,A165,PARTICIPACIONES!$P$2:$P$601,"&lt;&gt;En ejecución"))</f>
        <v/>
      </c>
      <c r="J165" s="12">
        <f>IF(A165="","",H165+SUMIF($F$2:$F$601,A165,$H$2:$H$601))</f>
        <v/>
      </c>
      <c r="K165" s="13">
        <f>IF(A165="","",I165+SUMIF($F$2:$F$601,A165,$I$2:$I$601))</f>
        <v/>
      </c>
    </row>
    <row r="166">
      <c r="H166" s="12">
        <f>IF(A166="","",COUNTIF(PARTICIPACIONES!$B$2:$B$601,A166))</f>
        <v/>
      </c>
      <c r="I166" s="13">
        <f>IF(A166="","",SUMIFS(PARTICIPACIONES!$M$2:$M$601,PARTICIPACIONES!$B$2:$B$601,A166,PARTICIPACIONES!$P$2:$P$601,"&lt;&gt;En ejecución"))</f>
        <v/>
      </c>
      <c r="J166" s="12">
        <f>IF(A166="","",H166+SUMIF($F$2:$F$601,A166,$H$2:$H$601))</f>
        <v/>
      </c>
      <c r="K166" s="13">
        <f>IF(A166="","",I166+SUMIF($F$2:$F$601,A166,$I$2:$I$601))</f>
        <v/>
      </c>
    </row>
    <row r="167">
      <c r="H167" s="12">
        <f>IF(A167="","",COUNTIF(PARTICIPACIONES!$B$2:$B$601,A167))</f>
        <v/>
      </c>
      <c r="I167" s="13">
        <f>IF(A167="","",SUMIFS(PARTICIPACIONES!$M$2:$M$601,PARTICIPACIONES!$B$2:$B$601,A167,PARTICIPACIONES!$P$2:$P$601,"&lt;&gt;En ejecución"))</f>
        <v/>
      </c>
      <c r="J167" s="12">
        <f>IF(A167="","",H167+SUMIF($F$2:$F$601,A167,$H$2:$H$601))</f>
        <v/>
      </c>
      <c r="K167" s="13">
        <f>IF(A167="","",I167+SUMIF($F$2:$F$601,A167,$I$2:$I$601))</f>
        <v/>
      </c>
    </row>
    <row r="168">
      <c r="H168" s="12">
        <f>IF(A168="","",COUNTIF(PARTICIPACIONES!$B$2:$B$601,A168))</f>
        <v/>
      </c>
      <c r="I168" s="13">
        <f>IF(A168="","",SUMIFS(PARTICIPACIONES!$M$2:$M$601,PARTICIPACIONES!$B$2:$B$601,A168,PARTICIPACIONES!$P$2:$P$601,"&lt;&gt;En ejecución"))</f>
        <v/>
      </c>
      <c r="J168" s="12">
        <f>IF(A168="","",H168+SUMIF($F$2:$F$601,A168,$H$2:$H$601))</f>
        <v/>
      </c>
      <c r="K168" s="13">
        <f>IF(A168="","",I168+SUMIF($F$2:$F$601,A168,$I$2:$I$601))</f>
        <v/>
      </c>
    </row>
    <row r="169">
      <c r="H169" s="12">
        <f>IF(A169="","",COUNTIF(PARTICIPACIONES!$B$2:$B$601,A169))</f>
        <v/>
      </c>
      <c r="I169" s="13">
        <f>IF(A169="","",SUMIFS(PARTICIPACIONES!$M$2:$M$601,PARTICIPACIONES!$B$2:$B$601,A169,PARTICIPACIONES!$P$2:$P$601,"&lt;&gt;En ejecución"))</f>
        <v/>
      </c>
      <c r="J169" s="12">
        <f>IF(A169="","",H169+SUMIF($F$2:$F$601,A169,$H$2:$H$601))</f>
        <v/>
      </c>
      <c r="K169" s="13">
        <f>IF(A169="","",I169+SUMIF($F$2:$F$601,A169,$I$2:$I$601))</f>
        <v/>
      </c>
    </row>
    <row r="170">
      <c r="H170" s="12">
        <f>IF(A170="","",COUNTIF(PARTICIPACIONES!$B$2:$B$601,A170))</f>
        <v/>
      </c>
      <c r="I170" s="13">
        <f>IF(A170="","",SUMIFS(PARTICIPACIONES!$M$2:$M$601,PARTICIPACIONES!$B$2:$B$601,A170,PARTICIPACIONES!$P$2:$P$601,"&lt;&gt;En ejecución"))</f>
        <v/>
      </c>
      <c r="J170" s="12">
        <f>IF(A170="","",H170+SUMIF($F$2:$F$601,A170,$H$2:$H$601))</f>
        <v/>
      </c>
      <c r="K170" s="13">
        <f>IF(A170="","",I170+SUMIF($F$2:$F$601,A170,$I$2:$I$601))</f>
        <v/>
      </c>
    </row>
    <row r="171">
      <c r="H171" s="12">
        <f>IF(A171="","",COUNTIF(PARTICIPACIONES!$B$2:$B$601,A171))</f>
        <v/>
      </c>
      <c r="I171" s="13">
        <f>IF(A171="","",SUMIFS(PARTICIPACIONES!$M$2:$M$601,PARTICIPACIONES!$B$2:$B$601,A171,PARTICIPACIONES!$P$2:$P$601,"&lt;&gt;En ejecución"))</f>
        <v/>
      </c>
      <c r="J171" s="12">
        <f>IF(A171="","",H171+SUMIF($F$2:$F$601,A171,$H$2:$H$601))</f>
        <v/>
      </c>
      <c r="K171" s="13">
        <f>IF(A171="","",I171+SUMIF($F$2:$F$601,A171,$I$2:$I$601))</f>
        <v/>
      </c>
    </row>
    <row r="172">
      <c r="H172" s="12">
        <f>IF(A172="","",COUNTIF(PARTICIPACIONES!$B$2:$B$601,A172))</f>
        <v/>
      </c>
      <c r="I172" s="13">
        <f>IF(A172="","",SUMIFS(PARTICIPACIONES!$M$2:$M$601,PARTICIPACIONES!$B$2:$B$601,A172,PARTICIPACIONES!$P$2:$P$601,"&lt;&gt;En ejecución"))</f>
        <v/>
      </c>
      <c r="J172" s="12">
        <f>IF(A172="","",H172+SUMIF($F$2:$F$601,A172,$H$2:$H$601))</f>
        <v/>
      </c>
      <c r="K172" s="13">
        <f>IF(A172="","",I172+SUMIF($F$2:$F$601,A172,$I$2:$I$601))</f>
        <v/>
      </c>
    </row>
    <row r="173">
      <c r="H173" s="12">
        <f>IF(A173="","",COUNTIF(PARTICIPACIONES!$B$2:$B$601,A173))</f>
        <v/>
      </c>
      <c r="I173" s="13">
        <f>IF(A173="","",SUMIFS(PARTICIPACIONES!$M$2:$M$601,PARTICIPACIONES!$B$2:$B$601,A173,PARTICIPACIONES!$P$2:$P$601,"&lt;&gt;En ejecución"))</f>
        <v/>
      </c>
      <c r="J173" s="12">
        <f>IF(A173="","",H173+SUMIF($F$2:$F$601,A173,$H$2:$H$601))</f>
        <v/>
      </c>
      <c r="K173" s="13">
        <f>IF(A173="","",I173+SUMIF($F$2:$F$601,A173,$I$2:$I$601))</f>
        <v/>
      </c>
    </row>
    <row r="174">
      <c r="H174" s="12">
        <f>IF(A174="","",COUNTIF(PARTICIPACIONES!$B$2:$B$601,A174))</f>
        <v/>
      </c>
      <c r="I174" s="13">
        <f>IF(A174="","",SUMIFS(PARTICIPACIONES!$M$2:$M$601,PARTICIPACIONES!$B$2:$B$601,A174,PARTICIPACIONES!$P$2:$P$601,"&lt;&gt;En ejecución"))</f>
        <v/>
      </c>
      <c r="J174" s="12">
        <f>IF(A174="","",H174+SUMIF($F$2:$F$601,A174,$H$2:$H$601))</f>
        <v/>
      </c>
      <c r="K174" s="13">
        <f>IF(A174="","",I174+SUMIF($F$2:$F$601,A174,$I$2:$I$601))</f>
        <v/>
      </c>
    </row>
    <row r="175">
      <c r="H175" s="12">
        <f>IF(A175="","",COUNTIF(PARTICIPACIONES!$B$2:$B$601,A175))</f>
        <v/>
      </c>
      <c r="I175" s="13">
        <f>IF(A175="","",SUMIFS(PARTICIPACIONES!$M$2:$M$601,PARTICIPACIONES!$B$2:$B$601,A175,PARTICIPACIONES!$P$2:$P$601,"&lt;&gt;En ejecución"))</f>
        <v/>
      </c>
      <c r="J175" s="12">
        <f>IF(A175="","",H175+SUMIF($F$2:$F$601,A175,$H$2:$H$601))</f>
        <v/>
      </c>
      <c r="K175" s="13">
        <f>IF(A175="","",I175+SUMIF($F$2:$F$601,A175,$I$2:$I$601))</f>
        <v/>
      </c>
    </row>
    <row r="176">
      <c r="H176" s="12">
        <f>IF(A176="","",COUNTIF(PARTICIPACIONES!$B$2:$B$601,A176))</f>
        <v/>
      </c>
      <c r="I176" s="13">
        <f>IF(A176="","",SUMIFS(PARTICIPACIONES!$M$2:$M$601,PARTICIPACIONES!$B$2:$B$601,A176,PARTICIPACIONES!$P$2:$P$601,"&lt;&gt;En ejecución"))</f>
        <v/>
      </c>
      <c r="J176" s="12">
        <f>IF(A176="","",H176+SUMIF($F$2:$F$601,A176,$H$2:$H$601))</f>
        <v/>
      </c>
      <c r="K176" s="13">
        <f>IF(A176="","",I176+SUMIF($F$2:$F$601,A176,$I$2:$I$601))</f>
        <v/>
      </c>
    </row>
    <row r="177">
      <c r="H177" s="12">
        <f>IF(A177="","",COUNTIF(PARTICIPACIONES!$B$2:$B$601,A177))</f>
        <v/>
      </c>
      <c r="I177" s="13">
        <f>IF(A177="","",SUMIFS(PARTICIPACIONES!$M$2:$M$601,PARTICIPACIONES!$B$2:$B$601,A177,PARTICIPACIONES!$P$2:$P$601,"&lt;&gt;En ejecución"))</f>
        <v/>
      </c>
      <c r="J177" s="12">
        <f>IF(A177="","",H177+SUMIF($F$2:$F$601,A177,$H$2:$H$601))</f>
        <v/>
      </c>
      <c r="K177" s="13">
        <f>IF(A177="","",I177+SUMIF($F$2:$F$601,A177,$I$2:$I$601))</f>
        <v/>
      </c>
    </row>
    <row r="178">
      <c r="H178" s="12">
        <f>IF(A178="","",COUNTIF(PARTICIPACIONES!$B$2:$B$601,A178))</f>
        <v/>
      </c>
      <c r="I178" s="13">
        <f>IF(A178="","",SUMIFS(PARTICIPACIONES!$M$2:$M$601,PARTICIPACIONES!$B$2:$B$601,A178,PARTICIPACIONES!$P$2:$P$601,"&lt;&gt;En ejecución"))</f>
        <v/>
      </c>
      <c r="J178" s="12">
        <f>IF(A178="","",H178+SUMIF($F$2:$F$601,A178,$H$2:$H$601))</f>
        <v/>
      </c>
      <c r="K178" s="13">
        <f>IF(A178="","",I178+SUMIF($F$2:$F$601,A178,$I$2:$I$601))</f>
        <v/>
      </c>
    </row>
    <row r="179">
      <c r="H179" s="12">
        <f>IF(A179="","",COUNTIF(PARTICIPACIONES!$B$2:$B$601,A179))</f>
        <v/>
      </c>
      <c r="I179" s="13">
        <f>IF(A179="","",SUMIFS(PARTICIPACIONES!$M$2:$M$601,PARTICIPACIONES!$B$2:$B$601,A179,PARTICIPACIONES!$P$2:$P$601,"&lt;&gt;En ejecución"))</f>
        <v/>
      </c>
      <c r="J179" s="12">
        <f>IF(A179="","",H179+SUMIF($F$2:$F$601,A179,$H$2:$H$601))</f>
        <v/>
      </c>
      <c r="K179" s="13">
        <f>IF(A179="","",I179+SUMIF($F$2:$F$601,A179,$I$2:$I$601))</f>
        <v/>
      </c>
    </row>
    <row r="180">
      <c r="H180" s="12">
        <f>IF(A180="","",COUNTIF(PARTICIPACIONES!$B$2:$B$601,A180))</f>
        <v/>
      </c>
      <c r="I180" s="13">
        <f>IF(A180="","",SUMIFS(PARTICIPACIONES!$M$2:$M$601,PARTICIPACIONES!$B$2:$B$601,A180,PARTICIPACIONES!$P$2:$P$601,"&lt;&gt;En ejecución"))</f>
        <v/>
      </c>
      <c r="J180" s="12">
        <f>IF(A180="","",H180+SUMIF($F$2:$F$601,A180,$H$2:$H$601))</f>
        <v/>
      </c>
      <c r="K180" s="13">
        <f>IF(A180="","",I180+SUMIF($F$2:$F$601,A180,$I$2:$I$601))</f>
        <v/>
      </c>
    </row>
    <row r="181">
      <c r="H181" s="12">
        <f>IF(A181="","",COUNTIF(PARTICIPACIONES!$B$2:$B$601,A181))</f>
        <v/>
      </c>
      <c r="I181" s="13">
        <f>IF(A181="","",SUMIFS(PARTICIPACIONES!$M$2:$M$601,PARTICIPACIONES!$B$2:$B$601,A181,PARTICIPACIONES!$P$2:$P$601,"&lt;&gt;En ejecución"))</f>
        <v/>
      </c>
      <c r="J181" s="12">
        <f>IF(A181="","",H181+SUMIF($F$2:$F$601,A181,$H$2:$H$601))</f>
        <v/>
      </c>
      <c r="K181" s="13">
        <f>IF(A181="","",I181+SUMIF($F$2:$F$601,A181,$I$2:$I$601))</f>
        <v/>
      </c>
    </row>
    <row r="182">
      <c r="H182" s="12">
        <f>IF(A182="","",COUNTIF(PARTICIPACIONES!$B$2:$B$601,A182))</f>
        <v/>
      </c>
      <c r="I182" s="13">
        <f>IF(A182="","",SUMIFS(PARTICIPACIONES!$M$2:$M$601,PARTICIPACIONES!$B$2:$B$601,A182,PARTICIPACIONES!$P$2:$P$601,"&lt;&gt;En ejecución"))</f>
        <v/>
      </c>
      <c r="J182" s="12">
        <f>IF(A182="","",H182+SUMIF($F$2:$F$601,A182,$H$2:$H$601))</f>
        <v/>
      </c>
      <c r="K182" s="13">
        <f>IF(A182="","",I182+SUMIF($F$2:$F$601,A182,$I$2:$I$601))</f>
        <v/>
      </c>
    </row>
    <row r="183">
      <c r="H183" s="12">
        <f>IF(A183="","",COUNTIF(PARTICIPACIONES!$B$2:$B$601,A183))</f>
        <v/>
      </c>
      <c r="I183" s="13">
        <f>IF(A183="","",SUMIFS(PARTICIPACIONES!$M$2:$M$601,PARTICIPACIONES!$B$2:$B$601,A183,PARTICIPACIONES!$P$2:$P$601,"&lt;&gt;En ejecución"))</f>
        <v/>
      </c>
      <c r="J183" s="12">
        <f>IF(A183="","",H183+SUMIF($F$2:$F$601,A183,$H$2:$H$601))</f>
        <v/>
      </c>
      <c r="K183" s="13">
        <f>IF(A183="","",I183+SUMIF($F$2:$F$601,A183,$I$2:$I$601))</f>
        <v/>
      </c>
    </row>
    <row r="184">
      <c r="H184" s="12">
        <f>IF(A184="","",COUNTIF(PARTICIPACIONES!$B$2:$B$601,A184))</f>
        <v/>
      </c>
      <c r="I184" s="13">
        <f>IF(A184="","",SUMIFS(PARTICIPACIONES!$M$2:$M$601,PARTICIPACIONES!$B$2:$B$601,A184,PARTICIPACIONES!$P$2:$P$601,"&lt;&gt;En ejecución"))</f>
        <v/>
      </c>
      <c r="J184" s="12">
        <f>IF(A184="","",H184+SUMIF($F$2:$F$601,A184,$H$2:$H$601))</f>
        <v/>
      </c>
      <c r="K184" s="13">
        <f>IF(A184="","",I184+SUMIF($F$2:$F$601,A184,$I$2:$I$601))</f>
        <v/>
      </c>
    </row>
    <row r="185">
      <c r="H185" s="12">
        <f>IF(A185="","",COUNTIF(PARTICIPACIONES!$B$2:$B$601,A185))</f>
        <v/>
      </c>
      <c r="I185" s="13">
        <f>IF(A185="","",SUMIFS(PARTICIPACIONES!$M$2:$M$601,PARTICIPACIONES!$B$2:$B$601,A185,PARTICIPACIONES!$P$2:$P$601,"&lt;&gt;En ejecución"))</f>
        <v/>
      </c>
      <c r="J185" s="12">
        <f>IF(A185="","",H185+SUMIF($F$2:$F$601,A185,$H$2:$H$601))</f>
        <v/>
      </c>
      <c r="K185" s="13">
        <f>IF(A185="","",I185+SUMIF($F$2:$F$601,A185,$I$2:$I$601))</f>
        <v/>
      </c>
    </row>
    <row r="186">
      <c r="H186" s="12">
        <f>IF(A186="","",COUNTIF(PARTICIPACIONES!$B$2:$B$601,A186))</f>
        <v/>
      </c>
      <c r="I186" s="13">
        <f>IF(A186="","",SUMIFS(PARTICIPACIONES!$M$2:$M$601,PARTICIPACIONES!$B$2:$B$601,A186,PARTICIPACIONES!$P$2:$P$601,"&lt;&gt;En ejecución"))</f>
        <v/>
      </c>
      <c r="J186" s="12">
        <f>IF(A186="","",H186+SUMIF($F$2:$F$601,A186,$H$2:$H$601))</f>
        <v/>
      </c>
      <c r="K186" s="13">
        <f>IF(A186="","",I186+SUMIF($F$2:$F$601,A186,$I$2:$I$601))</f>
        <v/>
      </c>
    </row>
    <row r="187">
      <c r="H187" s="12">
        <f>IF(A187="","",COUNTIF(PARTICIPACIONES!$B$2:$B$601,A187))</f>
        <v/>
      </c>
      <c r="I187" s="13">
        <f>IF(A187="","",SUMIFS(PARTICIPACIONES!$M$2:$M$601,PARTICIPACIONES!$B$2:$B$601,A187,PARTICIPACIONES!$P$2:$P$601,"&lt;&gt;En ejecución"))</f>
        <v/>
      </c>
      <c r="J187" s="12">
        <f>IF(A187="","",H187+SUMIF($F$2:$F$601,A187,$H$2:$H$601))</f>
        <v/>
      </c>
      <c r="K187" s="13">
        <f>IF(A187="","",I187+SUMIF($F$2:$F$601,A187,$I$2:$I$601))</f>
        <v/>
      </c>
    </row>
    <row r="188">
      <c r="H188" s="12">
        <f>IF(A188="","",COUNTIF(PARTICIPACIONES!$B$2:$B$601,A188))</f>
        <v/>
      </c>
      <c r="I188" s="13">
        <f>IF(A188="","",SUMIFS(PARTICIPACIONES!$M$2:$M$601,PARTICIPACIONES!$B$2:$B$601,A188,PARTICIPACIONES!$P$2:$P$601,"&lt;&gt;En ejecución"))</f>
        <v/>
      </c>
      <c r="J188" s="12">
        <f>IF(A188="","",H188+SUMIF($F$2:$F$601,A188,$H$2:$H$601))</f>
        <v/>
      </c>
      <c r="K188" s="13">
        <f>IF(A188="","",I188+SUMIF($F$2:$F$601,A188,$I$2:$I$601))</f>
        <v/>
      </c>
    </row>
    <row r="189">
      <c r="H189" s="12">
        <f>IF(A189="","",COUNTIF(PARTICIPACIONES!$B$2:$B$601,A189))</f>
        <v/>
      </c>
      <c r="I189" s="13">
        <f>IF(A189="","",SUMIFS(PARTICIPACIONES!$M$2:$M$601,PARTICIPACIONES!$B$2:$B$601,A189,PARTICIPACIONES!$P$2:$P$601,"&lt;&gt;En ejecución"))</f>
        <v/>
      </c>
      <c r="J189" s="12">
        <f>IF(A189="","",H189+SUMIF($F$2:$F$601,A189,$H$2:$H$601))</f>
        <v/>
      </c>
      <c r="K189" s="13">
        <f>IF(A189="","",I189+SUMIF($F$2:$F$601,A189,$I$2:$I$601))</f>
        <v/>
      </c>
    </row>
    <row r="190">
      <c r="H190" s="12">
        <f>IF(A190="","",COUNTIF(PARTICIPACIONES!$B$2:$B$601,A190))</f>
        <v/>
      </c>
      <c r="I190" s="13">
        <f>IF(A190="","",SUMIFS(PARTICIPACIONES!$M$2:$M$601,PARTICIPACIONES!$B$2:$B$601,A190,PARTICIPACIONES!$P$2:$P$601,"&lt;&gt;En ejecución"))</f>
        <v/>
      </c>
      <c r="J190" s="12">
        <f>IF(A190="","",H190+SUMIF($F$2:$F$601,A190,$H$2:$H$601))</f>
        <v/>
      </c>
      <c r="K190" s="13">
        <f>IF(A190="","",I190+SUMIF($F$2:$F$601,A190,$I$2:$I$601))</f>
        <v/>
      </c>
    </row>
    <row r="191">
      <c r="H191" s="12">
        <f>IF(A191="","",COUNTIF(PARTICIPACIONES!$B$2:$B$601,A191))</f>
        <v/>
      </c>
      <c r="I191" s="13">
        <f>IF(A191="","",SUMIFS(PARTICIPACIONES!$M$2:$M$601,PARTICIPACIONES!$B$2:$B$601,A191,PARTICIPACIONES!$P$2:$P$601,"&lt;&gt;En ejecución"))</f>
        <v/>
      </c>
      <c r="J191" s="12">
        <f>IF(A191="","",H191+SUMIF($F$2:$F$601,A191,$H$2:$H$601))</f>
        <v/>
      </c>
      <c r="K191" s="13">
        <f>IF(A191="","",I191+SUMIF($F$2:$F$601,A191,$I$2:$I$601))</f>
        <v/>
      </c>
    </row>
    <row r="192">
      <c r="H192" s="12">
        <f>IF(A192="","",COUNTIF(PARTICIPACIONES!$B$2:$B$601,A192))</f>
        <v/>
      </c>
      <c r="I192" s="13">
        <f>IF(A192="","",SUMIFS(PARTICIPACIONES!$M$2:$M$601,PARTICIPACIONES!$B$2:$B$601,A192,PARTICIPACIONES!$P$2:$P$601,"&lt;&gt;En ejecución"))</f>
        <v/>
      </c>
      <c r="J192" s="12">
        <f>IF(A192="","",H192+SUMIF($F$2:$F$601,A192,$H$2:$H$601))</f>
        <v/>
      </c>
      <c r="K192" s="13">
        <f>IF(A192="","",I192+SUMIF($F$2:$F$601,A192,$I$2:$I$601))</f>
        <v/>
      </c>
    </row>
    <row r="193">
      <c r="H193" s="12">
        <f>IF(A193="","",COUNTIF(PARTICIPACIONES!$B$2:$B$601,A193))</f>
        <v/>
      </c>
      <c r="I193" s="13">
        <f>IF(A193="","",SUMIFS(PARTICIPACIONES!$M$2:$M$601,PARTICIPACIONES!$B$2:$B$601,A193,PARTICIPACIONES!$P$2:$P$601,"&lt;&gt;En ejecución"))</f>
        <v/>
      </c>
      <c r="J193" s="12">
        <f>IF(A193="","",H193+SUMIF($F$2:$F$601,A193,$H$2:$H$601))</f>
        <v/>
      </c>
      <c r="K193" s="13">
        <f>IF(A193="","",I193+SUMIF($F$2:$F$601,A193,$I$2:$I$601))</f>
        <v/>
      </c>
    </row>
    <row r="194">
      <c r="H194" s="12">
        <f>IF(A194="","",COUNTIF(PARTICIPACIONES!$B$2:$B$601,A194))</f>
        <v/>
      </c>
      <c r="I194" s="13">
        <f>IF(A194="","",SUMIFS(PARTICIPACIONES!$M$2:$M$601,PARTICIPACIONES!$B$2:$B$601,A194,PARTICIPACIONES!$P$2:$P$601,"&lt;&gt;En ejecución"))</f>
        <v/>
      </c>
      <c r="J194" s="12">
        <f>IF(A194="","",H194+SUMIF($F$2:$F$601,A194,$H$2:$H$601))</f>
        <v/>
      </c>
      <c r="K194" s="13">
        <f>IF(A194="","",I194+SUMIF($F$2:$F$601,A194,$I$2:$I$601))</f>
        <v/>
      </c>
    </row>
    <row r="195">
      <c r="H195" s="12">
        <f>IF(A195="","",COUNTIF(PARTICIPACIONES!$B$2:$B$601,A195))</f>
        <v/>
      </c>
      <c r="I195" s="13">
        <f>IF(A195="","",SUMIFS(PARTICIPACIONES!$M$2:$M$601,PARTICIPACIONES!$B$2:$B$601,A195,PARTICIPACIONES!$P$2:$P$601,"&lt;&gt;En ejecución"))</f>
        <v/>
      </c>
      <c r="J195" s="12">
        <f>IF(A195="","",H195+SUMIF($F$2:$F$601,A195,$H$2:$H$601))</f>
        <v/>
      </c>
      <c r="K195" s="13">
        <f>IF(A195="","",I195+SUMIF($F$2:$F$601,A195,$I$2:$I$601))</f>
        <v/>
      </c>
    </row>
    <row r="196">
      <c r="H196" s="12">
        <f>IF(A196="","",COUNTIF(PARTICIPACIONES!$B$2:$B$601,A196))</f>
        <v/>
      </c>
      <c r="I196" s="13">
        <f>IF(A196="","",SUMIFS(PARTICIPACIONES!$M$2:$M$601,PARTICIPACIONES!$B$2:$B$601,A196,PARTICIPACIONES!$P$2:$P$601,"&lt;&gt;En ejecución"))</f>
        <v/>
      </c>
      <c r="J196" s="12">
        <f>IF(A196="","",H196+SUMIF($F$2:$F$601,A196,$H$2:$H$601))</f>
        <v/>
      </c>
      <c r="K196" s="13">
        <f>IF(A196="","",I196+SUMIF($F$2:$F$601,A196,$I$2:$I$601))</f>
        <v/>
      </c>
    </row>
    <row r="197">
      <c r="H197" s="12">
        <f>IF(A197="","",COUNTIF(PARTICIPACIONES!$B$2:$B$601,A197))</f>
        <v/>
      </c>
      <c r="I197" s="13">
        <f>IF(A197="","",SUMIFS(PARTICIPACIONES!$M$2:$M$601,PARTICIPACIONES!$B$2:$B$601,A197,PARTICIPACIONES!$P$2:$P$601,"&lt;&gt;En ejecución"))</f>
        <v/>
      </c>
      <c r="J197" s="12">
        <f>IF(A197="","",H197+SUMIF($F$2:$F$601,A197,$H$2:$H$601))</f>
        <v/>
      </c>
      <c r="K197" s="13">
        <f>IF(A197="","",I197+SUMIF($F$2:$F$601,A197,$I$2:$I$601))</f>
        <v/>
      </c>
    </row>
    <row r="198">
      <c r="H198" s="12">
        <f>IF(A198="","",COUNTIF(PARTICIPACIONES!$B$2:$B$601,A198))</f>
        <v/>
      </c>
      <c r="I198" s="13">
        <f>IF(A198="","",SUMIFS(PARTICIPACIONES!$M$2:$M$601,PARTICIPACIONES!$B$2:$B$601,A198,PARTICIPACIONES!$P$2:$P$601,"&lt;&gt;En ejecución"))</f>
        <v/>
      </c>
      <c r="J198" s="12">
        <f>IF(A198="","",H198+SUMIF($F$2:$F$601,A198,$H$2:$H$601))</f>
        <v/>
      </c>
      <c r="K198" s="13">
        <f>IF(A198="","",I198+SUMIF($F$2:$F$601,A198,$I$2:$I$601))</f>
        <v/>
      </c>
    </row>
    <row r="199">
      <c r="H199" s="12">
        <f>IF(A199="","",COUNTIF(PARTICIPACIONES!$B$2:$B$601,A199))</f>
        <v/>
      </c>
      <c r="I199" s="13">
        <f>IF(A199="","",SUMIFS(PARTICIPACIONES!$M$2:$M$601,PARTICIPACIONES!$B$2:$B$601,A199,PARTICIPACIONES!$P$2:$P$601,"&lt;&gt;En ejecución"))</f>
        <v/>
      </c>
      <c r="J199" s="12">
        <f>IF(A199="","",H199+SUMIF($F$2:$F$601,A199,$H$2:$H$601))</f>
        <v/>
      </c>
      <c r="K199" s="13">
        <f>IF(A199="","",I199+SUMIF($F$2:$F$601,A199,$I$2:$I$601))</f>
        <v/>
      </c>
    </row>
    <row r="200">
      <c r="H200" s="12">
        <f>IF(A200="","",COUNTIF(PARTICIPACIONES!$B$2:$B$601,A200))</f>
        <v/>
      </c>
      <c r="I200" s="13">
        <f>IF(A200="","",SUMIFS(PARTICIPACIONES!$M$2:$M$601,PARTICIPACIONES!$B$2:$B$601,A200,PARTICIPACIONES!$P$2:$P$601,"&lt;&gt;En ejecución"))</f>
        <v/>
      </c>
      <c r="J200" s="12">
        <f>IF(A200="","",H200+SUMIF($F$2:$F$601,A200,$H$2:$H$601))</f>
        <v/>
      </c>
      <c r="K200" s="13">
        <f>IF(A200="","",I200+SUMIF($F$2:$F$601,A200,$I$2:$I$601))</f>
        <v/>
      </c>
    </row>
    <row r="201">
      <c r="H201" s="12">
        <f>IF(A201="","",COUNTIF(PARTICIPACIONES!$B$2:$B$601,A201))</f>
        <v/>
      </c>
      <c r="I201" s="13">
        <f>IF(A201="","",SUMIFS(PARTICIPACIONES!$M$2:$M$601,PARTICIPACIONES!$B$2:$B$601,A201,PARTICIPACIONES!$P$2:$P$601,"&lt;&gt;En ejecución"))</f>
        <v/>
      </c>
      <c r="J201" s="12">
        <f>IF(A201="","",H201+SUMIF($F$2:$F$601,A201,$H$2:$H$601))</f>
        <v/>
      </c>
      <c r="K201" s="13">
        <f>IF(A201="","",I201+SUMIF($F$2:$F$601,A201,$I$2:$I$601))</f>
        <v/>
      </c>
    </row>
    <row r="202">
      <c r="H202" s="12">
        <f>IF(A202="","",COUNTIF(PARTICIPACIONES!$B$2:$B$601,A202))</f>
        <v/>
      </c>
      <c r="I202" s="13">
        <f>IF(A202="","",SUMIFS(PARTICIPACIONES!$M$2:$M$601,PARTICIPACIONES!$B$2:$B$601,A202,PARTICIPACIONES!$P$2:$P$601,"&lt;&gt;En ejecución"))</f>
        <v/>
      </c>
      <c r="J202" s="12">
        <f>IF(A202="","",H202+SUMIF($F$2:$F$601,A202,$H$2:$H$601))</f>
        <v/>
      </c>
      <c r="K202" s="13">
        <f>IF(A202="","",I202+SUMIF($F$2:$F$601,A202,$I$2:$I$601))</f>
        <v/>
      </c>
    </row>
    <row r="203">
      <c r="H203" s="12">
        <f>IF(A203="","",COUNTIF(PARTICIPACIONES!$B$2:$B$601,A203))</f>
        <v/>
      </c>
      <c r="I203" s="13">
        <f>IF(A203="","",SUMIFS(PARTICIPACIONES!$M$2:$M$601,PARTICIPACIONES!$B$2:$B$601,A203,PARTICIPACIONES!$P$2:$P$601,"&lt;&gt;En ejecución"))</f>
        <v/>
      </c>
      <c r="J203" s="12">
        <f>IF(A203="","",H203+SUMIF($F$2:$F$601,A203,$H$2:$H$601))</f>
        <v/>
      </c>
      <c r="K203" s="13">
        <f>IF(A203="","",I203+SUMIF($F$2:$F$601,A203,$I$2:$I$601))</f>
        <v/>
      </c>
    </row>
    <row r="204">
      <c r="H204" s="12">
        <f>IF(A204="","",COUNTIF(PARTICIPACIONES!$B$2:$B$601,A204))</f>
        <v/>
      </c>
      <c r="I204" s="13">
        <f>IF(A204="","",SUMIFS(PARTICIPACIONES!$M$2:$M$601,PARTICIPACIONES!$B$2:$B$601,A204,PARTICIPACIONES!$P$2:$P$601,"&lt;&gt;En ejecución"))</f>
        <v/>
      </c>
      <c r="J204" s="12">
        <f>IF(A204="","",H204+SUMIF($F$2:$F$601,A204,$H$2:$H$601))</f>
        <v/>
      </c>
      <c r="K204" s="13">
        <f>IF(A204="","",I204+SUMIF($F$2:$F$601,A204,$I$2:$I$601))</f>
        <v/>
      </c>
    </row>
    <row r="205">
      <c r="H205" s="12">
        <f>IF(A205="","",COUNTIF(PARTICIPACIONES!$B$2:$B$601,A205))</f>
        <v/>
      </c>
      <c r="I205" s="13">
        <f>IF(A205="","",SUMIFS(PARTICIPACIONES!$M$2:$M$601,PARTICIPACIONES!$B$2:$B$601,A205,PARTICIPACIONES!$P$2:$P$601,"&lt;&gt;En ejecución"))</f>
        <v/>
      </c>
      <c r="J205" s="12">
        <f>IF(A205="","",H205+SUMIF($F$2:$F$601,A205,$H$2:$H$601))</f>
        <v/>
      </c>
      <c r="K205" s="13">
        <f>IF(A205="","",I205+SUMIF($F$2:$F$601,A205,$I$2:$I$601))</f>
        <v/>
      </c>
    </row>
    <row r="206">
      <c r="H206" s="12">
        <f>IF(A206="","",COUNTIF(PARTICIPACIONES!$B$2:$B$601,A206))</f>
        <v/>
      </c>
      <c r="I206" s="13">
        <f>IF(A206="","",SUMIFS(PARTICIPACIONES!$M$2:$M$601,PARTICIPACIONES!$B$2:$B$601,A206,PARTICIPACIONES!$P$2:$P$601,"&lt;&gt;En ejecución"))</f>
        <v/>
      </c>
      <c r="J206" s="12">
        <f>IF(A206="","",H206+SUMIF($F$2:$F$601,A206,$H$2:$H$601))</f>
        <v/>
      </c>
      <c r="K206" s="13">
        <f>IF(A206="","",I206+SUMIF($F$2:$F$601,A206,$I$2:$I$601))</f>
        <v/>
      </c>
    </row>
    <row r="207">
      <c r="H207" s="12">
        <f>IF(A207="","",COUNTIF(PARTICIPACIONES!$B$2:$B$601,A207))</f>
        <v/>
      </c>
      <c r="I207" s="13">
        <f>IF(A207="","",SUMIFS(PARTICIPACIONES!$M$2:$M$601,PARTICIPACIONES!$B$2:$B$601,A207,PARTICIPACIONES!$P$2:$P$601,"&lt;&gt;En ejecución"))</f>
        <v/>
      </c>
      <c r="J207" s="12">
        <f>IF(A207="","",H207+SUMIF($F$2:$F$601,A207,$H$2:$H$601))</f>
        <v/>
      </c>
      <c r="K207" s="13">
        <f>IF(A207="","",I207+SUMIF($F$2:$F$601,A207,$I$2:$I$601))</f>
        <v/>
      </c>
    </row>
    <row r="208">
      <c r="H208" s="12">
        <f>IF(A208="","",COUNTIF(PARTICIPACIONES!$B$2:$B$601,A208))</f>
        <v/>
      </c>
      <c r="I208" s="13">
        <f>IF(A208="","",SUMIFS(PARTICIPACIONES!$M$2:$M$601,PARTICIPACIONES!$B$2:$B$601,A208,PARTICIPACIONES!$P$2:$P$601,"&lt;&gt;En ejecución"))</f>
        <v/>
      </c>
      <c r="J208" s="12">
        <f>IF(A208="","",H208+SUMIF($F$2:$F$601,A208,$H$2:$H$601))</f>
        <v/>
      </c>
      <c r="K208" s="13">
        <f>IF(A208="","",I208+SUMIF($F$2:$F$601,A208,$I$2:$I$601))</f>
        <v/>
      </c>
    </row>
    <row r="209">
      <c r="H209" s="12">
        <f>IF(A209="","",COUNTIF(PARTICIPACIONES!$B$2:$B$601,A209))</f>
        <v/>
      </c>
      <c r="I209" s="13">
        <f>IF(A209="","",SUMIFS(PARTICIPACIONES!$M$2:$M$601,PARTICIPACIONES!$B$2:$B$601,A209,PARTICIPACIONES!$P$2:$P$601,"&lt;&gt;En ejecución"))</f>
        <v/>
      </c>
      <c r="J209" s="12">
        <f>IF(A209="","",H209+SUMIF($F$2:$F$601,A209,$H$2:$H$601))</f>
        <v/>
      </c>
      <c r="K209" s="13">
        <f>IF(A209="","",I209+SUMIF($F$2:$F$601,A209,$I$2:$I$601))</f>
        <v/>
      </c>
    </row>
    <row r="210">
      <c r="H210" s="12">
        <f>IF(A210="","",COUNTIF(PARTICIPACIONES!$B$2:$B$601,A210))</f>
        <v/>
      </c>
      <c r="I210" s="13">
        <f>IF(A210="","",SUMIFS(PARTICIPACIONES!$M$2:$M$601,PARTICIPACIONES!$B$2:$B$601,A210,PARTICIPACIONES!$P$2:$P$601,"&lt;&gt;En ejecución"))</f>
        <v/>
      </c>
      <c r="J210" s="12">
        <f>IF(A210="","",H210+SUMIF($F$2:$F$601,A210,$H$2:$H$601))</f>
        <v/>
      </c>
      <c r="K210" s="13">
        <f>IF(A210="","",I210+SUMIF($F$2:$F$601,A210,$I$2:$I$601))</f>
        <v/>
      </c>
    </row>
    <row r="211">
      <c r="H211" s="12">
        <f>IF(A211="","",COUNTIF(PARTICIPACIONES!$B$2:$B$601,A211))</f>
        <v/>
      </c>
      <c r="I211" s="13">
        <f>IF(A211="","",SUMIFS(PARTICIPACIONES!$M$2:$M$601,PARTICIPACIONES!$B$2:$B$601,A211,PARTICIPACIONES!$P$2:$P$601,"&lt;&gt;En ejecución"))</f>
        <v/>
      </c>
      <c r="J211" s="12">
        <f>IF(A211="","",H211+SUMIF($F$2:$F$601,A211,$H$2:$H$601))</f>
        <v/>
      </c>
      <c r="K211" s="13">
        <f>IF(A211="","",I211+SUMIF($F$2:$F$601,A211,$I$2:$I$601))</f>
        <v/>
      </c>
    </row>
    <row r="212">
      <c r="H212" s="12">
        <f>IF(A212="","",COUNTIF(PARTICIPACIONES!$B$2:$B$601,A212))</f>
        <v/>
      </c>
      <c r="I212" s="13">
        <f>IF(A212="","",SUMIFS(PARTICIPACIONES!$M$2:$M$601,PARTICIPACIONES!$B$2:$B$601,A212,PARTICIPACIONES!$P$2:$P$601,"&lt;&gt;En ejecución"))</f>
        <v/>
      </c>
      <c r="J212" s="12">
        <f>IF(A212="","",H212+SUMIF($F$2:$F$601,A212,$H$2:$H$601))</f>
        <v/>
      </c>
      <c r="K212" s="13">
        <f>IF(A212="","",I212+SUMIF($F$2:$F$601,A212,$I$2:$I$601))</f>
        <v/>
      </c>
    </row>
    <row r="213">
      <c r="H213" s="12">
        <f>IF(A213="","",COUNTIF(PARTICIPACIONES!$B$2:$B$601,A213))</f>
        <v/>
      </c>
      <c r="I213" s="13">
        <f>IF(A213="","",SUMIFS(PARTICIPACIONES!$M$2:$M$601,PARTICIPACIONES!$B$2:$B$601,A213,PARTICIPACIONES!$P$2:$P$601,"&lt;&gt;En ejecución"))</f>
        <v/>
      </c>
      <c r="J213" s="12">
        <f>IF(A213="","",H213+SUMIF($F$2:$F$601,A213,$H$2:$H$601))</f>
        <v/>
      </c>
      <c r="K213" s="13">
        <f>IF(A213="","",I213+SUMIF($F$2:$F$601,A213,$I$2:$I$601))</f>
        <v/>
      </c>
    </row>
    <row r="214">
      <c r="H214" s="12">
        <f>IF(A214="","",COUNTIF(PARTICIPACIONES!$B$2:$B$601,A214))</f>
        <v/>
      </c>
      <c r="I214" s="13">
        <f>IF(A214="","",SUMIFS(PARTICIPACIONES!$M$2:$M$601,PARTICIPACIONES!$B$2:$B$601,A214,PARTICIPACIONES!$P$2:$P$601,"&lt;&gt;En ejecución"))</f>
        <v/>
      </c>
      <c r="J214" s="12">
        <f>IF(A214="","",H214+SUMIF($F$2:$F$601,A214,$H$2:$H$601))</f>
        <v/>
      </c>
      <c r="K214" s="13">
        <f>IF(A214="","",I214+SUMIF($F$2:$F$601,A214,$I$2:$I$601))</f>
        <v/>
      </c>
    </row>
    <row r="215">
      <c r="H215" s="12">
        <f>IF(A215="","",COUNTIF(PARTICIPACIONES!$B$2:$B$601,A215))</f>
        <v/>
      </c>
      <c r="I215" s="13">
        <f>IF(A215="","",SUMIFS(PARTICIPACIONES!$M$2:$M$601,PARTICIPACIONES!$B$2:$B$601,A215,PARTICIPACIONES!$P$2:$P$601,"&lt;&gt;En ejecución"))</f>
        <v/>
      </c>
      <c r="J215" s="12">
        <f>IF(A215="","",H215+SUMIF($F$2:$F$601,A215,$H$2:$H$601))</f>
        <v/>
      </c>
      <c r="K215" s="13">
        <f>IF(A215="","",I215+SUMIF($F$2:$F$601,A215,$I$2:$I$601))</f>
        <v/>
      </c>
    </row>
    <row r="216">
      <c r="H216" s="12">
        <f>IF(A216="","",COUNTIF(PARTICIPACIONES!$B$2:$B$601,A216))</f>
        <v/>
      </c>
      <c r="I216" s="13">
        <f>IF(A216="","",SUMIFS(PARTICIPACIONES!$M$2:$M$601,PARTICIPACIONES!$B$2:$B$601,A216,PARTICIPACIONES!$P$2:$P$601,"&lt;&gt;En ejecución"))</f>
        <v/>
      </c>
      <c r="J216" s="12">
        <f>IF(A216="","",H216+SUMIF($F$2:$F$601,A216,$H$2:$H$601))</f>
        <v/>
      </c>
      <c r="K216" s="13">
        <f>IF(A216="","",I216+SUMIF($F$2:$F$601,A216,$I$2:$I$601))</f>
        <v/>
      </c>
    </row>
    <row r="217">
      <c r="H217" s="12">
        <f>IF(A217="","",COUNTIF(PARTICIPACIONES!$B$2:$B$601,A217))</f>
        <v/>
      </c>
      <c r="I217" s="13">
        <f>IF(A217="","",SUMIFS(PARTICIPACIONES!$M$2:$M$601,PARTICIPACIONES!$B$2:$B$601,A217,PARTICIPACIONES!$P$2:$P$601,"&lt;&gt;En ejecución"))</f>
        <v/>
      </c>
      <c r="J217" s="12">
        <f>IF(A217="","",H217+SUMIF($F$2:$F$601,A217,$H$2:$H$601))</f>
        <v/>
      </c>
      <c r="K217" s="13">
        <f>IF(A217="","",I217+SUMIF($F$2:$F$601,A217,$I$2:$I$601))</f>
        <v/>
      </c>
    </row>
    <row r="218">
      <c r="H218" s="12">
        <f>IF(A218="","",COUNTIF(PARTICIPACIONES!$B$2:$B$601,A218))</f>
        <v/>
      </c>
      <c r="I218" s="13">
        <f>IF(A218="","",SUMIFS(PARTICIPACIONES!$M$2:$M$601,PARTICIPACIONES!$B$2:$B$601,A218,PARTICIPACIONES!$P$2:$P$601,"&lt;&gt;En ejecución"))</f>
        <v/>
      </c>
      <c r="J218" s="12">
        <f>IF(A218="","",H218+SUMIF($F$2:$F$601,A218,$H$2:$H$601))</f>
        <v/>
      </c>
      <c r="K218" s="13">
        <f>IF(A218="","",I218+SUMIF($F$2:$F$601,A218,$I$2:$I$601))</f>
        <v/>
      </c>
    </row>
    <row r="219">
      <c r="H219" s="12">
        <f>IF(A219="","",COUNTIF(PARTICIPACIONES!$B$2:$B$601,A219))</f>
        <v/>
      </c>
      <c r="I219" s="13">
        <f>IF(A219="","",SUMIFS(PARTICIPACIONES!$M$2:$M$601,PARTICIPACIONES!$B$2:$B$601,A219,PARTICIPACIONES!$P$2:$P$601,"&lt;&gt;En ejecución"))</f>
        <v/>
      </c>
      <c r="J219" s="12">
        <f>IF(A219="","",H219+SUMIF($F$2:$F$601,A219,$H$2:$H$601))</f>
        <v/>
      </c>
      <c r="K219" s="13">
        <f>IF(A219="","",I219+SUMIF($F$2:$F$601,A219,$I$2:$I$601))</f>
        <v/>
      </c>
    </row>
    <row r="220">
      <c r="H220" s="12">
        <f>IF(A220="","",COUNTIF(PARTICIPACIONES!$B$2:$B$601,A220))</f>
        <v/>
      </c>
      <c r="I220" s="13">
        <f>IF(A220="","",SUMIFS(PARTICIPACIONES!$M$2:$M$601,PARTICIPACIONES!$B$2:$B$601,A220,PARTICIPACIONES!$P$2:$P$601,"&lt;&gt;En ejecución"))</f>
        <v/>
      </c>
      <c r="J220" s="12">
        <f>IF(A220="","",H220+SUMIF($F$2:$F$601,A220,$H$2:$H$601))</f>
        <v/>
      </c>
      <c r="K220" s="13">
        <f>IF(A220="","",I220+SUMIF($F$2:$F$601,A220,$I$2:$I$601))</f>
        <v/>
      </c>
    </row>
    <row r="221">
      <c r="H221" s="12">
        <f>IF(A221="","",COUNTIF(PARTICIPACIONES!$B$2:$B$601,A221))</f>
        <v/>
      </c>
      <c r="I221" s="13">
        <f>IF(A221="","",SUMIFS(PARTICIPACIONES!$M$2:$M$601,PARTICIPACIONES!$B$2:$B$601,A221,PARTICIPACIONES!$P$2:$P$601,"&lt;&gt;En ejecución"))</f>
        <v/>
      </c>
      <c r="J221" s="12">
        <f>IF(A221="","",H221+SUMIF($F$2:$F$601,A221,$H$2:$H$601))</f>
        <v/>
      </c>
      <c r="K221" s="13">
        <f>IF(A221="","",I221+SUMIF($F$2:$F$601,A221,$I$2:$I$601))</f>
        <v/>
      </c>
    </row>
    <row r="222">
      <c r="H222" s="12">
        <f>IF(A222="","",COUNTIF(PARTICIPACIONES!$B$2:$B$601,A222))</f>
        <v/>
      </c>
      <c r="I222" s="13">
        <f>IF(A222="","",SUMIFS(PARTICIPACIONES!$M$2:$M$601,PARTICIPACIONES!$B$2:$B$601,A222,PARTICIPACIONES!$P$2:$P$601,"&lt;&gt;En ejecución"))</f>
        <v/>
      </c>
      <c r="J222" s="12">
        <f>IF(A222="","",H222+SUMIF($F$2:$F$601,A222,$H$2:$H$601))</f>
        <v/>
      </c>
      <c r="K222" s="13">
        <f>IF(A222="","",I222+SUMIF($F$2:$F$601,A222,$I$2:$I$601))</f>
        <v/>
      </c>
    </row>
    <row r="223">
      <c r="H223" s="12">
        <f>IF(A223="","",COUNTIF(PARTICIPACIONES!$B$2:$B$601,A223))</f>
        <v/>
      </c>
      <c r="I223" s="13">
        <f>IF(A223="","",SUMIFS(PARTICIPACIONES!$M$2:$M$601,PARTICIPACIONES!$B$2:$B$601,A223,PARTICIPACIONES!$P$2:$P$601,"&lt;&gt;En ejecución"))</f>
        <v/>
      </c>
      <c r="J223" s="12">
        <f>IF(A223="","",H223+SUMIF($F$2:$F$601,A223,$H$2:$H$601))</f>
        <v/>
      </c>
      <c r="K223" s="13">
        <f>IF(A223="","",I223+SUMIF($F$2:$F$601,A223,$I$2:$I$601))</f>
        <v/>
      </c>
    </row>
    <row r="224">
      <c r="H224" s="12">
        <f>IF(A224="","",COUNTIF(PARTICIPACIONES!$B$2:$B$601,A224))</f>
        <v/>
      </c>
      <c r="I224" s="13">
        <f>IF(A224="","",SUMIFS(PARTICIPACIONES!$M$2:$M$601,PARTICIPACIONES!$B$2:$B$601,A224,PARTICIPACIONES!$P$2:$P$601,"&lt;&gt;En ejecución"))</f>
        <v/>
      </c>
      <c r="J224" s="12">
        <f>IF(A224="","",H224+SUMIF($F$2:$F$601,A224,$H$2:$H$601))</f>
        <v/>
      </c>
      <c r="K224" s="13">
        <f>IF(A224="","",I224+SUMIF($F$2:$F$601,A224,$I$2:$I$601))</f>
        <v/>
      </c>
    </row>
    <row r="225">
      <c r="H225" s="12">
        <f>IF(A225="","",COUNTIF(PARTICIPACIONES!$B$2:$B$601,A225))</f>
        <v/>
      </c>
      <c r="I225" s="13">
        <f>IF(A225="","",SUMIFS(PARTICIPACIONES!$M$2:$M$601,PARTICIPACIONES!$B$2:$B$601,A225,PARTICIPACIONES!$P$2:$P$601,"&lt;&gt;En ejecución"))</f>
        <v/>
      </c>
      <c r="J225" s="12">
        <f>IF(A225="","",H225+SUMIF($F$2:$F$601,A225,$H$2:$H$601))</f>
        <v/>
      </c>
      <c r="K225" s="13">
        <f>IF(A225="","",I225+SUMIF($F$2:$F$601,A225,$I$2:$I$601))</f>
        <v/>
      </c>
    </row>
    <row r="226">
      <c r="H226" s="12">
        <f>IF(A226="","",COUNTIF(PARTICIPACIONES!$B$2:$B$601,A226))</f>
        <v/>
      </c>
      <c r="I226" s="13">
        <f>IF(A226="","",SUMIFS(PARTICIPACIONES!$M$2:$M$601,PARTICIPACIONES!$B$2:$B$601,A226,PARTICIPACIONES!$P$2:$P$601,"&lt;&gt;En ejecución"))</f>
        <v/>
      </c>
      <c r="J226" s="12">
        <f>IF(A226="","",H226+SUMIF($F$2:$F$601,A226,$H$2:$H$601))</f>
        <v/>
      </c>
      <c r="K226" s="13">
        <f>IF(A226="","",I226+SUMIF($F$2:$F$601,A226,$I$2:$I$601))</f>
        <v/>
      </c>
    </row>
    <row r="227">
      <c r="H227" s="12">
        <f>IF(A227="","",COUNTIF(PARTICIPACIONES!$B$2:$B$601,A227))</f>
        <v/>
      </c>
      <c r="I227" s="13">
        <f>IF(A227="","",SUMIFS(PARTICIPACIONES!$M$2:$M$601,PARTICIPACIONES!$B$2:$B$601,A227,PARTICIPACIONES!$P$2:$P$601,"&lt;&gt;En ejecución"))</f>
        <v/>
      </c>
      <c r="J227" s="12">
        <f>IF(A227="","",H227+SUMIF($F$2:$F$601,A227,$H$2:$H$601))</f>
        <v/>
      </c>
      <c r="K227" s="13">
        <f>IF(A227="","",I227+SUMIF($F$2:$F$601,A227,$I$2:$I$601))</f>
        <v/>
      </c>
    </row>
    <row r="228">
      <c r="H228" s="12">
        <f>IF(A228="","",COUNTIF(PARTICIPACIONES!$B$2:$B$601,A228))</f>
        <v/>
      </c>
      <c r="I228" s="13">
        <f>IF(A228="","",SUMIFS(PARTICIPACIONES!$M$2:$M$601,PARTICIPACIONES!$B$2:$B$601,A228,PARTICIPACIONES!$P$2:$P$601,"&lt;&gt;En ejecución"))</f>
        <v/>
      </c>
      <c r="J228" s="12">
        <f>IF(A228="","",H228+SUMIF($F$2:$F$601,A228,$H$2:$H$601))</f>
        <v/>
      </c>
      <c r="K228" s="13">
        <f>IF(A228="","",I228+SUMIF($F$2:$F$601,A228,$I$2:$I$601))</f>
        <v/>
      </c>
    </row>
    <row r="229">
      <c r="H229" s="12">
        <f>IF(A229="","",COUNTIF(PARTICIPACIONES!$B$2:$B$601,A229))</f>
        <v/>
      </c>
      <c r="I229" s="13">
        <f>IF(A229="","",SUMIFS(PARTICIPACIONES!$M$2:$M$601,PARTICIPACIONES!$B$2:$B$601,A229,PARTICIPACIONES!$P$2:$P$601,"&lt;&gt;En ejecución"))</f>
        <v/>
      </c>
      <c r="J229" s="12">
        <f>IF(A229="","",H229+SUMIF($F$2:$F$601,A229,$H$2:$H$601))</f>
        <v/>
      </c>
      <c r="K229" s="13">
        <f>IF(A229="","",I229+SUMIF($F$2:$F$601,A229,$I$2:$I$601))</f>
        <v/>
      </c>
    </row>
    <row r="230">
      <c r="H230" s="12">
        <f>IF(A230="","",COUNTIF(PARTICIPACIONES!$B$2:$B$601,A230))</f>
        <v/>
      </c>
      <c r="I230" s="13">
        <f>IF(A230="","",SUMIFS(PARTICIPACIONES!$M$2:$M$601,PARTICIPACIONES!$B$2:$B$601,A230,PARTICIPACIONES!$P$2:$P$601,"&lt;&gt;En ejecución"))</f>
        <v/>
      </c>
      <c r="J230" s="12">
        <f>IF(A230="","",H230+SUMIF($F$2:$F$601,A230,$H$2:$H$601))</f>
        <v/>
      </c>
      <c r="K230" s="13">
        <f>IF(A230="","",I230+SUMIF($F$2:$F$601,A230,$I$2:$I$601))</f>
        <v/>
      </c>
    </row>
    <row r="231">
      <c r="H231" s="12">
        <f>IF(A231="","",COUNTIF(PARTICIPACIONES!$B$2:$B$601,A231))</f>
        <v/>
      </c>
      <c r="I231" s="13">
        <f>IF(A231="","",SUMIFS(PARTICIPACIONES!$M$2:$M$601,PARTICIPACIONES!$B$2:$B$601,A231,PARTICIPACIONES!$P$2:$P$601,"&lt;&gt;En ejecución"))</f>
        <v/>
      </c>
      <c r="J231" s="12">
        <f>IF(A231="","",H231+SUMIF($F$2:$F$601,A231,$H$2:$H$601))</f>
        <v/>
      </c>
      <c r="K231" s="13">
        <f>IF(A231="","",I231+SUMIF($F$2:$F$601,A231,$I$2:$I$601))</f>
        <v/>
      </c>
    </row>
    <row r="232">
      <c r="H232" s="12">
        <f>IF(A232="","",COUNTIF(PARTICIPACIONES!$B$2:$B$601,A232))</f>
        <v/>
      </c>
      <c r="I232" s="13">
        <f>IF(A232="","",SUMIFS(PARTICIPACIONES!$M$2:$M$601,PARTICIPACIONES!$B$2:$B$601,A232,PARTICIPACIONES!$P$2:$P$601,"&lt;&gt;En ejecución"))</f>
        <v/>
      </c>
      <c r="J232" s="12">
        <f>IF(A232="","",H232+SUMIF($F$2:$F$601,A232,$H$2:$H$601))</f>
        <v/>
      </c>
      <c r="K232" s="13">
        <f>IF(A232="","",I232+SUMIF($F$2:$F$601,A232,$I$2:$I$601))</f>
        <v/>
      </c>
    </row>
    <row r="233">
      <c r="H233" s="12">
        <f>IF(A233="","",COUNTIF(PARTICIPACIONES!$B$2:$B$601,A233))</f>
        <v/>
      </c>
      <c r="I233" s="13">
        <f>IF(A233="","",SUMIFS(PARTICIPACIONES!$M$2:$M$601,PARTICIPACIONES!$B$2:$B$601,A233,PARTICIPACIONES!$P$2:$P$601,"&lt;&gt;En ejecución"))</f>
        <v/>
      </c>
      <c r="J233" s="12">
        <f>IF(A233="","",H233+SUMIF($F$2:$F$601,A233,$H$2:$H$601))</f>
        <v/>
      </c>
      <c r="K233" s="13">
        <f>IF(A233="","",I233+SUMIF($F$2:$F$601,A233,$I$2:$I$601))</f>
        <v/>
      </c>
    </row>
    <row r="234">
      <c r="H234" s="12">
        <f>IF(A234="","",COUNTIF(PARTICIPACIONES!$B$2:$B$601,A234))</f>
        <v/>
      </c>
      <c r="I234" s="13">
        <f>IF(A234="","",SUMIFS(PARTICIPACIONES!$M$2:$M$601,PARTICIPACIONES!$B$2:$B$601,A234,PARTICIPACIONES!$P$2:$P$601,"&lt;&gt;En ejecución"))</f>
        <v/>
      </c>
      <c r="J234" s="12">
        <f>IF(A234="","",H234+SUMIF($F$2:$F$601,A234,$H$2:$H$601))</f>
        <v/>
      </c>
      <c r="K234" s="13">
        <f>IF(A234="","",I234+SUMIF($F$2:$F$601,A234,$I$2:$I$601))</f>
        <v/>
      </c>
    </row>
    <row r="235">
      <c r="H235" s="12">
        <f>IF(A235="","",COUNTIF(PARTICIPACIONES!$B$2:$B$601,A235))</f>
        <v/>
      </c>
      <c r="I235" s="13">
        <f>IF(A235="","",SUMIFS(PARTICIPACIONES!$M$2:$M$601,PARTICIPACIONES!$B$2:$B$601,A235,PARTICIPACIONES!$P$2:$P$601,"&lt;&gt;En ejecución"))</f>
        <v/>
      </c>
      <c r="J235" s="12">
        <f>IF(A235="","",H235+SUMIF($F$2:$F$601,A235,$H$2:$H$601))</f>
        <v/>
      </c>
      <c r="K235" s="13">
        <f>IF(A235="","",I235+SUMIF($F$2:$F$601,A235,$I$2:$I$601))</f>
        <v/>
      </c>
    </row>
    <row r="236">
      <c r="H236" s="12">
        <f>IF(A236="","",COUNTIF(PARTICIPACIONES!$B$2:$B$601,A236))</f>
        <v/>
      </c>
      <c r="I236" s="13">
        <f>IF(A236="","",SUMIFS(PARTICIPACIONES!$M$2:$M$601,PARTICIPACIONES!$B$2:$B$601,A236,PARTICIPACIONES!$P$2:$P$601,"&lt;&gt;En ejecución"))</f>
        <v/>
      </c>
      <c r="J236" s="12">
        <f>IF(A236="","",H236+SUMIF($F$2:$F$601,A236,$H$2:$H$601))</f>
        <v/>
      </c>
      <c r="K236" s="13">
        <f>IF(A236="","",I236+SUMIF($F$2:$F$601,A236,$I$2:$I$601))</f>
        <v/>
      </c>
    </row>
    <row r="237">
      <c r="H237" s="12">
        <f>IF(A237="","",COUNTIF(PARTICIPACIONES!$B$2:$B$601,A237))</f>
        <v/>
      </c>
      <c r="I237" s="13">
        <f>IF(A237="","",SUMIFS(PARTICIPACIONES!$M$2:$M$601,PARTICIPACIONES!$B$2:$B$601,A237,PARTICIPACIONES!$P$2:$P$601,"&lt;&gt;En ejecución"))</f>
        <v/>
      </c>
      <c r="J237" s="12">
        <f>IF(A237="","",H237+SUMIF($F$2:$F$601,A237,$H$2:$H$601))</f>
        <v/>
      </c>
      <c r="K237" s="13">
        <f>IF(A237="","",I237+SUMIF($F$2:$F$601,A237,$I$2:$I$601))</f>
        <v/>
      </c>
    </row>
    <row r="238">
      <c r="H238" s="12">
        <f>IF(A238="","",COUNTIF(PARTICIPACIONES!$B$2:$B$601,A238))</f>
        <v/>
      </c>
      <c r="I238" s="13">
        <f>IF(A238="","",SUMIFS(PARTICIPACIONES!$M$2:$M$601,PARTICIPACIONES!$B$2:$B$601,A238,PARTICIPACIONES!$P$2:$P$601,"&lt;&gt;En ejecución"))</f>
        <v/>
      </c>
      <c r="J238" s="12">
        <f>IF(A238="","",H238+SUMIF($F$2:$F$601,A238,$H$2:$H$601))</f>
        <v/>
      </c>
      <c r="K238" s="13">
        <f>IF(A238="","",I238+SUMIF($F$2:$F$601,A238,$I$2:$I$601))</f>
        <v/>
      </c>
    </row>
    <row r="239">
      <c r="H239" s="12">
        <f>IF(A239="","",COUNTIF(PARTICIPACIONES!$B$2:$B$601,A239))</f>
        <v/>
      </c>
      <c r="I239" s="13">
        <f>IF(A239="","",SUMIFS(PARTICIPACIONES!$M$2:$M$601,PARTICIPACIONES!$B$2:$B$601,A239,PARTICIPACIONES!$P$2:$P$601,"&lt;&gt;En ejecución"))</f>
        <v/>
      </c>
      <c r="J239" s="12">
        <f>IF(A239="","",H239+SUMIF($F$2:$F$601,A239,$H$2:$H$601))</f>
        <v/>
      </c>
      <c r="K239" s="13">
        <f>IF(A239="","",I239+SUMIF($F$2:$F$601,A239,$I$2:$I$601))</f>
        <v/>
      </c>
    </row>
    <row r="240">
      <c r="H240" s="12">
        <f>IF(A240="","",COUNTIF(PARTICIPACIONES!$B$2:$B$601,A240))</f>
        <v/>
      </c>
      <c r="I240" s="13">
        <f>IF(A240="","",SUMIFS(PARTICIPACIONES!$M$2:$M$601,PARTICIPACIONES!$B$2:$B$601,A240,PARTICIPACIONES!$P$2:$P$601,"&lt;&gt;En ejecución"))</f>
        <v/>
      </c>
      <c r="J240" s="12">
        <f>IF(A240="","",H240+SUMIF($F$2:$F$601,A240,$H$2:$H$601))</f>
        <v/>
      </c>
      <c r="K240" s="13">
        <f>IF(A240="","",I240+SUMIF($F$2:$F$601,A240,$I$2:$I$601))</f>
        <v/>
      </c>
    </row>
    <row r="241">
      <c r="H241" s="12">
        <f>IF(A241="","",COUNTIF(PARTICIPACIONES!$B$2:$B$601,A241))</f>
        <v/>
      </c>
      <c r="I241" s="13">
        <f>IF(A241="","",SUMIFS(PARTICIPACIONES!$M$2:$M$601,PARTICIPACIONES!$B$2:$B$601,A241,PARTICIPACIONES!$P$2:$P$601,"&lt;&gt;En ejecución"))</f>
        <v/>
      </c>
      <c r="J241" s="12">
        <f>IF(A241="","",H241+SUMIF($F$2:$F$601,A241,$H$2:$H$601))</f>
        <v/>
      </c>
      <c r="K241" s="13">
        <f>IF(A241="","",I241+SUMIF($F$2:$F$601,A241,$I$2:$I$601))</f>
        <v/>
      </c>
    </row>
    <row r="242">
      <c r="H242" s="12">
        <f>IF(A242="","",COUNTIF(PARTICIPACIONES!$B$2:$B$601,A242))</f>
        <v/>
      </c>
      <c r="I242" s="13">
        <f>IF(A242="","",SUMIFS(PARTICIPACIONES!$M$2:$M$601,PARTICIPACIONES!$B$2:$B$601,A242,PARTICIPACIONES!$P$2:$P$601,"&lt;&gt;En ejecución"))</f>
        <v/>
      </c>
      <c r="J242" s="12">
        <f>IF(A242="","",H242+SUMIF($F$2:$F$601,A242,$H$2:$H$601))</f>
        <v/>
      </c>
      <c r="K242" s="13">
        <f>IF(A242="","",I242+SUMIF($F$2:$F$601,A242,$I$2:$I$601))</f>
        <v/>
      </c>
    </row>
    <row r="243">
      <c r="H243" s="12">
        <f>IF(A243="","",COUNTIF(PARTICIPACIONES!$B$2:$B$601,A243))</f>
        <v/>
      </c>
      <c r="I243" s="13">
        <f>IF(A243="","",SUMIFS(PARTICIPACIONES!$M$2:$M$601,PARTICIPACIONES!$B$2:$B$601,A243,PARTICIPACIONES!$P$2:$P$601,"&lt;&gt;En ejecución"))</f>
        <v/>
      </c>
      <c r="J243" s="12">
        <f>IF(A243="","",H243+SUMIF($F$2:$F$601,A243,$H$2:$H$601))</f>
        <v/>
      </c>
      <c r="K243" s="13">
        <f>IF(A243="","",I243+SUMIF($F$2:$F$601,A243,$I$2:$I$601))</f>
        <v/>
      </c>
    </row>
    <row r="244">
      <c r="H244" s="12">
        <f>IF(A244="","",COUNTIF(PARTICIPACIONES!$B$2:$B$601,A244))</f>
        <v/>
      </c>
      <c r="I244" s="13">
        <f>IF(A244="","",SUMIFS(PARTICIPACIONES!$M$2:$M$601,PARTICIPACIONES!$B$2:$B$601,A244,PARTICIPACIONES!$P$2:$P$601,"&lt;&gt;En ejecución"))</f>
        <v/>
      </c>
      <c r="J244" s="12">
        <f>IF(A244="","",H244+SUMIF($F$2:$F$601,A244,$H$2:$H$601))</f>
        <v/>
      </c>
      <c r="K244" s="13">
        <f>IF(A244="","",I244+SUMIF($F$2:$F$601,A244,$I$2:$I$601))</f>
        <v/>
      </c>
    </row>
    <row r="245">
      <c r="H245" s="12">
        <f>IF(A245="","",COUNTIF(PARTICIPACIONES!$B$2:$B$601,A245))</f>
        <v/>
      </c>
      <c r="I245" s="13">
        <f>IF(A245="","",SUMIFS(PARTICIPACIONES!$M$2:$M$601,PARTICIPACIONES!$B$2:$B$601,A245,PARTICIPACIONES!$P$2:$P$601,"&lt;&gt;En ejecución"))</f>
        <v/>
      </c>
      <c r="J245" s="12">
        <f>IF(A245="","",H245+SUMIF($F$2:$F$601,A245,$H$2:$H$601))</f>
        <v/>
      </c>
      <c r="K245" s="13">
        <f>IF(A245="","",I245+SUMIF($F$2:$F$601,A245,$I$2:$I$601))</f>
        <v/>
      </c>
    </row>
    <row r="246">
      <c r="H246" s="12">
        <f>IF(A246="","",COUNTIF(PARTICIPACIONES!$B$2:$B$601,A246))</f>
        <v/>
      </c>
      <c r="I246" s="13">
        <f>IF(A246="","",SUMIFS(PARTICIPACIONES!$M$2:$M$601,PARTICIPACIONES!$B$2:$B$601,A246,PARTICIPACIONES!$P$2:$P$601,"&lt;&gt;En ejecución"))</f>
        <v/>
      </c>
      <c r="J246" s="12">
        <f>IF(A246="","",H246+SUMIF($F$2:$F$601,A246,$H$2:$H$601))</f>
        <v/>
      </c>
      <c r="K246" s="13">
        <f>IF(A246="","",I246+SUMIF($F$2:$F$601,A246,$I$2:$I$601))</f>
        <v/>
      </c>
    </row>
    <row r="247">
      <c r="H247" s="12">
        <f>IF(A247="","",COUNTIF(PARTICIPACIONES!$B$2:$B$601,A247))</f>
        <v/>
      </c>
      <c r="I247" s="13">
        <f>IF(A247="","",SUMIFS(PARTICIPACIONES!$M$2:$M$601,PARTICIPACIONES!$B$2:$B$601,A247,PARTICIPACIONES!$P$2:$P$601,"&lt;&gt;En ejecución"))</f>
        <v/>
      </c>
      <c r="J247" s="12">
        <f>IF(A247="","",H247+SUMIF($F$2:$F$601,A247,$H$2:$H$601))</f>
        <v/>
      </c>
      <c r="K247" s="13">
        <f>IF(A247="","",I247+SUMIF($F$2:$F$601,A247,$I$2:$I$601))</f>
        <v/>
      </c>
    </row>
    <row r="248">
      <c r="H248" s="12">
        <f>IF(A248="","",COUNTIF(PARTICIPACIONES!$B$2:$B$601,A248))</f>
        <v/>
      </c>
      <c r="I248" s="13">
        <f>IF(A248="","",SUMIFS(PARTICIPACIONES!$M$2:$M$601,PARTICIPACIONES!$B$2:$B$601,A248,PARTICIPACIONES!$P$2:$P$601,"&lt;&gt;En ejecución"))</f>
        <v/>
      </c>
      <c r="J248" s="12">
        <f>IF(A248="","",H248+SUMIF($F$2:$F$601,A248,$H$2:$H$601))</f>
        <v/>
      </c>
      <c r="K248" s="13">
        <f>IF(A248="","",I248+SUMIF($F$2:$F$601,A248,$I$2:$I$601))</f>
        <v/>
      </c>
    </row>
    <row r="249">
      <c r="H249" s="12">
        <f>IF(A249="","",COUNTIF(PARTICIPACIONES!$B$2:$B$601,A249))</f>
        <v/>
      </c>
      <c r="I249" s="13">
        <f>IF(A249="","",SUMIFS(PARTICIPACIONES!$M$2:$M$601,PARTICIPACIONES!$B$2:$B$601,A249,PARTICIPACIONES!$P$2:$P$601,"&lt;&gt;En ejecución"))</f>
        <v/>
      </c>
      <c r="J249" s="12">
        <f>IF(A249="","",H249+SUMIF($F$2:$F$601,A249,$H$2:$H$601))</f>
        <v/>
      </c>
      <c r="K249" s="13">
        <f>IF(A249="","",I249+SUMIF($F$2:$F$601,A249,$I$2:$I$601))</f>
        <v/>
      </c>
    </row>
    <row r="250">
      <c r="H250" s="12">
        <f>IF(A250="","",COUNTIF(PARTICIPACIONES!$B$2:$B$601,A250))</f>
        <v/>
      </c>
      <c r="I250" s="13">
        <f>IF(A250="","",SUMIFS(PARTICIPACIONES!$M$2:$M$601,PARTICIPACIONES!$B$2:$B$601,A250,PARTICIPACIONES!$P$2:$P$601,"&lt;&gt;En ejecución"))</f>
        <v/>
      </c>
      <c r="J250" s="12">
        <f>IF(A250="","",H250+SUMIF($F$2:$F$601,A250,$H$2:$H$601))</f>
        <v/>
      </c>
      <c r="K250" s="13">
        <f>IF(A250="","",I250+SUMIF($F$2:$F$601,A250,$I$2:$I$601))</f>
        <v/>
      </c>
    </row>
    <row r="251">
      <c r="H251" s="12">
        <f>IF(A251="","",COUNTIF(PARTICIPACIONES!$B$2:$B$601,A251))</f>
        <v/>
      </c>
      <c r="I251" s="13">
        <f>IF(A251="","",SUMIFS(PARTICIPACIONES!$M$2:$M$601,PARTICIPACIONES!$B$2:$B$601,A251,PARTICIPACIONES!$P$2:$P$601,"&lt;&gt;En ejecución"))</f>
        <v/>
      </c>
      <c r="J251" s="12">
        <f>IF(A251="","",H251+SUMIF($F$2:$F$601,A251,$H$2:$H$601))</f>
        <v/>
      </c>
      <c r="K251" s="13">
        <f>IF(A251="","",I251+SUMIF($F$2:$F$601,A251,$I$2:$I$601))</f>
        <v/>
      </c>
    </row>
    <row r="252">
      <c r="H252" s="12">
        <f>IF(A252="","",COUNTIF(PARTICIPACIONES!$B$2:$B$601,A252))</f>
        <v/>
      </c>
      <c r="I252" s="13">
        <f>IF(A252="","",SUMIFS(PARTICIPACIONES!$M$2:$M$601,PARTICIPACIONES!$B$2:$B$601,A252,PARTICIPACIONES!$P$2:$P$601,"&lt;&gt;En ejecución"))</f>
        <v/>
      </c>
      <c r="J252" s="12">
        <f>IF(A252="","",H252+SUMIF($F$2:$F$601,A252,$H$2:$H$601))</f>
        <v/>
      </c>
      <c r="K252" s="13">
        <f>IF(A252="","",I252+SUMIF($F$2:$F$601,A252,$I$2:$I$601))</f>
        <v/>
      </c>
    </row>
    <row r="253">
      <c r="H253" s="12">
        <f>IF(A253="","",COUNTIF(PARTICIPACIONES!$B$2:$B$601,A253))</f>
        <v/>
      </c>
      <c r="I253" s="13">
        <f>IF(A253="","",SUMIFS(PARTICIPACIONES!$M$2:$M$601,PARTICIPACIONES!$B$2:$B$601,A253,PARTICIPACIONES!$P$2:$P$601,"&lt;&gt;En ejecución"))</f>
        <v/>
      </c>
      <c r="J253" s="12">
        <f>IF(A253="","",H253+SUMIF($F$2:$F$601,A253,$H$2:$H$601))</f>
        <v/>
      </c>
      <c r="K253" s="13">
        <f>IF(A253="","",I253+SUMIF($F$2:$F$601,A253,$I$2:$I$601))</f>
        <v/>
      </c>
    </row>
    <row r="254">
      <c r="H254" s="12">
        <f>IF(A254="","",COUNTIF(PARTICIPACIONES!$B$2:$B$601,A254))</f>
        <v/>
      </c>
      <c r="I254" s="13">
        <f>IF(A254="","",SUMIFS(PARTICIPACIONES!$M$2:$M$601,PARTICIPACIONES!$B$2:$B$601,A254,PARTICIPACIONES!$P$2:$P$601,"&lt;&gt;En ejecución"))</f>
        <v/>
      </c>
      <c r="J254" s="12">
        <f>IF(A254="","",H254+SUMIF($F$2:$F$601,A254,$H$2:$H$601))</f>
        <v/>
      </c>
      <c r="K254" s="13">
        <f>IF(A254="","",I254+SUMIF($F$2:$F$601,A254,$I$2:$I$601))</f>
        <v/>
      </c>
    </row>
    <row r="255">
      <c r="H255" s="12">
        <f>IF(A255="","",COUNTIF(PARTICIPACIONES!$B$2:$B$601,A255))</f>
        <v/>
      </c>
      <c r="I255" s="13">
        <f>IF(A255="","",SUMIFS(PARTICIPACIONES!$M$2:$M$601,PARTICIPACIONES!$B$2:$B$601,A255,PARTICIPACIONES!$P$2:$P$601,"&lt;&gt;En ejecución"))</f>
        <v/>
      </c>
      <c r="J255" s="12">
        <f>IF(A255="","",H255+SUMIF($F$2:$F$601,A255,$H$2:$H$601))</f>
        <v/>
      </c>
      <c r="K255" s="13">
        <f>IF(A255="","",I255+SUMIF($F$2:$F$601,A255,$I$2:$I$601))</f>
        <v/>
      </c>
    </row>
    <row r="256">
      <c r="H256" s="12">
        <f>IF(A256="","",COUNTIF(PARTICIPACIONES!$B$2:$B$601,A256))</f>
        <v/>
      </c>
      <c r="I256" s="13">
        <f>IF(A256="","",SUMIFS(PARTICIPACIONES!$M$2:$M$601,PARTICIPACIONES!$B$2:$B$601,A256,PARTICIPACIONES!$P$2:$P$601,"&lt;&gt;En ejecución"))</f>
        <v/>
      </c>
      <c r="J256" s="12">
        <f>IF(A256="","",H256+SUMIF($F$2:$F$601,A256,$H$2:$H$601))</f>
        <v/>
      </c>
      <c r="K256" s="13">
        <f>IF(A256="","",I256+SUMIF($F$2:$F$601,A256,$I$2:$I$601))</f>
        <v/>
      </c>
    </row>
    <row r="257">
      <c r="H257" s="12">
        <f>IF(A257="","",COUNTIF(PARTICIPACIONES!$B$2:$B$601,A257))</f>
        <v/>
      </c>
      <c r="I257" s="13">
        <f>IF(A257="","",SUMIFS(PARTICIPACIONES!$M$2:$M$601,PARTICIPACIONES!$B$2:$B$601,A257,PARTICIPACIONES!$P$2:$P$601,"&lt;&gt;En ejecución"))</f>
        <v/>
      </c>
      <c r="J257" s="12">
        <f>IF(A257="","",H257+SUMIF($F$2:$F$601,A257,$H$2:$H$601))</f>
        <v/>
      </c>
      <c r="K257" s="13">
        <f>IF(A257="","",I257+SUMIF($F$2:$F$601,A257,$I$2:$I$601))</f>
        <v/>
      </c>
    </row>
    <row r="258">
      <c r="H258" s="12">
        <f>IF(A258="","",COUNTIF(PARTICIPACIONES!$B$2:$B$601,A258))</f>
        <v/>
      </c>
      <c r="I258" s="13">
        <f>IF(A258="","",SUMIFS(PARTICIPACIONES!$M$2:$M$601,PARTICIPACIONES!$B$2:$B$601,A258,PARTICIPACIONES!$P$2:$P$601,"&lt;&gt;En ejecución"))</f>
        <v/>
      </c>
      <c r="J258" s="12">
        <f>IF(A258="","",H258+SUMIF($F$2:$F$601,A258,$H$2:$H$601))</f>
        <v/>
      </c>
      <c r="K258" s="13">
        <f>IF(A258="","",I258+SUMIF($F$2:$F$601,A258,$I$2:$I$601))</f>
        <v/>
      </c>
    </row>
    <row r="259">
      <c r="H259" s="12">
        <f>IF(A259="","",COUNTIF(PARTICIPACIONES!$B$2:$B$601,A259))</f>
        <v/>
      </c>
      <c r="I259" s="13">
        <f>IF(A259="","",SUMIFS(PARTICIPACIONES!$M$2:$M$601,PARTICIPACIONES!$B$2:$B$601,A259,PARTICIPACIONES!$P$2:$P$601,"&lt;&gt;En ejecución"))</f>
        <v/>
      </c>
      <c r="J259" s="12">
        <f>IF(A259="","",H259+SUMIF($F$2:$F$601,A259,$H$2:$H$601))</f>
        <v/>
      </c>
      <c r="K259" s="13">
        <f>IF(A259="","",I259+SUMIF($F$2:$F$601,A259,$I$2:$I$601))</f>
        <v/>
      </c>
    </row>
    <row r="260">
      <c r="H260" s="12">
        <f>IF(A260="","",COUNTIF(PARTICIPACIONES!$B$2:$B$601,A260))</f>
        <v/>
      </c>
      <c r="I260" s="13">
        <f>IF(A260="","",SUMIFS(PARTICIPACIONES!$M$2:$M$601,PARTICIPACIONES!$B$2:$B$601,A260,PARTICIPACIONES!$P$2:$P$601,"&lt;&gt;En ejecución"))</f>
        <v/>
      </c>
      <c r="J260" s="12">
        <f>IF(A260="","",H260+SUMIF($F$2:$F$601,A260,$H$2:$H$601))</f>
        <v/>
      </c>
      <c r="K260" s="13">
        <f>IF(A260="","",I260+SUMIF($F$2:$F$601,A260,$I$2:$I$601))</f>
        <v/>
      </c>
    </row>
    <row r="261">
      <c r="H261" s="12">
        <f>IF(A261="","",COUNTIF(PARTICIPACIONES!$B$2:$B$601,A261))</f>
        <v/>
      </c>
      <c r="I261" s="13">
        <f>IF(A261="","",SUMIFS(PARTICIPACIONES!$M$2:$M$601,PARTICIPACIONES!$B$2:$B$601,A261,PARTICIPACIONES!$P$2:$P$601,"&lt;&gt;En ejecución"))</f>
        <v/>
      </c>
      <c r="J261" s="12">
        <f>IF(A261="","",H261+SUMIF($F$2:$F$601,A261,$H$2:$H$601))</f>
        <v/>
      </c>
      <c r="K261" s="13">
        <f>IF(A261="","",I261+SUMIF($F$2:$F$601,A261,$I$2:$I$601))</f>
        <v/>
      </c>
    </row>
    <row r="262">
      <c r="H262" s="12">
        <f>IF(A262="","",COUNTIF(PARTICIPACIONES!$B$2:$B$601,A262))</f>
        <v/>
      </c>
      <c r="I262" s="13">
        <f>IF(A262="","",SUMIFS(PARTICIPACIONES!$M$2:$M$601,PARTICIPACIONES!$B$2:$B$601,A262,PARTICIPACIONES!$P$2:$P$601,"&lt;&gt;En ejecución"))</f>
        <v/>
      </c>
      <c r="J262" s="12">
        <f>IF(A262="","",H262+SUMIF($F$2:$F$601,A262,$H$2:$H$601))</f>
        <v/>
      </c>
      <c r="K262" s="13">
        <f>IF(A262="","",I262+SUMIF($F$2:$F$601,A262,$I$2:$I$601))</f>
        <v/>
      </c>
    </row>
    <row r="263">
      <c r="H263" s="12">
        <f>IF(A263="","",COUNTIF(PARTICIPACIONES!$B$2:$B$601,A263))</f>
        <v/>
      </c>
      <c r="I263" s="13">
        <f>IF(A263="","",SUMIFS(PARTICIPACIONES!$M$2:$M$601,PARTICIPACIONES!$B$2:$B$601,A263,PARTICIPACIONES!$P$2:$P$601,"&lt;&gt;En ejecución"))</f>
        <v/>
      </c>
      <c r="J263" s="12">
        <f>IF(A263="","",H263+SUMIF($F$2:$F$601,A263,$H$2:$H$601))</f>
        <v/>
      </c>
      <c r="K263" s="13">
        <f>IF(A263="","",I263+SUMIF($F$2:$F$601,A263,$I$2:$I$601))</f>
        <v/>
      </c>
    </row>
    <row r="264">
      <c r="H264" s="12">
        <f>IF(A264="","",COUNTIF(PARTICIPACIONES!$B$2:$B$601,A264))</f>
        <v/>
      </c>
      <c r="I264" s="13">
        <f>IF(A264="","",SUMIFS(PARTICIPACIONES!$M$2:$M$601,PARTICIPACIONES!$B$2:$B$601,A264,PARTICIPACIONES!$P$2:$P$601,"&lt;&gt;En ejecución"))</f>
        <v/>
      </c>
      <c r="J264" s="12">
        <f>IF(A264="","",H264+SUMIF($F$2:$F$601,A264,$H$2:$H$601))</f>
        <v/>
      </c>
      <c r="K264" s="13">
        <f>IF(A264="","",I264+SUMIF($F$2:$F$601,A264,$I$2:$I$601))</f>
        <v/>
      </c>
    </row>
    <row r="265">
      <c r="H265" s="12">
        <f>IF(A265="","",COUNTIF(PARTICIPACIONES!$B$2:$B$601,A265))</f>
        <v/>
      </c>
      <c r="I265" s="13">
        <f>IF(A265="","",SUMIFS(PARTICIPACIONES!$M$2:$M$601,PARTICIPACIONES!$B$2:$B$601,A265,PARTICIPACIONES!$P$2:$P$601,"&lt;&gt;En ejecución"))</f>
        <v/>
      </c>
      <c r="J265" s="12">
        <f>IF(A265="","",H265+SUMIF($F$2:$F$601,A265,$H$2:$H$601))</f>
        <v/>
      </c>
      <c r="K265" s="13">
        <f>IF(A265="","",I265+SUMIF($F$2:$F$601,A265,$I$2:$I$601))</f>
        <v/>
      </c>
    </row>
    <row r="266">
      <c r="H266" s="12">
        <f>IF(A266="","",COUNTIF(PARTICIPACIONES!$B$2:$B$601,A266))</f>
        <v/>
      </c>
      <c r="I266" s="13">
        <f>IF(A266="","",SUMIFS(PARTICIPACIONES!$M$2:$M$601,PARTICIPACIONES!$B$2:$B$601,A266,PARTICIPACIONES!$P$2:$P$601,"&lt;&gt;En ejecución"))</f>
        <v/>
      </c>
      <c r="J266" s="12">
        <f>IF(A266="","",H266+SUMIF($F$2:$F$601,A266,$H$2:$H$601))</f>
        <v/>
      </c>
      <c r="K266" s="13">
        <f>IF(A266="","",I266+SUMIF($F$2:$F$601,A266,$I$2:$I$601))</f>
        <v/>
      </c>
    </row>
    <row r="267">
      <c r="H267" s="12">
        <f>IF(A267="","",COUNTIF(PARTICIPACIONES!$B$2:$B$601,A267))</f>
        <v/>
      </c>
      <c r="I267" s="13">
        <f>IF(A267="","",SUMIFS(PARTICIPACIONES!$M$2:$M$601,PARTICIPACIONES!$B$2:$B$601,A267,PARTICIPACIONES!$P$2:$P$601,"&lt;&gt;En ejecución"))</f>
        <v/>
      </c>
      <c r="J267" s="12">
        <f>IF(A267="","",H267+SUMIF($F$2:$F$601,A267,$H$2:$H$601))</f>
        <v/>
      </c>
      <c r="K267" s="13">
        <f>IF(A267="","",I267+SUMIF($F$2:$F$601,A267,$I$2:$I$601))</f>
        <v/>
      </c>
    </row>
    <row r="268">
      <c r="H268" s="12">
        <f>IF(A268="","",COUNTIF(PARTICIPACIONES!$B$2:$B$601,A268))</f>
        <v/>
      </c>
      <c r="I268" s="13">
        <f>IF(A268="","",SUMIFS(PARTICIPACIONES!$M$2:$M$601,PARTICIPACIONES!$B$2:$B$601,A268,PARTICIPACIONES!$P$2:$P$601,"&lt;&gt;En ejecución"))</f>
        <v/>
      </c>
      <c r="J268" s="12">
        <f>IF(A268="","",H268+SUMIF($F$2:$F$601,A268,$H$2:$H$601))</f>
        <v/>
      </c>
      <c r="K268" s="13">
        <f>IF(A268="","",I268+SUMIF($F$2:$F$601,A268,$I$2:$I$601))</f>
        <v/>
      </c>
    </row>
    <row r="269">
      <c r="H269" s="12">
        <f>IF(A269="","",COUNTIF(PARTICIPACIONES!$B$2:$B$601,A269))</f>
        <v/>
      </c>
      <c r="I269" s="13">
        <f>IF(A269="","",SUMIFS(PARTICIPACIONES!$M$2:$M$601,PARTICIPACIONES!$B$2:$B$601,A269,PARTICIPACIONES!$P$2:$P$601,"&lt;&gt;En ejecución"))</f>
        <v/>
      </c>
      <c r="J269" s="12">
        <f>IF(A269="","",H269+SUMIF($F$2:$F$601,A269,$H$2:$H$601))</f>
        <v/>
      </c>
      <c r="K269" s="13">
        <f>IF(A269="","",I269+SUMIF($F$2:$F$601,A269,$I$2:$I$601))</f>
        <v/>
      </c>
    </row>
    <row r="270">
      <c r="H270" s="12">
        <f>IF(A270="","",COUNTIF(PARTICIPACIONES!$B$2:$B$601,A270))</f>
        <v/>
      </c>
      <c r="I270" s="13">
        <f>IF(A270="","",SUMIFS(PARTICIPACIONES!$M$2:$M$601,PARTICIPACIONES!$B$2:$B$601,A270,PARTICIPACIONES!$P$2:$P$601,"&lt;&gt;En ejecución"))</f>
        <v/>
      </c>
      <c r="J270" s="12">
        <f>IF(A270="","",H270+SUMIF($F$2:$F$601,A270,$H$2:$H$601))</f>
        <v/>
      </c>
      <c r="K270" s="13">
        <f>IF(A270="","",I270+SUMIF($F$2:$F$601,A270,$I$2:$I$601))</f>
        <v/>
      </c>
    </row>
    <row r="271">
      <c r="H271" s="12">
        <f>IF(A271="","",COUNTIF(PARTICIPACIONES!$B$2:$B$601,A271))</f>
        <v/>
      </c>
      <c r="I271" s="13">
        <f>IF(A271="","",SUMIFS(PARTICIPACIONES!$M$2:$M$601,PARTICIPACIONES!$B$2:$B$601,A271,PARTICIPACIONES!$P$2:$P$601,"&lt;&gt;En ejecución"))</f>
        <v/>
      </c>
      <c r="J271" s="12">
        <f>IF(A271="","",H271+SUMIF($F$2:$F$601,A271,$H$2:$H$601))</f>
        <v/>
      </c>
      <c r="K271" s="13">
        <f>IF(A271="","",I271+SUMIF($F$2:$F$601,A271,$I$2:$I$601))</f>
        <v/>
      </c>
    </row>
    <row r="272">
      <c r="H272" s="12">
        <f>IF(A272="","",COUNTIF(PARTICIPACIONES!$B$2:$B$601,A272))</f>
        <v/>
      </c>
      <c r="I272" s="13">
        <f>IF(A272="","",SUMIFS(PARTICIPACIONES!$M$2:$M$601,PARTICIPACIONES!$B$2:$B$601,A272,PARTICIPACIONES!$P$2:$P$601,"&lt;&gt;En ejecución"))</f>
        <v/>
      </c>
      <c r="J272" s="12">
        <f>IF(A272="","",H272+SUMIF($F$2:$F$601,A272,$H$2:$H$601))</f>
        <v/>
      </c>
      <c r="K272" s="13">
        <f>IF(A272="","",I272+SUMIF($F$2:$F$601,A272,$I$2:$I$601))</f>
        <v/>
      </c>
    </row>
    <row r="273">
      <c r="H273" s="12">
        <f>IF(A273="","",COUNTIF(PARTICIPACIONES!$B$2:$B$601,A273))</f>
        <v/>
      </c>
      <c r="I273" s="13">
        <f>IF(A273="","",SUMIFS(PARTICIPACIONES!$M$2:$M$601,PARTICIPACIONES!$B$2:$B$601,A273,PARTICIPACIONES!$P$2:$P$601,"&lt;&gt;En ejecución"))</f>
        <v/>
      </c>
      <c r="J273" s="12">
        <f>IF(A273="","",H273+SUMIF($F$2:$F$601,A273,$H$2:$H$601))</f>
        <v/>
      </c>
      <c r="K273" s="13">
        <f>IF(A273="","",I273+SUMIF($F$2:$F$601,A273,$I$2:$I$601))</f>
        <v/>
      </c>
    </row>
    <row r="274">
      <c r="H274" s="12">
        <f>IF(A274="","",COUNTIF(PARTICIPACIONES!$B$2:$B$601,A274))</f>
        <v/>
      </c>
      <c r="I274" s="13">
        <f>IF(A274="","",SUMIFS(PARTICIPACIONES!$M$2:$M$601,PARTICIPACIONES!$B$2:$B$601,A274,PARTICIPACIONES!$P$2:$P$601,"&lt;&gt;En ejecución"))</f>
        <v/>
      </c>
      <c r="J274" s="12">
        <f>IF(A274="","",H274+SUMIF($F$2:$F$601,A274,$H$2:$H$601))</f>
        <v/>
      </c>
      <c r="K274" s="13">
        <f>IF(A274="","",I274+SUMIF($F$2:$F$601,A274,$I$2:$I$601))</f>
        <v/>
      </c>
    </row>
    <row r="275">
      <c r="H275" s="12">
        <f>IF(A275="","",COUNTIF(PARTICIPACIONES!$B$2:$B$601,A275))</f>
        <v/>
      </c>
      <c r="I275" s="13">
        <f>IF(A275="","",SUMIFS(PARTICIPACIONES!$M$2:$M$601,PARTICIPACIONES!$B$2:$B$601,A275,PARTICIPACIONES!$P$2:$P$601,"&lt;&gt;En ejecución"))</f>
        <v/>
      </c>
      <c r="J275" s="12">
        <f>IF(A275="","",H275+SUMIF($F$2:$F$601,A275,$H$2:$H$601))</f>
        <v/>
      </c>
      <c r="K275" s="13">
        <f>IF(A275="","",I275+SUMIF($F$2:$F$601,A275,$I$2:$I$601))</f>
        <v/>
      </c>
    </row>
    <row r="276">
      <c r="H276" s="12">
        <f>IF(A276="","",COUNTIF(PARTICIPACIONES!$B$2:$B$601,A276))</f>
        <v/>
      </c>
      <c r="I276" s="13">
        <f>IF(A276="","",SUMIFS(PARTICIPACIONES!$M$2:$M$601,PARTICIPACIONES!$B$2:$B$601,A276,PARTICIPACIONES!$P$2:$P$601,"&lt;&gt;En ejecución"))</f>
        <v/>
      </c>
      <c r="J276" s="12">
        <f>IF(A276="","",H276+SUMIF($F$2:$F$601,A276,$H$2:$H$601))</f>
        <v/>
      </c>
      <c r="K276" s="13">
        <f>IF(A276="","",I276+SUMIF($F$2:$F$601,A276,$I$2:$I$601))</f>
        <v/>
      </c>
    </row>
    <row r="277">
      <c r="H277" s="12">
        <f>IF(A277="","",COUNTIF(PARTICIPACIONES!$B$2:$B$601,A277))</f>
        <v/>
      </c>
      <c r="I277" s="13">
        <f>IF(A277="","",SUMIFS(PARTICIPACIONES!$M$2:$M$601,PARTICIPACIONES!$B$2:$B$601,A277,PARTICIPACIONES!$P$2:$P$601,"&lt;&gt;En ejecución"))</f>
        <v/>
      </c>
      <c r="J277" s="12">
        <f>IF(A277="","",H277+SUMIF($F$2:$F$601,A277,$H$2:$H$601))</f>
        <v/>
      </c>
      <c r="K277" s="13">
        <f>IF(A277="","",I277+SUMIF($F$2:$F$601,A277,$I$2:$I$601))</f>
        <v/>
      </c>
    </row>
    <row r="278">
      <c r="H278" s="12">
        <f>IF(A278="","",COUNTIF(PARTICIPACIONES!$B$2:$B$601,A278))</f>
        <v/>
      </c>
      <c r="I278" s="13">
        <f>IF(A278="","",SUMIFS(PARTICIPACIONES!$M$2:$M$601,PARTICIPACIONES!$B$2:$B$601,A278,PARTICIPACIONES!$P$2:$P$601,"&lt;&gt;En ejecución"))</f>
        <v/>
      </c>
      <c r="J278" s="12">
        <f>IF(A278="","",H278+SUMIF($F$2:$F$601,A278,$H$2:$H$601))</f>
        <v/>
      </c>
      <c r="K278" s="13">
        <f>IF(A278="","",I278+SUMIF($F$2:$F$601,A278,$I$2:$I$601))</f>
        <v/>
      </c>
    </row>
    <row r="279">
      <c r="H279" s="12">
        <f>IF(A279="","",COUNTIF(PARTICIPACIONES!$B$2:$B$601,A279))</f>
        <v/>
      </c>
      <c r="I279" s="13">
        <f>IF(A279="","",SUMIFS(PARTICIPACIONES!$M$2:$M$601,PARTICIPACIONES!$B$2:$B$601,A279,PARTICIPACIONES!$P$2:$P$601,"&lt;&gt;En ejecución"))</f>
        <v/>
      </c>
      <c r="J279" s="12">
        <f>IF(A279="","",H279+SUMIF($F$2:$F$601,A279,$H$2:$H$601))</f>
        <v/>
      </c>
      <c r="K279" s="13">
        <f>IF(A279="","",I279+SUMIF($F$2:$F$601,A279,$I$2:$I$601))</f>
        <v/>
      </c>
    </row>
    <row r="280">
      <c r="H280" s="12">
        <f>IF(A280="","",COUNTIF(PARTICIPACIONES!$B$2:$B$601,A280))</f>
        <v/>
      </c>
      <c r="I280" s="13">
        <f>IF(A280="","",SUMIFS(PARTICIPACIONES!$M$2:$M$601,PARTICIPACIONES!$B$2:$B$601,A280,PARTICIPACIONES!$P$2:$P$601,"&lt;&gt;En ejecución"))</f>
        <v/>
      </c>
      <c r="J280" s="12">
        <f>IF(A280="","",H280+SUMIF($F$2:$F$601,A280,$H$2:$H$601))</f>
        <v/>
      </c>
      <c r="K280" s="13">
        <f>IF(A280="","",I280+SUMIF($F$2:$F$601,A280,$I$2:$I$601))</f>
        <v/>
      </c>
    </row>
    <row r="281">
      <c r="H281" s="12">
        <f>IF(A281="","",COUNTIF(PARTICIPACIONES!$B$2:$B$601,A281))</f>
        <v/>
      </c>
      <c r="I281" s="13">
        <f>IF(A281="","",SUMIFS(PARTICIPACIONES!$M$2:$M$601,PARTICIPACIONES!$B$2:$B$601,A281,PARTICIPACIONES!$P$2:$P$601,"&lt;&gt;En ejecución"))</f>
        <v/>
      </c>
      <c r="J281" s="12">
        <f>IF(A281="","",H281+SUMIF($F$2:$F$601,A281,$H$2:$H$601))</f>
        <v/>
      </c>
      <c r="K281" s="13">
        <f>IF(A281="","",I281+SUMIF($F$2:$F$601,A281,$I$2:$I$601))</f>
        <v/>
      </c>
    </row>
    <row r="282">
      <c r="H282" s="12">
        <f>IF(A282="","",COUNTIF(PARTICIPACIONES!$B$2:$B$601,A282))</f>
        <v/>
      </c>
      <c r="I282" s="13">
        <f>IF(A282="","",SUMIFS(PARTICIPACIONES!$M$2:$M$601,PARTICIPACIONES!$B$2:$B$601,A282,PARTICIPACIONES!$P$2:$P$601,"&lt;&gt;En ejecución"))</f>
        <v/>
      </c>
      <c r="J282" s="12">
        <f>IF(A282="","",H282+SUMIF($F$2:$F$601,A282,$H$2:$H$601))</f>
        <v/>
      </c>
      <c r="K282" s="13">
        <f>IF(A282="","",I282+SUMIF($F$2:$F$601,A282,$I$2:$I$601))</f>
        <v/>
      </c>
    </row>
    <row r="283">
      <c r="H283" s="12">
        <f>IF(A283="","",COUNTIF(PARTICIPACIONES!$B$2:$B$601,A283))</f>
        <v/>
      </c>
      <c r="I283" s="13">
        <f>IF(A283="","",SUMIFS(PARTICIPACIONES!$M$2:$M$601,PARTICIPACIONES!$B$2:$B$601,A283,PARTICIPACIONES!$P$2:$P$601,"&lt;&gt;En ejecución"))</f>
        <v/>
      </c>
      <c r="J283" s="12">
        <f>IF(A283="","",H283+SUMIF($F$2:$F$601,A283,$H$2:$H$601))</f>
        <v/>
      </c>
      <c r="K283" s="13">
        <f>IF(A283="","",I283+SUMIF($F$2:$F$601,A283,$I$2:$I$601))</f>
        <v/>
      </c>
    </row>
    <row r="284">
      <c r="H284" s="12">
        <f>IF(A284="","",COUNTIF(PARTICIPACIONES!$B$2:$B$601,A284))</f>
        <v/>
      </c>
      <c r="I284" s="13">
        <f>IF(A284="","",SUMIFS(PARTICIPACIONES!$M$2:$M$601,PARTICIPACIONES!$B$2:$B$601,A284,PARTICIPACIONES!$P$2:$P$601,"&lt;&gt;En ejecución"))</f>
        <v/>
      </c>
      <c r="J284" s="12">
        <f>IF(A284="","",H284+SUMIF($F$2:$F$601,A284,$H$2:$H$601))</f>
        <v/>
      </c>
      <c r="K284" s="13">
        <f>IF(A284="","",I284+SUMIF($F$2:$F$601,A284,$I$2:$I$601))</f>
        <v/>
      </c>
    </row>
    <row r="285">
      <c r="H285" s="12">
        <f>IF(A285="","",COUNTIF(PARTICIPACIONES!$B$2:$B$601,A285))</f>
        <v/>
      </c>
      <c r="I285" s="13">
        <f>IF(A285="","",SUMIFS(PARTICIPACIONES!$M$2:$M$601,PARTICIPACIONES!$B$2:$B$601,A285,PARTICIPACIONES!$P$2:$P$601,"&lt;&gt;En ejecución"))</f>
        <v/>
      </c>
      <c r="J285" s="12">
        <f>IF(A285="","",H285+SUMIF($F$2:$F$601,A285,$H$2:$H$601))</f>
        <v/>
      </c>
      <c r="K285" s="13">
        <f>IF(A285="","",I285+SUMIF($F$2:$F$601,A285,$I$2:$I$601))</f>
        <v/>
      </c>
    </row>
    <row r="286">
      <c r="H286" s="12">
        <f>IF(A286="","",COUNTIF(PARTICIPACIONES!$B$2:$B$601,A286))</f>
        <v/>
      </c>
      <c r="I286" s="13">
        <f>IF(A286="","",SUMIFS(PARTICIPACIONES!$M$2:$M$601,PARTICIPACIONES!$B$2:$B$601,A286,PARTICIPACIONES!$P$2:$P$601,"&lt;&gt;En ejecución"))</f>
        <v/>
      </c>
      <c r="J286" s="12">
        <f>IF(A286="","",H286+SUMIF($F$2:$F$601,A286,$H$2:$H$601))</f>
        <v/>
      </c>
      <c r="K286" s="13">
        <f>IF(A286="","",I286+SUMIF($F$2:$F$601,A286,$I$2:$I$601))</f>
        <v/>
      </c>
    </row>
    <row r="287">
      <c r="H287" s="12">
        <f>IF(A287="","",COUNTIF(PARTICIPACIONES!$B$2:$B$601,A287))</f>
        <v/>
      </c>
      <c r="I287" s="13">
        <f>IF(A287="","",SUMIFS(PARTICIPACIONES!$M$2:$M$601,PARTICIPACIONES!$B$2:$B$601,A287,PARTICIPACIONES!$P$2:$P$601,"&lt;&gt;En ejecución"))</f>
        <v/>
      </c>
      <c r="J287" s="12">
        <f>IF(A287="","",H287+SUMIF($F$2:$F$601,A287,$H$2:$H$601))</f>
        <v/>
      </c>
      <c r="K287" s="13">
        <f>IF(A287="","",I287+SUMIF($F$2:$F$601,A287,$I$2:$I$601))</f>
        <v/>
      </c>
    </row>
    <row r="288">
      <c r="H288" s="12">
        <f>IF(A288="","",COUNTIF(PARTICIPACIONES!$B$2:$B$601,A288))</f>
        <v/>
      </c>
      <c r="I288" s="13">
        <f>IF(A288="","",SUMIFS(PARTICIPACIONES!$M$2:$M$601,PARTICIPACIONES!$B$2:$B$601,A288,PARTICIPACIONES!$P$2:$P$601,"&lt;&gt;En ejecución"))</f>
        <v/>
      </c>
      <c r="J288" s="12">
        <f>IF(A288="","",H288+SUMIF($F$2:$F$601,A288,$H$2:$H$601))</f>
        <v/>
      </c>
      <c r="K288" s="13">
        <f>IF(A288="","",I288+SUMIF($F$2:$F$601,A288,$I$2:$I$601))</f>
        <v/>
      </c>
    </row>
    <row r="289">
      <c r="H289" s="12">
        <f>IF(A289="","",COUNTIF(PARTICIPACIONES!$B$2:$B$601,A289))</f>
        <v/>
      </c>
      <c r="I289" s="13">
        <f>IF(A289="","",SUMIFS(PARTICIPACIONES!$M$2:$M$601,PARTICIPACIONES!$B$2:$B$601,A289,PARTICIPACIONES!$P$2:$P$601,"&lt;&gt;En ejecución"))</f>
        <v/>
      </c>
      <c r="J289" s="12">
        <f>IF(A289="","",H289+SUMIF($F$2:$F$601,A289,$H$2:$H$601))</f>
        <v/>
      </c>
      <c r="K289" s="13">
        <f>IF(A289="","",I289+SUMIF($F$2:$F$601,A289,$I$2:$I$601))</f>
        <v/>
      </c>
    </row>
    <row r="290">
      <c r="H290" s="12">
        <f>IF(A290="","",COUNTIF(PARTICIPACIONES!$B$2:$B$601,A290))</f>
        <v/>
      </c>
      <c r="I290" s="13">
        <f>IF(A290="","",SUMIFS(PARTICIPACIONES!$M$2:$M$601,PARTICIPACIONES!$B$2:$B$601,A290,PARTICIPACIONES!$P$2:$P$601,"&lt;&gt;En ejecución"))</f>
        <v/>
      </c>
      <c r="J290" s="12">
        <f>IF(A290="","",H290+SUMIF($F$2:$F$601,A290,$H$2:$H$601))</f>
        <v/>
      </c>
      <c r="K290" s="13">
        <f>IF(A290="","",I290+SUMIF($F$2:$F$601,A290,$I$2:$I$601))</f>
        <v/>
      </c>
    </row>
    <row r="291">
      <c r="H291" s="12">
        <f>IF(A291="","",COUNTIF(PARTICIPACIONES!$B$2:$B$601,A291))</f>
        <v/>
      </c>
      <c r="I291" s="13">
        <f>IF(A291="","",SUMIFS(PARTICIPACIONES!$M$2:$M$601,PARTICIPACIONES!$B$2:$B$601,A291,PARTICIPACIONES!$P$2:$P$601,"&lt;&gt;En ejecución"))</f>
        <v/>
      </c>
      <c r="J291" s="12">
        <f>IF(A291="","",H291+SUMIF($F$2:$F$601,A291,$H$2:$H$601))</f>
        <v/>
      </c>
      <c r="K291" s="13">
        <f>IF(A291="","",I291+SUMIF($F$2:$F$601,A291,$I$2:$I$601))</f>
        <v/>
      </c>
    </row>
    <row r="292">
      <c r="H292" s="12">
        <f>IF(A292="","",COUNTIF(PARTICIPACIONES!$B$2:$B$601,A292))</f>
        <v/>
      </c>
      <c r="I292" s="13">
        <f>IF(A292="","",SUMIFS(PARTICIPACIONES!$M$2:$M$601,PARTICIPACIONES!$B$2:$B$601,A292,PARTICIPACIONES!$P$2:$P$601,"&lt;&gt;En ejecución"))</f>
        <v/>
      </c>
      <c r="J292" s="12">
        <f>IF(A292="","",H292+SUMIF($F$2:$F$601,A292,$H$2:$H$601))</f>
        <v/>
      </c>
      <c r="K292" s="13">
        <f>IF(A292="","",I292+SUMIF($F$2:$F$601,A292,$I$2:$I$601))</f>
        <v/>
      </c>
    </row>
    <row r="293">
      <c r="H293" s="12">
        <f>IF(A293="","",COUNTIF(PARTICIPACIONES!$B$2:$B$601,A293))</f>
        <v/>
      </c>
      <c r="I293" s="13">
        <f>IF(A293="","",SUMIFS(PARTICIPACIONES!$M$2:$M$601,PARTICIPACIONES!$B$2:$B$601,A293,PARTICIPACIONES!$P$2:$P$601,"&lt;&gt;En ejecución"))</f>
        <v/>
      </c>
      <c r="J293" s="12">
        <f>IF(A293="","",H293+SUMIF($F$2:$F$601,A293,$H$2:$H$601))</f>
        <v/>
      </c>
      <c r="K293" s="13">
        <f>IF(A293="","",I293+SUMIF($F$2:$F$601,A293,$I$2:$I$601))</f>
        <v/>
      </c>
    </row>
    <row r="294">
      <c r="H294" s="12">
        <f>IF(A294="","",COUNTIF(PARTICIPACIONES!$B$2:$B$601,A294))</f>
        <v/>
      </c>
      <c r="I294" s="13">
        <f>IF(A294="","",SUMIFS(PARTICIPACIONES!$M$2:$M$601,PARTICIPACIONES!$B$2:$B$601,A294,PARTICIPACIONES!$P$2:$P$601,"&lt;&gt;En ejecución"))</f>
        <v/>
      </c>
      <c r="J294" s="12">
        <f>IF(A294="","",H294+SUMIF($F$2:$F$601,A294,$H$2:$H$601))</f>
        <v/>
      </c>
      <c r="K294" s="13">
        <f>IF(A294="","",I294+SUMIF($F$2:$F$601,A294,$I$2:$I$601))</f>
        <v/>
      </c>
    </row>
    <row r="295">
      <c r="H295" s="12">
        <f>IF(A295="","",COUNTIF(PARTICIPACIONES!$B$2:$B$601,A295))</f>
        <v/>
      </c>
      <c r="I295" s="13">
        <f>IF(A295="","",SUMIFS(PARTICIPACIONES!$M$2:$M$601,PARTICIPACIONES!$B$2:$B$601,A295,PARTICIPACIONES!$P$2:$P$601,"&lt;&gt;En ejecución"))</f>
        <v/>
      </c>
      <c r="J295" s="12">
        <f>IF(A295="","",H295+SUMIF($F$2:$F$601,A295,$H$2:$H$601))</f>
        <v/>
      </c>
      <c r="K295" s="13">
        <f>IF(A295="","",I295+SUMIF($F$2:$F$601,A295,$I$2:$I$601))</f>
        <v/>
      </c>
    </row>
    <row r="296">
      <c r="H296" s="12">
        <f>IF(A296="","",COUNTIF(PARTICIPACIONES!$B$2:$B$601,A296))</f>
        <v/>
      </c>
      <c r="I296" s="13">
        <f>IF(A296="","",SUMIFS(PARTICIPACIONES!$M$2:$M$601,PARTICIPACIONES!$B$2:$B$601,A296,PARTICIPACIONES!$P$2:$P$601,"&lt;&gt;En ejecución"))</f>
        <v/>
      </c>
      <c r="J296" s="12">
        <f>IF(A296="","",H296+SUMIF($F$2:$F$601,A296,$H$2:$H$601))</f>
        <v/>
      </c>
      <c r="K296" s="13">
        <f>IF(A296="","",I296+SUMIF($F$2:$F$601,A296,$I$2:$I$601))</f>
        <v/>
      </c>
    </row>
    <row r="297">
      <c r="H297" s="12">
        <f>IF(A297="","",COUNTIF(PARTICIPACIONES!$B$2:$B$601,A297))</f>
        <v/>
      </c>
      <c r="I297" s="13">
        <f>IF(A297="","",SUMIFS(PARTICIPACIONES!$M$2:$M$601,PARTICIPACIONES!$B$2:$B$601,A297,PARTICIPACIONES!$P$2:$P$601,"&lt;&gt;En ejecución"))</f>
        <v/>
      </c>
      <c r="J297" s="12">
        <f>IF(A297="","",H297+SUMIF($F$2:$F$601,A297,$H$2:$H$601))</f>
        <v/>
      </c>
      <c r="K297" s="13">
        <f>IF(A297="","",I297+SUMIF($F$2:$F$601,A297,$I$2:$I$601))</f>
        <v/>
      </c>
    </row>
    <row r="298">
      <c r="H298" s="12">
        <f>IF(A298="","",COUNTIF(PARTICIPACIONES!$B$2:$B$601,A298))</f>
        <v/>
      </c>
      <c r="I298" s="13">
        <f>IF(A298="","",SUMIFS(PARTICIPACIONES!$M$2:$M$601,PARTICIPACIONES!$B$2:$B$601,A298,PARTICIPACIONES!$P$2:$P$601,"&lt;&gt;En ejecución"))</f>
        <v/>
      </c>
      <c r="J298" s="12">
        <f>IF(A298="","",H298+SUMIF($F$2:$F$601,A298,$H$2:$H$601))</f>
        <v/>
      </c>
      <c r="K298" s="13">
        <f>IF(A298="","",I298+SUMIF($F$2:$F$601,A298,$I$2:$I$601))</f>
        <v/>
      </c>
    </row>
    <row r="299">
      <c r="H299" s="12">
        <f>IF(A299="","",COUNTIF(PARTICIPACIONES!$B$2:$B$601,A299))</f>
        <v/>
      </c>
      <c r="I299" s="13">
        <f>IF(A299="","",SUMIFS(PARTICIPACIONES!$M$2:$M$601,PARTICIPACIONES!$B$2:$B$601,A299,PARTICIPACIONES!$P$2:$P$601,"&lt;&gt;En ejecución"))</f>
        <v/>
      </c>
      <c r="J299" s="12">
        <f>IF(A299="","",H299+SUMIF($F$2:$F$601,A299,$H$2:$H$601))</f>
        <v/>
      </c>
      <c r="K299" s="13">
        <f>IF(A299="","",I299+SUMIF($F$2:$F$601,A299,$I$2:$I$601))</f>
        <v/>
      </c>
    </row>
    <row r="300">
      <c r="H300" s="12">
        <f>IF(A300="","",COUNTIF(PARTICIPACIONES!$B$2:$B$601,A300))</f>
        <v/>
      </c>
      <c r="I300" s="13">
        <f>IF(A300="","",SUMIFS(PARTICIPACIONES!$M$2:$M$601,PARTICIPACIONES!$B$2:$B$601,A300,PARTICIPACIONES!$P$2:$P$601,"&lt;&gt;En ejecución"))</f>
        <v/>
      </c>
      <c r="J300" s="12">
        <f>IF(A300="","",H300+SUMIF($F$2:$F$601,A300,$H$2:$H$601))</f>
        <v/>
      </c>
      <c r="K300" s="13">
        <f>IF(A300="","",I300+SUMIF($F$2:$F$601,A300,$I$2:$I$601))</f>
        <v/>
      </c>
    </row>
    <row r="301">
      <c r="H301" s="12">
        <f>IF(A301="","",COUNTIF(PARTICIPACIONES!$B$2:$B$601,A301))</f>
        <v/>
      </c>
      <c r="I301" s="13">
        <f>IF(A301="","",SUMIFS(PARTICIPACIONES!$M$2:$M$601,PARTICIPACIONES!$B$2:$B$601,A301,PARTICIPACIONES!$P$2:$P$601,"&lt;&gt;En ejecución"))</f>
        <v/>
      </c>
      <c r="J301" s="12">
        <f>IF(A301="","",H301+SUMIF($F$2:$F$601,A301,$H$2:$H$601))</f>
        <v/>
      </c>
      <c r="K301" s="13">
        <f>IF(A301="","",I301+SUMIF($F$2:$F$601,A301,$I$2:$I$601))</f>
        <v/>
      </c>
    </row>
    <row r="302">
      <c r="H302" s="12">
        <f>IF(A302="","",COUNTIF(PARTICIPACIONES!$B$2:$B$601,A302))</f>
        <v/>
      </c>
      <c r="I302" s="13">
        <f>IF(A302="","",SUMIFS(PARTICIPACIONES!$M$2:$M$601,PARTICIPACIONES!$B$2:$B$601,A302,PARTICIPACIONES!$P$2:$P$601,"&lt;&gt;En ejecución"))</f>
        <v/>
      </c>
      <c r="J302" s="12">
        <f>IF(A302="","",H302+SUMIF($F$2:$F$601,A302,$H$2:$H$601))</f>
        <v/>
      </c>
      <c r="K302" s="13">
        <f>IF(A302="","",I302+SUMIF($F$2:$F$601,A302,$I$2:$I$601))</f>
        <v/>
      </c>
    </row>
    <row r="303">
      <c r="H303" s="12">
        <f>IF(A303="","",COUNTIF(PARTICIPACIONES!$B$2:$B$601,A303))</f>
        <v/>
      </c>
      <c r="I303" s="13">
        <f>IF(A303="","",SUMIFS(PARTICIPACIONES!$M$2:$M$601,PARTICIPACIONES!$B$2:$B$601,A303,PARTICIPACIONES!$P$2:$P$601,"&lt;&gt;En ejecución"))</f>
        <v/>
      </c>
      <c r="J303" s="12">
        <f>IF(A303="","",H303+SUMIF($F$2:$F$601,A303,$H$2:$H$601))</f>
        <v/>
      </c>
      <c r="K303" s="13">
        <f>IF(A303="","",I303+SUMIF($F$2:$F$601,A303,$I$2:$I$601))</f>
        <v/>
      </c>
    </row>
    <row r="304">
      <c r="H304" s="12">
        <f>IF(A304="","",COUNTIF(PARTICIPACIONES!$B$2:$B$601,A304))</f>
        <v/>
      </c>
      <c r="I304" s="13">
        <f>IF(A304="","",SUMIFS(PARTICIPACIONES!$M$2:$M$601,PARTICIPACIONES!$B$2:$B$601,A304,PARTICIPACIONES!$P$2:$P$601,"&lt;&gt;En ejecución"))</f>
        <v/>
      </c>
      <c r="J304" s="12">
        <f>IF(A304="","",H304+SUMIF($F$2:$F$601,A304,$H$2:$H$601))</f>
        <v/>
      </c>
      <c r="K304" s="13">
        <f>IF(A304="","",I304+SUMIF($F$2:$F$601,A304,$I$2:$I$601))</f>
        <v/>
      </c>
    </row>
    <row r="305">
      <c r="H305" s="12">
        <f>IF(A305="","",COUNTIF(PARTICIPACIONES!$B$2:$B$601,A305))</f>
        <v/>
      </c>
      <c r="I305" s="13">
        <f>IF(A305="","",SUMIFS(PARTICIPACIONES!$M$2:$M$601,PARTICIPACIONES!$B$2:$B$601,A305,PARTICIPACIONES!$P$2:$P$601,"&lt;&gt;En ejecución"))</f>
        <v/>
      </c>
      <c r="J305" s="12">
        <f>IF(A305="","",H305+SUMIF($F$2:$F$601,A305,$H$2:$H$601))</f>
        <v/>
      </c>
      <c r="K305" s="13">
        <f>IF(A305="","",I305+SUMIF($F$2:$F$601,A305,$I$2:$I$601))</f>
        <v/>
      </c>
    </row>
    <row r="306">
      <c r="H306" s="12">
        <f>IF(A306="","",COUNTIF(PARTICIPACIONES!$B$2:$B$601,A306))</f>
        <v/>
      </c>
      <c r="I306" s="13">
        <f>IF(A306="","",SUMIFS(PARTICIPACIONES!$M$2:$M$601,PARTICIPACIONES!$B$2:$B$601,A306,PARTICIPACIONES!$P$2:$P$601,"&lt;&gt;En ejecución"))</f>
        <v/>
      </c>
      <c r="J306" s="12">
        <f>IF(A306="","",H306+SUMIF($F$2:$F$601,A306,$H$2:$H$601))</f>
        <v/>
      </c>
      <c r="K306" s="13">
        <f>IF(A306="","",I306+SUMIF($F$2:$F$601,A306,$I$2:$I$601))</f>
        <v/>
      </c>
    </row>
    <row r="307">
      <c r="H307" s="12">
        <f>IF(A307="","",COUNTIF(PARTICIPACIONES!$B$2:$B$601,A307))</f>
        <v/>
      </c>
      <c r="I307" s="13">
        <f>IF(A307="","",SUMIFS(PARTICIPACIONES!$M$2:$M$601,PARTICIPACIONES!$B$2:$B$601,A307,PARTICIPACIONES!$P$2:$P$601,"&lt;&gt;En ejecución"))</f>
        <v/>
      </c>
      <c r="J307" s="12">
        <f>IF(A307="","",H307+SUMIF($F$2:$F$601,A307,$H$2:$H$601))</f>
        <v/>
      </c>
      <c r="K307" s="13">
        <f>IF(A307="","",I307+SUMIF($F$2:$F$601,A307,$I$2:$I$601))</f>
        <v/>
      </c>
    </row>
    <row r="308">
      <c r="H308" s="12">
        <f>IF(A308="","",COUNTIF(PARTICIPACIONES!$B$2:$B$601,A308))</f>
        <v/>
      </c>
      <c r="I308" s="13">
        <f>IF(A308="","",SUMIFS(PARTICIPACIONES!$M$2:$M$601,PARTICIPACIONES!$B$2:$B$601,A308,PARTICIPACIONES!$P$2:$P$601,"&lt;&gt;En ejecución"))</f>
        <v/>
      </c>
      <c r="J308" s="12">
        <f>IF(A308="","",H308+SUMIF($F$2:$F$601,A308,$H$2:$H$601))</f>
        <v/>
      </c>
      <c r="K308" s="13">
        <f>IF(A308="","",I308+SUMIF($F$2:$F$601,A308,$I$2:$I$601))</f>
        <v/>
      </c>
    </row>
    <row r="309">
      <c r="H309" s="12">
        <f>IF(A309="","",COUNTIF(PARTICIPACIONES!$B$2:$B$601,A309))</f>
        <v/>
      </c>
      <c r="I309" s="13">
        <f>IF(A309="","",SUMIFS(PARTICIPACIONES!$M$2:$M$601,PARTICIPACIONES!$B$2:$B$601,A309,PARTICIPACIONES!$P$2:$P$601,"&lt;&gt;En ejecución"))</f>
        <v/>
      </c>
      <c r="J309" s="12">
        <f>IF(A309="","",H309+SUMIF($F$2:$F$601,A309,$H$2:$H$601))</f>
        <v/>
      </c>
      <c r="K309" s="13">
        <f>IF(A309="","",I309+SUMIF($F$2:$F$601,A309,$I$2:$I$601))</f>
        <v/>
      </c>
    </row>
    <row r="310">
      <c r="H310" s="12">
        <f>IF(A310="","",COUNTIF(PARTICIPACIONES!$B$2:$B$601,A310))</f>
        <v/>
      </c>
      <c r="I310" s="13">
        <f>IF(A310="","",SUMIFS(PARTICIPACIONES!$M$2:$M$601,PARTICIPACIONES!$B$2:$B$601,A310,PARTICIPACIONES!$P$2:$P$601,"&lt;&gt;En ejecución"))</f>
        <v/>
      </c>
      <c r="J310" s="12">
        <f>IF(A310="","",H310+SUMIF($F$2:$F$601,A310,$H$2:$H$601))</f>
        <v/>
      </c>
      <c r="K310" s="13">
        <f>IF(A310="","",I310+SUMIF($F$2:$F$601,A310,$I$2:$I$601))</f>
        <v/>
      </c>
    </row>
    <row r="311">
      <c r="H311" s="12">
        <f>IF(A311="","",COUNTIF(PARTICIPACIONES!$B$2:$B$601,A311))</f>
        <v/>
      </c>
      <c r="I311" s="13">
        <f>IF(A311="","",SUMIFS(PARTICIPACIONES!$M$2:$M$601,PARTICIPACIONES!$B$2:$B$601,A311,PARTICIPACIONES!$P$2:$P$601,"&lt;&gt;En ejecución"))</f>
        <v/>
      </c>
      <c r="J311" s="12">
        <f>IF(A311="","",H311+SUMIF($F$2:$F$601,A311,$H$2:$H$601))</f>
        <v/>
      </c>
      <c r="K311" s="13">
        <f>IF(A311="","",I311+SUMIF($F$2:$F$601,A311,$I$2:$I$601))</f>
        <v/>
      </c>
    </row>
    <row r="312">
      <c r="H312" s="12">
        <f>IF(A312="","",COUNTIF(PARTICIPACIONES!$B$2:$B$601,A312))</f>
        <v/>
      </c>
      <c r="I312" s="13">
        <f>IF(A312="","",SUMIFS(PARTICIPACIONES!$M$2:$M$601,PARTICIPACIONES!$B$2:$B$601,A312,PARTICIPACIONES!$P$2:$P$601,"&lt;&gt;En ejecución"))</f>
        <v/>
      </c>
      <c r="J312" s="12">
        <f>IF(A312="","",H312+SUMIF($F$2:$F$601,A312,$H$2:$H$601))</f>
        <v/>
      </c>
      <c r="K312" s="13">
        <f>IF(A312="","",I312+SUMIF($F$2:$F$601,A312,$I$2:$I$601))</f>
        <v/>
      </c>
    </row>
    <row r="313">
      <c r="H313" s="12">
        <f>IF(A313="","",COUNTIF(PARTICIPACIONES!$B$2:$B$601,A313))</f>
        <v/>
      </c>
      <c r="I313" s="13">
        <f>IF(A313="","",SUMIFS(PARTICIPACIONES!$M$2:$M$601,PARTICIPACIONES!$B$2:$B$601,A313,PARTICIPACIONES!$P$2:$P$601,"&lt;&gt;En ejecución"))</f>
        <v/>
      </c>
      <c r="J313" s="12">
        <f>IF(A313="","",H313+SUMIF($F$2:$F$601,A313,$H$2:$H$601))</f>
        <v/>
      </c>
      <c r="K313" s="13">
        <f>IF(A313="","",I313+SUMIF($F$2:$F$601,A313,$I$2:$I$601))</f>
        <v/>
      </c>
    </row>
    <row r="314">
      <c r="H314" s="12">
        <f>IF(A314="","",COUNTIF(PARTICIPACIONES!$B$2:$B$601,A314))</f>
        <v/>
      </c>
      <c r="I314" s="13">
        <f>IF(A314="","",SUMIFS(PARTICIPACIONES!$M$2:$M$601,PARTICIPACIONES!$B$2:$B$601,A314,PARTICIPACIONES!$P$2:$P$601,"&lt;&gt;En ejecución"))</f>
        <v/>
      </c>
      <c r="J314" s="12">
        <f>IF(A314="","",H314+SUMIF($F$2:$F$601,A314,$H$2:$H$601))</f>
        <v/>
      </c>
      <c r="K314" s="13">
        <f>IF(A314="","",I314+SUMIF($F$2:$F$601,A314,$I$2:$I$601))</f>
        <v/>
      </c>
    </row>
    <row r="315">
      <c r="H315" s="12">
        <f>IF(A315="","",COUNTIF(PARTICIPACIONES!$B$2:$B$601,A315))</f>
        <v/>
      </c>
      <c r="I315" s="13">
        <f>IF(A315="","",SUMIFS(PARTICIPACIONES!$M$2:$M$601,PARTICIPACIONES!$B$2:$B$601,A315,PARTICIPACIONES!$P$2:$P$601,"&lt;&gt;En ejecución"))</f>
        <v/>
      </c>
      <c r="J315" s="12">
        <f>IF(A315="","",H315+SUMIF($F$2:$F$601,A315,$H$2:$H$601))</f>
        <v/>
      </c>
      <c r="K315" s="13">
        <f>IF(A315="","",I315+SUMIF($F$2:$F$601,A315,$I$2:$I$601))</f>
        <v/>
      </c>
    </row>
    <row r="316">
      <c r="H316" s="12">
        <f>IF(A316="","",COUNTIF(PARTICIPACIONES!$B$2:$B$601,A316))</f>
        <v/>
      </c>
      <c r="I316" s="13">
        <f>IF(A316="","",SUMIFS(PARTICIPACIONES!$M$2:$M$601,PARTICIPACIONES!$B$2:$B$601,A316,PARTICIPACIONES!$P$2:$P$601,"&lt;&gt;En ejecución"))</f>
        <v/>
      </c>
      <c r="J316" s="12">
        <f>IF(A316="","",H316+SUMIF($F$2:$F$601,A316,$H$2:$H$601))</f>
        <v/>
      </c>
      <c r="K316" s="13">
        <f>IF(A316="","",I316+SUMIF($F$2:$F$601,A316,$I$2:$I$601))</f>
        <v/>
      </c>
    </row>
    <row r="317">
      <c r="H317" s="12">
        <f>IF(A317="","",COUNTIF(PARTICIPACIONES!$B$2:$B$601,A317))</f>
        <v/>
      </c>
      <c r="I317" s="13">
        <f>IF(A317="","",SUMIFS(PARTICIPACIONES!$M$2:$M$601,PARTICIPACIONES!$B$2:$B$601,A317,PARTICIPACIONES!$P$2:$P$601,"&lt;&gt;En ejecución"))</f>
        <v/>
      </c>
      <c r="J317" s="12">
        <f>IF(A317="","",H317+SUMIF($F$2:$F$601,A317,$H$2:$H$601))</f>
        <v/>
      </c>
      <c r="K317" s="13">
        <f>IF(A317="","",I317+SUMIF($F$2:$F$601,A317,$I$2:$I$601))</f>
        <v/>
      </c>
    </row>
    <row r="318">
      <c r="H318" s="12">
        <f>IF(A318="","",COUNTIF(PARTICIPACIONES!$B$2:$B$601,A318))</f>
        <v/>
      </c>
      <c r="I318" s="13">
        <f>IF(A318="","",SUMIFS(PARTICIPACIONES!$M$2:$M$601,PARTICIPACIONES!$B$2:$B$601,A318,PARTICIPACIONES!$P$2:$P$601,"&lt;&gt;En ejecución"))</f>
        <v/>
      </c>
      <c r="J318" s="12">
        <f>IF(A318="","",H318+SUMIF($F$2:$F$601,A318,$H$2:$H$601))</f>
        <v/>
      </c>
      <c r="K318" s="13">
        <f>IF(A318="","",I318+SUMIF($F$2:$F$601,A318,$I$2:$I$601))</f>
        <v/>
      </c>
    </row>
    <row r="319">
      <c r="H319" s="12">
        <f>IF(A319="","",COUNTIF(PARTICIPACIONES!$B$2:$B$601,A319))</f>
        <v/>
      </c>
      <c r="I319" s="13">
        <f>IF(A319="","",SUMIFS(PARTICIPACIONES!$M$2:$M$601,PARTICIPACIONES!$B$2:$B$601,A319,PARTICIPACIONES!$P$2:$P$601,"&lt;&gt;En ejecución"))</f>
        <v/>
      </c>
      <c r="J319" s="12">
        <f>IF(A319="","",H319+SUMIF($F$2:$F$601,A319,$H$2:$H$601))</f>
        <v/>
      </c>
      <c r="K319" s="13">
        <f>IF(A319="","",I319+SUMIF($F$2:$F$601,A319,$I$2:$I$601))</f>
        <v/>
      </c>
    </row>
    <row r="320">
      <c r="H320" s="12">
        <f>IF(A320="","",COUNTIF(PARTICIPACIONES!$B$2:$B$601,A320))</f>
        <v/>
      </c>
      <c r="I320" s="13">
        <f>IF(A320="","",SUMIFS(PARTICIPACIONES!$M$2:$M$601,PARTICIPACIONES!$B$2:$B$601,A320,PARTICIPACIONES!$P$2:$P$601,"&lt;&gt;En ejecución"))</f>
        <v/>
      </c>
      <c r="J320" s="12">
        <f>IF(A320="","",H320+SUMIF($F$2:$F$601,A320,$H$2:$H$601))</f>
        <v/>
      </c>
      <c r="K320" s="13">
        <f>IF(A320="","",I320+SUMIF($F$2:$F$601,A320,$I$2:$I$601))</f>
        <v/>
      </c>
    </row>
    <row r="321">
      <c r="H321" s="12">
        <f>IF(A321="","",COUNTIF(PARTICIPACIONES!$B$2:$B$601,A321))</f>
        <v/>
      </c>
      <c r="I321" s="13">
        <f>IF(A321="","",SUMIFS(PARTICIPACIONES!$M$2:$M$601,PARTICIPACIONES!$B$2:$B$601,A321,PARTICIPACIONES!$P$2:$P$601,"&lt;&gt;En ejecución"))</f>
        <v/>
      </c>
      <c r="J321" s="12">
        <f>IF(A321="","",H321+SUMIF($F$2:$F$601,A321,$H$2:$H$601))</f>
        <v/>
      </c>
      <c r="K321" s="13">
        <f>IF(A321="","",I321+SUMIF($F$2:$F$601,A321,$I$2:$I$601))</f>
        <v/>
      </c>
    </row>
    <row r="322">
      <c r="H322" s="12">
        <f>IF(A322="","",COUNTIF(PARTICIPACIONES!$B$2:$B$601,A322))</f>
        <v/>
      </c>
      <c r="I322" s="13">
        <f>IF(A322="","",SUMIFS(PARTICIPACIONES!$M$2:$M$601,PARTICIPACIONES!$B$2:$B$601,A322,PARTICIPACIONES!$P$2:$P$601,"&lt;&gt;En ejecución"))</f>
        <v/>
      </c>
      <c r="J322" s="12">
        <f>IF(A322="","",H322+SUMIF($F$2:$F$601,A322,$H$2:$H$601))</f>
        <v/>
      </c>
      <c r="K322" s="13">
        <f>IF(A322="","",I322+SUMIF($F$2:$F$601,A322,$I$2:$I$601))</f>
        <v/>
      </c>
    </row>
    <row r="323">
      <c r="H323" s="12">
        <f>IF(A323="","",COUNTIF(PARTICIPACIONES!$B$2:$B$601,A323))</f>
        <v/>
      </c>
      <c r="I323" s="13">
        <f>IF(A323="","",SUMIFS(PARTICIPACIONES!$M$2:$M$601,PARTICIPACIONES!$B$2:$B$601,A323,PARTICIPACIONES!$P$2:$P$601,"&lt;&gt;En ejecución"))</f>
        <v/>
      </c>
      <c r="J323" s="12">
        <f>IF(A323="","",H323+SUMIF($F$2:$F$601,A323,$H$2:$H$601))</f>
        <v/>
      </c>
      <c r="K323" s="13">
        <f>IF(A323="","",I323+SUMIF($F$2:$F$601,A323,$I$2:$I$601))</f>
        <v/>
      </c>
    </row>
    <row r="324">
      <c r="H324" s="12">
        <f>IF(A324="","",COUNTIF(PARTICIPACIONES!$B$2:$B$601,A324))</f>
        <v/>
      </c>
      <c r="I324" s="13">
        <f>IF(A324="","",SUMIFS(PARTICIPACIONES!$M$2:$M$601,PARTICIPACIONES!$B$2:$B$601,A324,PARTICIPACIONES!$P$2:$P$601,"&lt;&gt;En ejecución"))</f>
        <v/>
      </c>
      <c r="J324" s="12">
        <f>IF(A324="","",H324+SUMIF($F$2:$F$601,A324,$H$2:$H$601))</f>
        <v/>
      </c>
      <c r="K324" s="13">
        <f>IF(A324="","",I324+SUMIF($F$2:$F$601,A324,$I$2:$I$601))</f>
        <v/>
      </c>
    </row>
    <row r="325">
      <c r="H325" s="12">
        <f>IF(A325="","",COUNTIF(PARTICIPACIONES!$B$2:$B$601,A325))</f>
        <v/>
      </c>
      <c r="I325" s="13">
        <f>IF(A325="","",SUMIFS(PARTICIPACIONES!$M$2:$M$601,PARTICIPACIONES!$B$2:$B$601,A325,PARTICIPACIONES!$P$2:$P$601,"&lt;&gt;En ejecución"))</f>
        <v/>
      </c>
      <c r="J325" s="12">
        <f>IF(A325="","",H325+SUMIF($F$2:$F$601,A325,$H$2:$H$601))</f>
        <v/>
      </c>
      <c r="K325" s="13">
        <f>IF(A325="","",I325+SUMIF($F$2:$F$601,A325,$I$2:$I$601))</f>
        <v/>
      </c>
    </row>
    <row r="326">
      <c r="H326" s="12">
        <f>IF(A326="","",COUNTIF(PARTICIPACIONES!$B$2:$B$601,A326))</f>
        <v/>
      </c>
      <c r="I326" s="13">
        <f>IF(A326="","",SUMIFS(PARTICIPACIONES!$M$2:$M$601,PARTICIPACIONES!$B$2:$B$601,A326,PARTICIPACIONES!$P$2:$P$601,"&lt;&gt;En ejecución"))</f>
        <v/>
      </c>
      <c r="J326" s="12">
        <f>IF(A326="","",H326+SUMIF($F$2:$F$601,A326,$H$2:$H$601))</f>
        <v/>
      </c>
      <c r="K326" s="13">
        <f>IF(A326="","",I326+SUMIF($F$2:$F$601,A326,$I$2:$I$601))</f>
        <v/>
      </c>
    </row>
    <row r="327">
      <c r="H327" s="12">
        <f>IF(A327="","",COUNTIF(PARTICIPACIONES!$B$2:$B$601,A327))</f>
        <v/>
      </c>
      <c r="I327" s="13">
        <f>IF(A327="","",SUMIFS(PARTICIPACIONES!$M$2:$M$601,PARTICIPACIONES!$B$2:$B$601,A327,PARTICIPACIONES!$P$2:$P$601,"&lt;&gt;En ejecución"))</f>
        <v/>
      </c>
      <c r="J327" s="12">
        <f>IF(A327="","",H327+SUMIF($F$2:$F$601,A327,$H$2:$H$601))</f>
        <v/>
      </c>
      <c r="K327" s="13">
        <f>IF(A327="","",I327+SUMIF($F$2:$F$601,A327,$I$2:$I$601))</f>
        <v/>
      </c>
    </row>
    <row r="328">
      <c r="H328" s="12">
        <f>IF(A328="","",COUNTIF(PARTICIPACIONES!$B$2:$B$601,A328))</f>
        <v/>
      </c>
      <c r="I328" s="13">
        <f>IF(A328="","",SUMIFS(PARTICIPACIONES!$M$2:$M$601,PARTICIPACIONES!$B$2:$B$601,A328,PARTICIPACIONES!$P$2:$P$601,"&lt;&gt;En ejecución"))</f>
        <v/>
      </c>
      <c r="J328" s="12">
        <f>IF(A328="","",H328+SUMIF($F$2:$F$601,A328,$H$2:$H$601))</f>
        <v/>
      </c>
      <c r="K328" s="13">
        <f>IF(A328="","",I328+SUMIF($F$2:$F$601,A328,$I$2:$I$601))</f>
        <v/>
      </c>
    </row>
    <row r="329">
      <c r="H329" s="12">
        <f>IF(A329="","",COUNTIF(PARTICIPACIONES!$B$2:$B$601,A329))</f>
        <v/>
      </c>
      <c r="I329" s="13">
        <f>IF(A329="","",SUMIFS(PARTICIPACIONES!$M$2:$M$601,PARTICIPACIONES!$B$2:$B$601,A329,PARTICIPACIONES!$P$2:$P$601,"&lt;&gt;En ejecución"))</f>
        <v/>
      </c>
      <c r="J329" s="12">
        <f>IF(A329="","",H329+SUMIF($F$2:$F$601,A329,$H$2:$H$601))</f>
        <v/>
      </c>
      <c r="K329" s="13">
        <f>IF(A329="","",I329+SUMIF($F$2:$F$601,A329,$I$2:$I$601))</f>
        <v/>
      </c>
    </row>
    <row r="330">
      <c r="H330" s="12">
        <f>IF(A330="","",COUNTIF(PARTICIPACIONES!$B$2:$B$601,A330))</f>
        <v/>
      </c>
      <c r="I330" s="13">
        <f>IF(A330="","",SUMIFS(PARTICIPACIONES!$M$2:$M$601,PARTICIPACIONES!$B$2:$B$601,A330,PARTICIPACIONES!$P$2:$P$601,"&lt;&gt;En ejecución"))</f>
        <v/>
      </c>
      <c r="J330" s="12">
        <f>IF(A330="","",H330+SUMIF($F$2:$F$601,A330,$H$2:$H$601))</f>
        <v/>
      </c>
      <c r="K330" s="13">
        <f>IF(A330="","",I330+SUMIF($F$2:$F$601,A330,$I$2:$I$601))</f>
        <v/>
      </c>
    </row>
    <row r="331">
      <c r="H331" s="12">
        <f>IF(A331="","",COUNTIF(PARTICIPACIONES!$B$2:$B$601,A331))</f>
        <v/>
      </c>
      <c r="I331" s="13">
        <f>IF(A331="","",SUMIFS(PARTICIPACIONES!$M$2:$M$601,PARTICIPACIONES!$B$2:$B$601,A331,PARTICIPACIONES!$P$2:$P$601,"&lt;&gt;En ejecución"))</f>
        <v/>
      </c>
      <c r="J331" s="12">
        <f>IF(A331="","",H331+SUMIF($F$2:$F$601,A331,$H$2:$H$601))</f>
        <v/>
      </c>
      <c r="K331" s="13">
        <f>IF(A331="","",I331+SUMIF($F$2:$F$601,A331,$I$2:$I$601))</f>
        <v/>
      </c>
    </row>
    <row r="332">
      <c r="H332" s="12">
        <f>IF(A332="","",COUNTIF(PARTICIPACIONES!$B$2:$B$601,A332))</f>
        <v/>
      </c>
      <c r="I332" s="13">
        <f>IF(A332="","",SUMIFS(PARTICIPACIONES!$M$2:$M$601,PARTICIPACIONES!$B$2:$B$601,A332,PARTICIPACIONES!$P$2:$P$601,"&lt;&gt;En ejecución"))</f>
        <v/>
      </c>
      <c r="J332" s="12">
        <f>IF(A332="","",H332+SUMIF($F$2:$F$601,A332,$H$2:$H$601))</f>
        <v/>
      </c>
      <c r="K332" s="13">
        <f>IF(A332="","",I332+SUMIF($F$2:$F$601,A332,$I$2:$I$601))</f>
        <v/>
      </c>
    </row>
    <row r="333">
      <c r="H333" s="12">
        <f>IF(A333="","",COUNTIF(PARTICIPACIONES!$B$2:$B$601,A333))</f>
        <v/>
      </c>
      <c r="I333" s="13">
        <f>IF(A333="","",SUMIFS(PARTICIPACIONES!$M$2:$M$601,PARTICIPACIONES!$B$2:$B$601,A333,PARTICIPACIONES!$P$2:$P$601,"&lt;&gt;En ejecución"))</f>
        <v/>
      </c>
      <c r="J333" s="12">
        <f>IF(A333="","",H333+SUMIF($F$2:$F$601,A333,$H$2:$H$601))</f>
        <v/>
      </c>
      <c r="K333" s="13">
        <f>IF(A333="","",I333+SUMIF($F$2:$F$601,A333,$I$2:$I$601))</f>
        <v/>
      </c>
    </row>
    <row r="334">
      <c r="H334" s="12">
        <f>IF(A334="","",COUNTIF(PARTICIPACIONES!$B$2:$B$601,A334))</f>
        <v/>
      </c>
      <c r="I334" s="13">
        <f>IF(A334="","",SUMIFS(PARTICIPACIONES!$M$2:$M$601,PARTICIPACIONES!$B$2:$B$601,A334,PARTICIPACIONES!$P$2:$P$601,"&lt;&gt;En ejecución"))</f>
        <v/>
      </c>
      <c r="J334" s="12">
        <f>IF(A334="","",H334+SUMIF($F$2:$F$601,A334,$H$2:$H$601))</f>
        <v/>
      </c>
      <c r="K334" s="13">
        <f>IF(A334="","",I334+SUMIF($F$2:$F$601,A334,$I$2:$I$601))</f>
        <v/>
      </c>
    </row>
    <row r="335">
      <c r="H335" s="12">
        <f>IF(A335="","",COUNTIF(PARTICIPACIONES!$B$2:$B$601,A335))</f>
        <v/>
      </c>
      <c r="I335" s="13">
        <f>IF(A335="","",SUMIFS(PARTICIPACIONES!$M$2:$M$601,PARTICIPACIONES!$B$2:$B$601,A335,PARTICIPACIONES!$P$2:$P$601,"&lt;&gt;En ejecución"))</f>
        <v/>
      </c>
      <c r="J335" s="12">
        <f>IF(A335="","",H335+SUMIF($F$2:$F$601,A335,$H$2:$H$601))</f>
        <v/>
      </c>
      <c r="K335" s="13">
        <f>IF(A335="","",I335+SUMIF($F$2:$F$601,A335,$I$2:$I$601))</f>
        <v/>
      </c>
    </row>
    <row r="336">
      <c r="H336" s="12">
        <f>IF(A336="","",COUNTIF(PARTICIPACIONES!$B$2:$B$601,A336))</f>
        <v/>
      </c>
      <c r="I336" s="13">
        <f>IF(A336="","",SUMIFS(PARTICIPACIONES!$M$2:$M$601,PARTICIPACIONES!$B$2:$B$601,A336,PARTICIPACIONES!$P$2:$P$601,"&lt;&gt;En ejecución"))</f>
        <v/>
      </c>
      <c r="J336" s="12">
        <f>IF(A336="","",H336+SUMIF($F$2:$F$601,A336,$H$2:$H$601))</f>
        <v/>
      </c>
      <c r="K336" s="13">
        <f>IF(A336="","",I336+SUMIF($F$2:$F$601,A336,$I$2:$I$601))</f>
        <v/>
      </c>
    </row>
    <row r="337">
      <c r="H337" s="12">
        <f>IF(A337="","",COUNTIF(PARTICIPACIONES!$B$2:$B$601,A337))</f>
        <v/>
      </c>
      <c r="I337" s="13">
        <f>IF(A337="","",SUMIFS(PARTICIPACIONES!$M$2:$M$601,PARTICIPACIONES!$B$2:$B$601,A337,PARTICIPACIONES!$P$2:$P$601,"&lt;&gt;En ejecución"))</f>
        <v/>
      </c>
      <c r="J337" s="12">
        <f>IF(A337="","",H337+SUMIF($F$2:$F$601,A337,$H$2:$H$601))</f>
        <v/>
      </c>
      <c r="K337" s="13">
        <f>IF(A337="","",I337+SUMIF($F$2:$F$601,A337,$I$2:$I$601))</f>
        <v/>
      </c>
    </row>
    <row r="338">
      <c r="H338" s="12">
        <f>IF(A338="","",COUNTIF(PARTICIPACIONES!$B$2:$B$601,A338))</f>
        <v/>
      </c>
      <c r="I338" s="13">
        <f>IF(A338="","",SUMIFS(PARTICIPACIONES!$M$2:$M$601,PARTICIPACIONES!$B$2:$B$601,A338,PARTICIPACIONES!$P$2:$P$601,"&lt;&gt;En ejecución"))</f>
        <v/>
      </c>
      <c r="J338" s="12">
        <f>IF(A338="","",H338+SUMIF($F$2:$F$601,A338,$H$2:$H$601))</f>
        <v/>
      </c>
      <c r="K338" s="13">
        <f>IF(A338="","",I338+SUMIF($F$2:$F$601,A338,$I$2:$I$601))</f>
        <v/>
      </c>
    </row>
    <row r="339">
      <c r="H339" s="12">
        <f>IF(A339="","",COUNTIF(PARTICIPACIONES!$B$2:$B$601,A339))</f>
        <v/>
      </c>
      <c r="I339" s="13">
        <f>IF(A339="","",SUMIFS(PARTICIPACIONES!$M$2:$M$601,PARTICIPACIONES!$B$2:$B$601,A339,PARTICIPACIONES!$P$2:$P$601,"&lt;&gt;En ejecución"))</f>
        <v/>
      </c>
      <c r="J339" s="12">
        <f>IF(A339="","",H339+SUMIF($F$2:$F$601,A339,$H$2:$H$601))</f>
        <v/>
      </c>
      <c r="K339" s="13">
        <f>IF(A339="","",I339+SUMIF($F$2:$F$601,A339,$I$2:$I$601))</f>
        <v/>
      </c>
    </row>
    <row r="340">
      <c r="H340" s="12">
        <f>IF(A340="","",COUNTIF(PARTICIPACIONES!$B$2:$B$601,A340))</f>
        <v/>
      </c>
      <c r="I340" s="13">
        <f>IF(A340="","",SUMIFS(PARTICIPACIONES!$M$2:$M$601,PARTICIPACIONES!$B$2:$B$601,A340,PARTICIPACIONES!$P$2:$P$601,"&lt;&gt;En ejecución"))</f>
        <v/>
      </c>
      <c r="J340" s="12">
        <f>IF(A340="","",H340+SUMIF($F$2:$F$601,A340,$H$2:$H$601))</f>
        <v/>
      </c>
      <c r="K340" s="13">
        <f>IF(A340="","",I340+SUMIF($F$2:$F$601,A340,$I$2:$I$601))</f>
        <v/>
      </c>
    </row>
    <row r="341">
      <c r="H341" s="12">
        <f>IF(A341="","",COUNTIF(PARTICIPACIONES!$B$2:$B$601,A341))</f>
        <v/>
      </c>
      <c r="I341" s="13">
        <f>IF(A341="","",SUMIFS(PARTICIPACIONES!$M$2:$M$601,PARTICIPACIONES!$B$2:$B$601,A341,PARTICIPACIONES!$P$2:$P$601,"&lt;&gt;En ejecución"))</f>
        <v/>
      </c>
      <c r="J341" s="12">
        <f>IF(A341="","",H341+SUMIF($F$2:$F$601,A341,$H$2:$H$601))</f>
        <v/>
      </c>
      <c r="K341" s="13">
        <f>IF(A341="","",I341+SUMIF($F$2:$F$601,A341,$I$2:$I$601))</f>
        <v/>
      </c>
    </row>
    <row r="342">
      <c r="H342" s="12">
        <f>IF(A342="","",COUNTIF(PARTICIPACIONES!$B$2:$B$601,A342))</f>
        <v/>
      </c>
      <c r="I342" s="13">
        <f>IF(A342="","",SUMIFS(PARTICIPACIONES!$M$2:$M$601,PARTICIPACIONES!$B$2:$B$601,A342,PARTICIPACIONES!$P$2:$P$601,"&lt;&gt;En ejecución"))</f>
        <v/>
      </c>
      <c r="J342" s="12">
        <f>IF(A342="","",H342+SUMIF($F$2:$F$601,A342,$H$2:$H$601))</f>
        <v/>
      </c>
      <c r="K342" s="13">
        <f>IF(A342="","",I342+SUMIF($F$2:$F$601,A342,$I$2:$I$601))</f>
        <v/>
      </c>
    </row>
    <row r="343">
      <c r="H343" s="12">
        <f>IF(A343="","",COUNTIF(PARTICIPACIONES!$B$2:$B$601,A343))</f>
        <v/>
      </c>
      <c r="I343" s="13">
        <f>IF(A343="","",SUMIFS(PARTICIPACIONES!$M$2:$M$601,PARTICIPACIONES!$B$2:$B$601,A343,PARTICIPACIONES!$P$2:$P$601,"&lt;&gt;En ejecución"))</f>
        <v/>
      </c>
      <c r="J343" s="12">
        <f>IF(A343="","",H343+SUMIF($F$2:$F$601,A343,$H$2:$H$601))</f>
        <v/>
      </c>
      <c r="K343" s="13">
        <f>IF(A343="","",I343+SUMIF($F$2:$F$601,A343,$I$2:$I$601))</f>
        <v/>
      </c>
    </row>
    <row r="344">
      <c r="H344" s="12">
        <f>IF(A344="","",COUNTIF(PARTICIPACIONES!$B$2:$B$601,A344))</f>
        <v/>
      </c>
      <c r="I344" s="13">
        <f>IF(A344="","",SUMIFS(PARTICIPACIONES!$M$2:$M$601,PARTICIPACIONES!$B$2:$B$601,A344,PARTICIPACIONES!$P$2:$P$601,"&lt;&gt;En ejecución"))</f>
        <v/>
      </c>
      <c r="J344" s="12">
        <f>IF(A344="","",H344+SUMIF($F$2:$F$601,A344,$H$2:$H$601))</f>
        <v/>
      </c>
      <c r="K344" s="13">
        <f>IF(A344="","",I344+SUMIF($F$2:$F$601,A344,$I$2:$I$601))</f>
        <v/>
      </c>
    </row>
    <row r="345">
      <c r="H345" s="12">
        <f>IF(A345="","",COUNTIF(PARTICIPACIONES!$B$2:$B$601,A345))</f>
        <v/>
      </c>
      <c r="I345" s="13">
        <f>IF(A345="","",SUMIFS(PARTICIPACIONES!$M$2:$M$601,PARTICIPACIONES!$B$2:$B$601,A345,PARTICIPACIONES!$P$2:$P$601,"&lt;&gt;En ejecución"))</f>
        <v/>
      </c>
      <c r="J345" s="12">
        <f>IF(A345="","",H345+SUMIF($F$2:$F$601,A345,$H$2:$H$601))</f>
        <v/>
      </c>
      <c r="K345" s="13">
        <f>IF(A345="","",I345+SUMIF($F$2:$F$601,A345,$I$2:$I$601))</f>
        <v/>
      </c>
    </row>
    <row r="346">
      <c r="H346" s="12">
        <f>IF(A346="","",COUNTIF(PARTICIPACIONES!$B$2:$B$601,A346))</f>
        <v/>
      </c>
      <c r="I346" s="13">
        <f>IF(A346="","",SUMIFS(PARTICIPACIONES!$M$2:$M$601,PARTICIPACIONES!$B$2:$B$601,A346,PARTICIPACIONES!$P$2:$P$601,"&lt;&gt;En ejecución"))</f>
        <v/>
      </c>
      <c r="J346" s="12">
        <f>IF(A346="","",H346+SUMIF($F$2:$F$601,A346,$H$2:$H$601))</f>
        <v/>
      </c>
      <c r="K346" s="13">
        <f>IF(A346="","",I346+SUMIF($F$2:$F$601,A346,$I$2:$I$601))</f>
        <v/>
      </c>
    </row>
    <row r="347">
      <c r="H347" s="12">
        <f>IF(A347="","",COUNTIF(PARTICIPACIONES!$B$2:$B$601,A347))</f>
        <v/>
      </c>
      <c r="I347" s="13">
        <f>IF(A347="","",SUMIFS(PARTICIPACIONES!$M$2:$M$601,PARTICIPACIONES!$B$2:$B$601,A347,PARTICIPACIONES!$P$2:$P$601,"&lt;&gt;En ejecución"))</f>
        <v/>
      </c>
      <c r="J347" s="12">
        <f>IF(A347="","",H347+SUMIF($F$2:$F$601,A347,$H$2:$H$601))</f>
        <v/>
      </c>
      <c r="K347" s="13">
        <f>IF(A347="","",I347+SUMIF($F$2:$F$601,A347,$I$2:$I$601))</f>
        <v/>
      </c>
    </row>
    <row r="348">
      <c r="H348" s="12">
        <f>IF(A348="","",COUNTIF(PARTICIPACIONES!$B$2:$B$601,A348))</f>
        <v/>
      </c>
      <c r="I348" s="13">
        <f>IF(A348="","",SUMIFS(PARTICIPACIONES!$M$2:$M$601,PARTICIPACIONES!$B$2:$B$601,A348,PARTICIPACIONES!$P$2:$P$601,"&lt;&gt;En ejecución"))</f>
        <v/>
      </c>
      <c r="J348" s="12">
        <f>IF(A348="","",H348+SUMIF($F$2:$F$601,A348,$H$2:$H$601))</f>
        <v/>
      </c>
      <c r="K348" s="13">
        <f>IF(A348="","",I348+SUMIF($F$2:$F$601,A348,$I$2:$I$601))</f>
        <v/>
      </c>
    </row>
    <row r="349">
      <c r="H349" s="12">
        <f>IF(A349="","",COUNTIF(PARTICIPACIONES!$B$2:$B$601,A349))</f>
        <v/>
      </c>
      <c r="I349" s="13">
        <f>IF(A349="","",SUMIFS(PARTICIPACIONES!$M$2:$M$601,PARTICIPACIONES!$B$2:$B$601,A349,PARTICIPACIONES!$P$2:$P$601,"&lt;&gt;En ejecución"))</f>
        <v/>
      </c>
      <c r="J349" s="12">
        <f>IF(A349="","",H349+SUMIF($F$2:$F$601,A349,$H$2:$H$601))</f>
        <v/>
      </c>
      <c r="K349" s="13">
        <f>IF(A349="","",I349+SUMIF($F$2:$F$601,A349,$I$2:$I$601))</f>
        <v/>
      </c>
    </row>
    <row r="350">
      <c r="H350" s="12">
        <f>IF(A350="","",COUNTIF(PARTICIPACIONES!$B$2:$B$601,A350))</f>
        <v/>
      </c>
      <c r="I350" s="13">
        <f>IF(A350="","",SUMIFS(PARTICIPACIONES!$M$2:$M$601,PARTICIPACIONES!$B$2:$B$601,A350,PARTICIPACIONES!$P$2:$P$601,"&lt;&gt;En ejecución"))</f>
        <v/>
      </c>
      <c r="J350" s="12">
        <f>IF(A350="","",H350+SUMIF($F$2:$F$601,A350,$H$2:$H$601))</f>
        <v/>
      </c>
      <c r="K350" s="13">
        <f>IF(A350="","",I350+SUMIF($F$2:$F$601,A350,$I$2:$I$601))</f>
        <v/>
      </c>
    </row>
    <row r="351">
      <c r="H351" s="12">
        <f>IF(A351="","",COUNTIF(PARTICIPACIONES!$B$2:$B$601,A351))</f>
        <v/>
      </c>
      <c r="I351" s="13">
        <f>IF(A351="","",SUMIFS(PARTICIPACIONES!$M$2:$M$601,PARTICIPACIONES!$B$2:$B$601,A351,PARTICIPACIONES!$P$2:$P$601,"&lt;&gt;En ejecución"))</f>
        <v/>
      </c>
      <c r="J351" s="12">
        <f>IF(A351="","",H351+SUMIF($F$2:$F$601,A351,$H$2:$H$601))</f>
        <v/>
      </c>
      <c r="K351" s="13">
        <f>IF(A351="","",I351+SUMIF($F$2:$F$601,A351,$I$2:$I$601))</f>
        <v/>
      </c>
    </row>
    <row r="352">
      <c r="H352" s="12">
        <f>IF(A352="","",COUNTIF(PARTICIPACIONES!$B$2:$B$601,A352))</f>
        <v/>
      </c>
      <c r="I352" s="13">
        <f>IF(A352="","",SUMIFS(PARTICIPACIONES!$M$2:$M$601,PARTICIPACIONES!$B$2:$B$601,A352,PARTICIPACIONES!$P$2:$P$601,"&lt;&gt;En ejecución"))</f>
        <v/>
      </c>
      <c r="J352" s="12">
        <f>IF(A352="","",H352+SUMIF($F$2:$F$601,A352,$H$2:$H$601))</f>
        <v/>
      </c>
      <c r="K352" s="13">
        <f>IF(A352="","",I352+SUMIF($F$2:$F$601,A352,$I$2:$I$601))</f>
        <v/>
      </c>
    </row>
    <row r="353">
      <c r="H353" s="12">
        <f>IF(A353="","",COUNTIF(PARTICIPACIONES!$B$2:$B$601,A353))</f>
        <v/>
      </c>
      <c r="I353" s="13">
        <f>IF(A353="","",SUMIFS(PARTICIPACIONES!$M$2:$M$601,PARTICIPACIONES!$B$2:$B$601,A353,PARTICIPACIONES!$P$2:$P$601,"&lt;&gt;En ejecución"))</f>
        <v/>
      </c>
      <c r="J353" s="12">
        <f>IF(A353="","",H353+SUMIF($F$2:$F$601,A353,$H$2:$H$601))</f>
        <v/>
      </c>
      <c r="K353" s="13">
        <f>IF(A353="","",I353+SUMIF($F$2:$F$601,A353,$I$2:$I$601))</f>
        <v/>
      </c>
    </row>
    <row r="354">
      <c r="H354" s="12">
        <f>IF(A354="","",COUNTIF(PARTICIPACIONES!$B$2:$B$601,A354))</f>
        <v/>
      </c>
      <c r="I354" s="13">
        <f>IF(A354="","",SUMIFS(PARTICIPACIONES!$M$2:$M$601,PARTICIPACIONES!$B$2:$B$601,A354,PARTICIPACIONES!$P$2:$P$601,"&lt;&gt;En ejecución"))</f>
        <v/>
      </c>
      <c r="J354" s="12">
        <f>IF(A354="","",H354+SUMIF($F$2:$F$601,A354,$H$2:$H$601))</f>
        <v/>
      </c>
      <c r="K354" s="13">
        <f>IF(A354="","",I354+SUMIF($F$2:$F$601,A354,$I$2:$I$601))</f>
        <v/>
      </c>
    </row>
    <row r="355">
      <c r="H355" s="12">
        <f>IF(A355="","",COUNTIF(PARTICIPACIONES!$B$2:$B$601,A355))</f>
        <v/>
      </c>
      <c r="I355" s="13">
        <f>IF(A355="","",SUMIFS(PARTICIPACIONES!$M$2:$M$601,PARTICIPACIONES!$B$2:$B$601,A355,PARTICIPACIONES!$P$2:$P$601,"&lt;&gt;En ejecución"))</f>
        <v/>
      </c>
      <c r="J355" s="12">
        <f>IF(A355="","",H355+SUMIF($F$2:$F$601,A355,$H$2:$H$601))</f>
        <v/>
      </c>
      <c r="K355" s="13">
        <f>IF(A355="","",I355+SUMIF($F$2:$F$601,A355,$I$2:$I$601))</f>
        <v/>
      </c>
    </row>
    <row r="356">
      <c r="H356" s="12">
        <f>IF(A356="","",COUNTIF(PARTICIPACIONES!$B$2:$B$601,A356))</f>
        <v/>
      </c>
      <c r="I356" s="13">
        <f>IF(A356="","",SUMIFS(PARTICIPACIONES!$M$2:$M$601,PARTICIPACIONES!$B$2:$B$601,A356,PARTICIPACIONES!$P$2:$P$601,"&lt;&gt;En ejecución"))</f>
        <v/>
      </c>
      <c r="J356" s="12">
        <f>IF(A356="","",H356+SUMIF($F$2:$F$601,A356,$H$2:$H$601))</f>
        <v/>
      </c>
      <c r="K356" s="13">
        <f>IF(A356="","",I356+SUMIF($F$2:$F$601,A356,$I$2:$I$601))</f>
        <v/>
      </c>
    </row>
    <row r="357">
      <c r="H357" s="12">
        <f>IF(A357="","",COUNTIF(PARTICIPACIONES!$B$2:$B$601,A357))</f>
        <v/>
      </c>
      <c r="I357" s="13">
        <f>IF(A357="","",SUMIFS(PARTICIPACIONES!$M$2:$M$601,PARTICIPACIONES!$B$2:$B$601,A357,PARTICIPACIONES!$P$2:$P$601,"&lt;&gt;En ejecución"))</f>
        <v/>
      </c>
      <c r="J357" s="12">
        <f>IF(A357="","",H357+SUMIF($F$2:$F$601,A357,$H$2:$H$601))</f>
        <v/>
      </c>
      <c r="K357" s="13">
        <f>IF(A357="","",I357+SUMIF($F$2:$F$601,A357,$I$2:$I$601))</f>
        <v/>
      </c>
    </row>
    <row r="358">
      <c r="H358" s="12">
        <f>IF(A358="","",COUNTIF(PARTICIPACIONES!$B$2:$B$601,A358))</f>
        <v/>
      </c>
      <c r="I358" s="13">
        <f>IF(A358="","",SUMIFS(PARTICIPACIONES!$M$2:$M$601,PARTICIPACIONES!$B$2:$B$601,A358,PARTICIPACIONES!$P$2:$P$601,"&lt;&gt;En ejecución"))</f>
        <v/>
      </c>
      <c r="J358" s="12">
        <f>IF(A358="","",H358+SUMIF($F$2:$F$601,A358,$H$2:$H$601))</f>
        <v/>
      </c>
      <c r="K358" s="13">
        <f>IF(A358="","",I358+SUMIF($F$2:$F$601,A358,$I$2:$I$601))</f>
        <v/>
      </c>
    </row>
    <row r="359">
      <c r="H359" s="12">
        <f>IF(A359="","",COUNTIF(PARTICIPACIONES!$B$2:$B$601,A359))</f>
        <v/>
      </c>
      <c r="I359" s="13">
        <f>IF(A359="","",SUMIFS(PARTICIPACIONES!$M$2:$M$601,PARTICIPACIONES!$B$2:$B$601,A359,PARTICIPACIONES!$P$2:$P$601,"&lt;&gt;En ejecución"))</f>
        <v/>
      </c>
      <c r="J359" s="12">
        <f>IF(A359="","",H359+SUMIF($F$2:$F$601,A359,$H$2:$H$601))</f>
        <v/>
      </c>
      <c r="K359" s="13">
        <f>IF(A359="","",I359+SUMIF($F$2:$F$601,A359,$I$2:$I$601))</f>
        <v/>
      </c>
    </row>
    <row r="360">
      <c r="H360" s="12">
        <f>IF(A360="","",COUNTIF(PARTICIPACIONES!$B$2:$B$601,A360))</f>
        <v/>
      </c>
      <c r="I360" s="13">
        <f>IF(A360="","",SUMIFS(PARTICIPACIONES!$M$2:$M$601,PARTICIPACIONES!$B$2:$B$601,A360,PARTICIPACIONES!$P$2:$P$601,"&lt;&gt;En ejecución"))</f>
        <v/>
      </c>
      <c r="J360" s="12">
        <f>IF(A360="","",H360+SUMIF($F$2:$F$601,A360,$H$2:$H$601))</f>
        <v/>
      </c>
      <c r="K360" s="13">
        <f>IF(A360="","",I360+SUMIF($F$2:$F$601,A360,$I$2:$I$601))</f>
        <v/>
      </c>
    </row>
    <row r="361">
      <c r="H361" s="12">
        <f>IF(A361="","",COUNTIF(PARTICIPACIONES!$B$2:$B$601,A361))</f>
        <v/>
      </c>
      <c r="I361" s="13">
        <f>IF(A361="","",SUMIFS(PARTICIPACIONES!$M$2:$M$601,PARTICIPACIONES!$B$2:$B$601,A361,PARTICIPACIONES!$P$2:$P$601,"&lt;&gt;En ejecución"))</f>
        <v/>
      </c>
      <c r="J361" s="12">
        <f>IF(A361="","",H361+SUMIF($F$2:$F$601,A361,$H$2:$H$601))</f>
        <v/>
      </c>
      <c r="K361" s="13">
        <f>IF(A361="","",I361+SUMIF($F$2:$F$601,A361,$I$2:$I$601))</f>
        <v/>
      </c>
    </row>
    <row r="362">
      <c r="H362" s="12">
        <f>IF(A362="","",COUNTIF(PARTICIPACIONES!$B$2:$B$601,A362))</f>
        <v/>
      </c>
      <c r="I362" s="13">
        <f>IF(A362="","",SUMIFS(PARTICIPACIONES!$M$2:$M$601,PARTICIPACIONES!$B$2:$B$601,A362,PARTICIPACIONES!$P$2:$P$601,"&lt;&gt;En ejecución"))</f>
        <v/>
      </c>
      <c r="J362" s="12">
        <f>IF(A362="","",H362+SUMIF($F$2:$F$601,A362,$H$2:$H$601))</f>
        <v/>
      </c>
      <c r="K362" s="13">
        <f>IF(A362="","",I362+SUMIF($F$2:$F$601,A362,$I$2:$I$601))</f>
        <v/>
      </c>
    </row>
    <row r="363">
      <c r="H363" s="12">
        <f>IF(A363="","",COUNTIF(PARTICIPACIONES!$B$2:$B$601,A363))</f>
        <v/>
      </c>
      <c r="I363" s="13">
        <f>IF(A363="","",SUMIFS(PARTICIPACIONES!$M$2:$M$601,PARTICIPACIONES!$B$2:$B$601,A363,PARTICIPACIONES!$P$2:$P$601,"&lt;&gt;En ejecución"))</f>
        <v/>
      </c>
      <c r="J363" s="12">
        <f>IF(A363="","",H363+SUMIF($F$2:$F$601,A363,$H$2:$H$601))</f>
        <v/>
      </c>
      <c r="K363" s="13">
        <f>IF(A363="","",I363+SUMIF($F$2:$F$601,A363,$I$2:$I$601))</f>
        <v/>
      </c>
    </row>
    <row r="364">
      <c r="H364" s="12">
        <f>IF(A364="","",COUNTIF(PARTICIPACIONES!$B$2:$B$601,A364))</f>
        <v/>
      </c>
      <c r="I364" s="13">
        <f>IF(A364="","",SUMIFS(PARTICIPACIONES!$M$2:$M$601,PARTICIPACIONES!$B$2:$B$601,A364,PARTICIPACIONES!$P$2:$P$601,"&lt;&gt;En ejecución"))</f>
        <v/>
      </c>
      <c r="J364" s="12">
        <f>IF(A364="","",H364+SUMIF($F$2:$F$601,A364,$H$2:$H$601))</f>
        <v/>
      </c>
      <c r="K364" s="13">
        <f>IF(A364="","",I364+SUMIF($F$2:$F$601,A364,$I$2:$I$601))</f>
        <v/>
      </c>
    </row>
    <row r="365">
      <c r="H365" s="12">
        <f>IF(A365="","",COUNTIF(PARTICIPACIONES!$B$2:$B$601,A365))</f>
        <v/>
      </c>
      <c r="I365" s="13">
        <f>IF(A365="","",SUMIFS(PARTICIPACIONES!$M$2:$M$601,PARTICIPACIONES!$B$2:$B$601,A365,PARTICIPACIONES!$P$2:$P$601,"&lt;&gt;En ejecución"))</f>
        <v/>
      </c>
      <c r="J365" s="12">
        <f>IF(A365="","",H365+SUMIF($F$2:$F$601,A365,$H$2:$H$601))</f>
        <v/>
      </c>
      <c r="K365" s="13">
        <f>IF(A365="","",I365+SUMIF($F$2:$F$601,A365,$I$2:$I$601))</f>
        <v/>
      </c>
    </row>
    <row r="366">
      <c r="H366" s="12">
        <f>IF(A366="","",COUNTIF(PARTICIPACIONES!$B$2:$B$601,A366))</f>
        <v/>
      </c>
      <c r="I366" s="13">
        <f>IF(A366="","",SUMIFS(PARTICIPACIONES!$M$2:$M$601,PARTICIPACIONES!$B$2:$B$601,A366,PARTICIPACIONES!$P$2:$P$601,"&lt;&gt;En ejecución"))</f>
        <v/>
      </c>
      <c r="J366" s="12">
        <f>IF(A366="","",H366+SUMIF($F$2:$F$601,A366,$H$2:$H$601))</f>
        <v/>
      </c>
      <c r="K366" s="13">
        <f>IF(A366="","",I366+SUMIF($F$2:$F$601,A366,$I$2:$I$601))</f>
        <v/>
      </c>
    </row>
    <row r="367">
      <c r="H367" s="12">
        <f>IF(A367="","",COUNTIF(PARTICIPACIONES!$B$2:$B$601,A367))</f>
        <v/>
      </c>
      <c r="I367" s="13">
        <f>IF(A367="","",SUMIFS(PARTICIPACIONES!$M$2:$M$601,PARTICIPACIONES!$B$2:$B$601,A367,PARTICIPACIONES!$P$2:$P$601,"&lt;&gt;En ejecución"))</f>
        <v/>
      </c>
      <c r="J367" s="12">
        <f>IF(A367="","",H367+SUMIF($F$2:$F$601,A367,$H$2:$H$601))</f>
        <v/>
      </c>
      <c r="K367" s="13">
        <f>IF(A367="","",I367+SUMIF($F$2:$F$601,A367,$I$2:$I$601))</f>
        <v/>
      </c>
    </row>
    <row r="368">
      <c r="H368" s="12">
        <f>IF(A368="","",COUNTIF(PARTICIPACIONES!$B$2:$B$601,A368))</f>
        <v/>
      </c>
      <c r="I368" s="13">
        <f>IF(A368="","",SUMIFS(PARTICIPACIONES!$M$2:$M$601,PARTICIPACIONES!$B$2:$B$601,A368,PARTICIPACIONES!$P$2:$P$601,"&lt;&gt;En ejecución"))</f>
        <v/>
      </c>
      <c r="J368" s="12">
        <f>IF(A368="","",H368+SUMIF($F$2:$F$601,A368,$H$2:$H$601))</f>
        <v/>
      </c>
      <c r="K368" s="13">
        <f>IF(A368="","",I368+SUMIF($F$2:$F$601,A368,$I$2:$I$601))</f>
        <v/>
      </c>
    </row>
    <row r="369">
      <c r="H369" s="12">
        <f>IF(A369="","",COUNTIF(PARTICIPACIONES!$B$2:$B$601,A369))</f>
        <v/>
      </c>
      <c r="I369" s="13">
        <f>IF(A369="","",SUMIFS(PARTICIPACIONES!$M$2:$M$601,PARTICIPACIONES!$B$2:$B$601,A369,PARTICIPACIONES!$P$2:$P$601,"&lt;&gt;En ejecución"))</f>
        <v/>
      </c>
      <c r="J369" s="12">
        <f>IF(A369="","",H369+SUMIF($F$2:$F$601,A369,$H$2:$H$601))</f>
        <v/>
      </c>
      <c r="K369" s="13">
        <f>IF(A369="","",I369+SUMIF($F$2:$F$601,A369,$I$2:$I$601))</f>
        <v/>
      </c>
    </row>
    <row r="370">
      <c r="H370" s="12">
        <f>IF(A370="","",COUNTIF(PARTICIPACIONES!$B$2:$B$601,A370))</f>
        <v/>
      </c>
      <c r="I370" s="13">
        <f>IF(A370="","",SUMIFS(PARTICIPACIONES!$M$2:$M$601,PARTICIPACIONES!$B$2:$B$601,A370,PARTICIPACIONES!$P$2:$P$601,"&lt;&gt;En ejecución"))</f>
        <v/>
      </c>
      <c r="J370" s="12">
        <f>IF(A370="","",H370+SUMIF($F$2:$F$601,A370,$H$2:$H$601))</f>
        <v/>
      </c>
      <c r="K370" s="13">
        <f>IF(A370="","",I370+SUMIF($F$2:$F$601,A370,$I$2:$I$601))</f>
        <v/>
      </c>
    </row>
    <row r="371">
      <c r="H371" s="12">
        <f>IF(A371="","",COUNTIF(PARTICIPACIONES!$B$2:$B$601,A371))</f>
        <v/>
      </c>
      <c r="I371" s="13">
        <f>IF(A371="","",SUMIFS(PARTICIPACIONES!$M$2:$M$601,PARTICIPACIONES!$B$2:$B$601,A371,PARTICIPACIONES!$P$2:$P$601,"&lt;&gt;En ejecución"))</f>
        <v/>
      </c>
      <c r="J371" s="12">
        <f>IF(A371="","",H371+SUMIF($F$2:$F$601,A371,$H$2:$H$601))</f>
        <v/>
      </c>
      <c r="K371" s="13">
        <f>IF(A371="","",I371+SUMIF($F$2:$F$601,A371,$I$2:$I$601))</f>
        <v/>
      </c>
    </row>
    <row r="372">
      <c r="H372" s="12">
        <f>IF(A372="","",COUNTIF(PARTICIPACIONES!$B$2:$B$601,A372))</f>
        <v/>
      </c>
      <c r="I372" s="13">
        <f>IF(A372="","",SUMIFS(PARTICIPACIONES!$M$2:$M$601,PARTICIPACIONES!$B$2:$B$601,A372,PARTICIPACIONES!$P$2:$P$601,"&lt;&gt;En ejecución"))</f>
        <v/>
      </c>
      <c r="J372" s="12">
        <f>IF(A372="","",H372+SUMIF($F$2:$F$601,A372,$H$2:$H$601))</f>
        <v/>
      </c>
      <c r="K372" s="13">
        <f>IF(A372="","",I372+SUMIF($F$2:$F$601,A372,$I$2:$I$601))</f>
        <v/>
      </c>
    </row>
    <row r="373">
      <c r="H373" s="12">
        <f>IF(A373="","",COUNTIF(PARTICIPACIONES!$B$2:$B$601,A373))</f>
        <v/>
      </c>
      <c r="I373" s="13">
        <f>IF(A373="","",SUMIFS(PARTICIPACIONES!$M$2:$M$601,PARTICIPACIONES!$B$2:$B$601,A373,PARTICIPACIONES!$P$2:$P$601,"&lt;&gt;En ejecución"))</f>
        <v/>
      </c>
      <c r="J373" s="12">
        <f>IF(A373="","",H373+SUMIF($F$2:$F$601,A373,$H$2:$H$601))</f>
        <v/>
      </c>
      <c r="K373" s="13">
        <f>IF(A373="","",I373+SUMIF($F$2:$F$601,A373,$I$2:$I$601))</f>
        <v/>
      </c>
    </row>
    <row r="374">
      <c r="H374" s="12">
        <f>IF(A374="","",COUNTIF(PARTICIPACIONES!$B$2:$B$601,A374))</f>
        <v/>
      </c>
      <c r="I374" s="13">
        <f>IF(A374="","",SUMIFS(PARTICIPACIONES!$M$2:$M$601,PARTICIPACIONES!$B$2:$B$601,A374,PARTICIPACIONES!$P$2:$P$601,"&lt;&gt;En ejecución"))</f>
        <v/>
      </c>
      <c r="J374" s="12">
        <f>IF(A374="","",H374+SUMIF($F$2:$F$601,A374,$H$2:$H$601))</f>
        <v/>
      </c>
      <c r="K374" s="13">
        <f>IF(A374="","",I374+SUMIF($F$2:$F$601,A374,$I$2:$I$601))</f>
        <v/>
      </c>
    </row>
    <row r="375">
      <c r="H375" s="12">
        <f>IF(A375="","",COUNTIF(PARTICIPACIONES!$B$2:$B$601,A375))</f>
        <v/>
      </c>
      <c r="I375" s="13">
        <f>IF(A375="","",SUMIFS(PARTICIPACIONES!$M$2:$M$601,PARTICIPACIONES!$B$2:$B$601,A375,PARTICIPACIONES!$P$2:$P$601,"&lt;&gt;En ejecución"))</f>
        <v/>
      </c>
      <c r="J375" s="12">
        <f>IF(A375="","",H375+SUMIF($F$2:$F$601,A375,$H$2:$H$601))</f>
        <v/>
      </c>
      <c r="K375" s="13">
        <f>IF(A375="","",I375+SUMIF($F$2:$F$601,A375,$I$2:$I$601))</f>
        <v/>
      </c>
    </row>
    <row r="376">
      <c r="H376" s="12">
        <f>IF(A376="","",COUNTIF(PARTICIPACIONES!$B$2:$B$601,A376))</f>
        <v/>
      </c>
      <c r="I376" s="13">
        <f>IF(A376="","",SUMIFS(PARTICIPACIONES!$M$2:$M$601,PARTICIPACIONES!$B$2:$B$601,A376,PARTICIPACIONES!$P$2:$P$601,"&lt;&gt;En ejecución"))</f>
        <v/>
      </c>
      <c r="J376" s="12">
        <f>IF(A376="","",H376+SUMIF($F$2:$F$601,A376,$H$2:$H$601))</f>
        <v/>
      </c>
      <c r="K376" s="13">
        <f>IF(A376="","",I376+SUMIF($F$2:$F$601,A376,$I$2:$I$601))</f>
        <v/>
      </c>
    </row>
    <row r="377">
      <c r="H377" s="12">
        <f>IF(A377="","",COUNTIF(PARTICIPACIONES!$B$2:$B$601,A377))</f>
        <v/>
      </c>
      <c r="I377" s="13">
        <f>IF(A377="","",SUMIFS(PARTICIPACIONES!$M$2:$M$601,PARTICIPACIONES!$B$2:$B$601,A377,PARTICIPACIONES!$P$2:$P$601,"&lt;&gt;En ejecución"))</f>
        <v/>
      </c>
      <c r="J377" s="12">
        <f>IF(A377="","",H377+SUMIF($F$2:$F$601,A377,$H$2:$H$601))</f>
        <v/>
      </c>
      <c r="K377" s="13">
        <f>IF(A377="","",I377+SUMIF($F$2:$F$601,A377,$I$2:$I$601))</f>
        <v/>
      </c>
    </row>
    <row r="378">
      <c r="H378" s="12">
        <f>IF(A378="","",COUNTIF(PARTICIPACIONES!$B$2:$B$601,A378))</f>
        <v/>
      </c>
      <c r="I378" s="13">
        <f>IF(A378="","",SUMIFS(PARTICIPACIONES!$M$2:$M$601,PARTICIPACIONES!$B$2:$B$601,A378,PARTICIPACIONES!$P$2:$P$601,"&lt;&gt;En ejecución"))</f>
        <v/>
      </c>
      <c r="J378" s="12">
        <f>IF(A378="","",H378+SUMIF($F$2:$F$601,A378,$H$2:$H$601))</f>
        <v/>
      </c>
      <c r="K378" s="13">
        <f>IF(A378="","",I378+SUMIF($F$2:$F$601,A378,$I$2:$I$601))</f>
        <v/>
      </c>
    </row>
    <row r="379">
      <c r="H379" s="12">
        <f>IF(A379="","",COUNTIF(PARTICIPACIONES!$B$2:$B$601,A379))</f>
        <v/>
      </c>
      <c r="I379" s="13">
        <f>IF(A379="","",SUMIFS(PARTICIPACIONES!$M$2:$M$601,PARTICIPACIONES!$B$2:$B$601,A379,PARTICIPACIONES!$P$2:$P$601,"&lt;&gt;En ejecución"))</f>
        <v/>
      </c>
      <c r="J379" s="12">
        <f>IF(A379="","",H379+SUMIF($F$2:$F$601,A379,$H$2:$H$601))</f>
        <v/>
      </c>
      <c r="K379" s="13">
        <f>IF(A379="","",I379+SUMIF($F$2:$F$601,A379,$I$2:$I$601))</f>
        <v/>
      </c>
    </row>
    <row r="380">
      <c r="H380" s="12">
        <f>IF(A380="","",COUNTIF(PARTICIPACIONES!$B$2:$B$601,A380))</f>
        <v/>
      </c>
      <c r="I380" s="13">
        <f>IF(A380="","",SUMIFS(PARTICIPACIONES!$M$2:$M$601,PARTICIPACIONES!$B$2:$B$601,A380,PARTICIPACIONES!$P$2:$P$601,"&lt;&gt;En ejecución"))</f>
        <v/>
      </c>
      <c r="J380" s="12">
        <f>IF(A380="","",H380+SUMIF($F$2:$F$601,A380,$H$2:$H$601))</f>
        <v/>
      </c>
      <c r="K380" s="13">
        <f>IF(A380="","",I380+SUMIF($F$2:$F$601,A380,$I$2:$I$601))</f>
        <v/>
      </c>
    </row>
    <row r="381">
      <c r="H381" s="12">
        <f>IF(A381="","",COUNTIF(PARTICIPACIONES!$B$2:$B$601,A381))</f>
        <v/>
      </c>
      <c r="I381" s="13">
        <f>IF(A381="","",SUMIFS(PARTICIPACIONES!$M$2:$M$601,PARTICIPACIONES!$B$2:$B$601,A381,PARTICIPACIONES!$P$2:$P$601,"&lt;&gt;En ejecución"))</f>
        <v/>
      </c>
      <c r="J381" s="12">
        <f>IF(A381="","",H381+SUMIF($F$2:$F$601,A381,$H$2:$H$601))</f>
        <v/>
      </c>
      <c r="K381" s="13">
        <f>IF(A381="","",I381+SUMIF($F$2:$F$601,A381,$I$2:$I$601))</f>
        <v/>
      </c>
    </row>
    <row r="382">
      <c r="H382" s="12">
        <f>IF(A382="","",COUNTIF(PARTICIPACIONES!$B$2:$B$601,A382))</f>
        <v/>
      </c>
      <c r="I382" s="13">
        <f>IF(A382="","",SUMIFS(PARTICIPACIONES!$M$2:$M$601,PARTICIPACIONES!$B$2:$B$601,A382,PARTICIPACIONES!$P$2:$P$601,"&lt;&gt;En ejecución"))</f>
        <v/>
      </c>
      <c r="J382" s="12">
        <f>IF(A382="","",H382+SUMIF($F$2:$F$601,A382,$H$2:$H$601))</f>
        <v/>
      </c>
      <c r="K382" s="13">
        <f>IF(A382="","",I382+SUMIF($F$2:$F$601,A382,$I$2:$I$601))</f>
        <v/>
      </c>
    </row>
    <row r="383">
      <c r="H383" s="12">
        <f>IF(A383="","",COUNTIF(PARTICIPACIONES!$B$2:$B$601,A383))</f>
        <v/>
      </c>
      <c r="I383" s="13">
        <f>IF(A383="","",SUMIFS(PARTICIPACIONES!$M$2:$M$601,PARTICIPACIONES!$B$2:$B$601,A383,PARTICIPACIONES!$P$2:$P$601,"&lt;&gt;En ejecución"))</f>
        <v/>
      </c>
      <c r="J383" s="12">
        <f>IF(A383="","",H383+SUMIF($F$2:$F$601,A383,$H$2:$H$601))</f>
        <v/>
      </c>
      <c r="K383" s="13">
        <f>IF(A383="","",I383+SUMIF($F$2:$F$601,A383,$I$2:$I$601))</f>
        <v/>
      </c>
    </row>
    <row r="384">
      <c r="H384" s="12">
        <f>IF(A384="","",COUNTIF(PARTICIPACIONES!$B$2:$B$601,A384))</f>
        <v/>
      </c>
      <c r="I384" s="13">
        <f>IF(A384="","",SUMIFS(PARTICIPACIONES!$M$2:$M$601,PARTICIPACIONES!$B$2:$B$601,A384,PARTICIPACIONES!$P$2:$P$601,"&lt;&gt;En ejecución"))</f>
        <v/>
      </c>
      <c r="J384" s="12">
        <f>IF(A384="","",H384+SUMIF($F$2:$F$601,A384,$H$2:$H$601))</f>
        <v/>
      </c>
      <c r="K384" s="13">
        <f>IF(A384="","",I384+SUMIF($F$2:$F$601,A384,$I$2:$I$601))</f>
        <v/>
      </c>
    </row>
    <row r="385">
      <c r="H385" s="12">
        <f>IF(A385="","",COUNTIF(PARTICIPACIONES!$B$2:$B$601,A385))</f>
        <v/>
      </c>
      <c r="I385" s="13">
        <f>IF(A385="","",SUMIFS(PARTICIPACIONES!$M$2:$M$601,PARTICIPACIONES!$B$2:$B$601,A385,PARTICIPACIONES!$P$2:$P$601,"&lt;&gt;En ejecución"))</f>
        <v/>
      </c>
      <c r="J385" s="12">
        <f>IF(A385="","",H385+SUMIF($F$2:$F$601,A385,$H$2:$H$601))</f>
        <v/>
      </c>
      <c r="K385" s="13">
        <f>IF(A385="","",I385+SUMIF($F$2:$F$601,A385,$I$2:$I$601))</f>
        <v/>
      </c>
    </row>
    <row r="386">
      <c r="H386" s="12">
        <f>IF(A386="","",COUNTIF(PARTICIPACIONES!$B$2:$B$601,A386))</f>
        <v/>
      </c>
      <c r="I386" s="13">
        <f>IF(A386="","",SUMIFS(PARTICIPACIONES!$M$2:$M$601,PARTICIPACIONES!$B$2:$B$601,A386,PARTICIPACIONES!$P$2:$P$601,"&lt;&gt;En ejecución"))</f>
        <v/>
      </c>
      <c r="J386" s="12">
        <f>IF(A386="","",H386+SUMIF($F$2:$F$601,A386,$H$2:$H$601))</f>
        <v/>
      </c>
      <c r="K386" s="13">
        <f>IF(A386="","",I386+SUMIF($F$2:$F$601,A386,$I$2:$I$601))</f>
        <v/>
      </c>
    </row>
    <row r="387">
      <c r="H387" s="12">
        <f>IF(A387="","",COUNTIF(PARTICIPACIONES!$B$2:$B$601,A387))</f>
        <v/>
      </c>
      <c r="I387" s="13">
        <f>IF(A387="","",SUMIFS(PARTICIPACIONES!$M$2:$M$601,PARTICIPACIONES!$B$2:$B$601,A387,PARTICIPACIONES!$P$2:$P$601,"&lt;&gt;En ejecución"))</f>
        <v/>
      </c>
      <c r="J387" s="12">
        <f>IF(A387="","",H387+SUMIF($F$2:$F$601,A387,$H$2:$H$601))</f>
        <v/>
      </c>
      <c r="K387" s="13">
        <f>IF(A387="","",I387+SUMIF($F$2:$F$601,A387,$I$2:$I$601))</f>
        <v/>
      </c>
    </row>
    <row r="388">
      <c r="H388" s="12">
        <f>IF(A388="","",COUNTIF(PARTICIPACIONES!$B$2:$B$601,A388))</f>
        <v/>
      </c>
      <c r="I388" s="13">
        <f>IF(A388="","",SUMIFS(PARTICIPACIONES!$M$2:$M$601,PARTICIPACIONES!$B$2:$B$601,A388,PARTICIPACIONES!$P$2:$P$601,"&lt;&gt;En ejecución"))</f>
        <v/>
      </c>
      <c r="J388" s="12">
        <f>IF(A388="","",H388+SUMIF($F$2:$F$601,A388,$H$2:$H$601))</f>
        <v/>
      </c>
      <c r="K388" s="13">
        <f>IF(A388="","",I388+SUMIF($F$2:$F$601,A388,$I$2:$I$601))</f>
        <v/>
      </c>
    </row>
    <row r="389">
      <c r="H389" s="12">
        <f>IF(A389="","",COUNTIF(PARTICIPACIONES!$B$2:$B$601,A389))</f>
        <v/>
      </c>
      <c r="I389" s="13">
        <f>IF(A389="","",SUMIFS(PARTICIPACIONES!$M$2:$M$601,PARTICIPACIONES!$B$2:$B$601,A389,PARTICIPACIONES!$P$2:$P$601,"&lt;&gt;En ejecución"))</f>
        <v/>
      </c>
      <c r="J389" s="12">
        <f>IF(A389="","",H389+SUMIF($F$2:$F$601,A389,$H$2:$H$601))</f>
        <v/>
      </c>
      <c r="K389" s="13">
        <f>IF(A389="","",I389+SUMIF($F$2:$F$601,A389,$I$2:$I$601))</f>
        <v/>
      </c>
    </row>
    <row r="390">
      <c r="H390" s="12">
        <f>IF(A390="","",COUNTIF(PARTICIPACIONES!$B$2:$B$601,A390))</f>
        <v/>
      </c>
      <c r="I390" s="13">
        <f>IF(A390="","",SUMIFS(PARTICIPACIONES!$M$2:$M$601,PARTICIPACIONES!$B$2:$B$601,A390,PARTICIPACIONES!$P$2:$P$601,"&lt;&gt;En ejecución"))</f>
        <v/>
      </c>
      <c r="J390" s="12">
        <f>IF(A390="","",H390+SUMIF($F$2:$F$601,A390,$H$2:$H$601))</f>
        <v/>
      </c>
      <c r="K390" s="13">
        <f>IF(A390="","",I390+SUMIF($F$2:$F$601,A390,$I$2:$I$601))</f>
        <v/>
      </c>
    </row>
    <row r="391">
      <c r="H391" s="12">
        <f>IF(A391="","",COUNTIF(PARTICIPACIONES!$B$2:$B$601,A391))</f>
        <v/>
      </c>
      <c r="I391" s="13">
        <f>IF(A391="","",SUMIFS(PARTICIPACIONES!$M$2:$M$601,PARTICIPACIONES!$B$2:$B$601,A391,PARTICIPACIONES!$P$2:$P$601,"&lt;&gt;En ejecución"))</f>
        <v/>
      </c>
      <c r="J391" s="12">
        <f>IF(A391="","",H391+SUMIF($F$2:$F$601,A391,$H$2:$H$601))</f>
        <v/>
      </c>
      <c r="K391" s="13">
        <f>IF(A391="","",I391+SUMIF($F$2:$F$601,A391,$I$2:$I$601))</f>
        <v/>
      </c>
    </row>
    <row r="392">
      <c r="H392" s="12">
        <f>IF(A392="","",COUNTIF(PARTICIPACIONES!$B$2:$B$601,A392))</f>
        <v/>
      </c>
      <c r="I392" s="13">
        <f>IF(A392="","",SUMIFS(PARTICIPACIONES!$M$2:$M$601,PARTICIPACIONES!$B$2:$B$601,A392,PARTICIPACIONES!$P$2:$P$601,"&lt;&gt;En ejecución"))</f>
        <v/>
      </c>
      <c r="J392" s="12">
        <f>IF(A392="","",H392+SUMIF($F$2:$F$601,A392,$H$2:$H$601))</f>
        <v/>
      </c>
      <c r="K392" s="13">
        <f>IF(A392="","",I392+SUMIF($F$2:$F$601,A392,$I$2:$I$601))</f>
        <v/>
      </c>
    </row>
    <row r="393">
      <c r="H393" s="12">
        <f>IF(A393="","",COUNTIF(PARTICIPACIONES!$B$2:$B$601,A393))</f>
        <v/>
      </c>
      <c r="I393" s="13">
        <f>IF(A393="","",SUMIFS(PARTICIPACIONES!$M$2:$M$601,PARTICIPACIONES!$B$2:$B$601,A393,PARTICIPACIONES!$P$2:$P$601,"&lt;&gt;En ejecución"))</f>
        <v/>
      </c>
      <c r="J393" s="12">
        <f>IF(A393="","",H393+SUMIF($F$2:$F$601,A393,$H$2:$H$601))</f>
        <v/>
      </c>
      <c r="K393" s="13">
        <f>IF(A393="","",I393+SUMIF($F$2:$F$601,A393,$I$2:$I$601))</f>
        <v/>
      </c>
    </row>
    <row r="394">
      <c r="H394" s="12">
        <f>IF(A394="","",COUNTIF(PARTICIPACIONES!$B$2:$B$601,A394))</f>
        <v/>
      </c>
      <c r="I394" s="13">
        <f>IF(A394="","",SUMIFS(PARTICIPACIONES!$M$2:$M$601,PARTICIPACIONES!$B$2:$B$601,A394,PARTICIPACIONES!$P$2:$P$601,"&lt;&gt;En ejecución"))</f>
        <v/>
      </c>
      <c r="J394" s="12">
        <f>IF(A394="","",H394+SUMIF($F$2:$F$601,A394,$H$2:$H$601))</f>
        <v/>
      </c>
      <c r="K394" s="13">
        <f>IF(A394="","",I394+SUMIF($F$2:$F$601,A394,$I$2:$I$601))</f>
        <v/>
      </c>
    </row>
    <row r="395">
      <c r="H395" s="12">
        <f>IF(A395="","",COUNTIF(PARTICIPACIONES!$B$2:$B$601,A395))</f>
        <v/>
      </c>
      <c r="I395" s="13">
        <f>IF(A395="","",SUMIFS(PARTICIPACIONES!$M$2:$M$601,PARTICIPACIONES!$B$2:$B$601,A395,PARTICIPACIONES!$P$2:$P$601,"&lt;&gt;En ejecución"))</f>
        <v/>
      </c>
      <c r="J395" s="12">
        <f>IF(A395="","",H395+SUMIF($F$2:$F$601,A395,$H$2:$H$601))</f>
        <v/>
      </c>
      <c r="K395" s="13">
        <f>IF(A395="","",I395+SUMIF($F$2:$F$601,A395,$I$2:$I$601))</f>
        <v/>
      </c>
    </row>
    <row r="396">
      <c r="H396" s="12">
        <f>IF(A396="","",COUNTIF(PARTICIPACIONES!$B$2:$B$601,A396))</f>
        <v/>
      </c>
      <c r="I396" s="13">
        <f>IF(A396="","",SUMIFS(PARTICIPACIONES!$M$2:$M$601,PARTICIPACIONES!$B$2:$B$601,A396,PARTICIPACIONES!$P$2:$P$601,"&lt;&gt;En ejecución"))</f>
        <v/>
      </c>
      <c r="J396" s="12">
        <f>IF(A396="","",H396+SUMIF($F$2:$F$601,A396,$H$2:$H$601))</f>
        <v/>
      </c>
      <c r="K396" s="13">
        <f>IF(A396="","",I396+SUMIF($F$2:$F$601,A396,$I$2:$I$601))</f>
        <v/>
      </c>
    </row>
    <row r="397">
      <c r="H397" s="12">
        <f>IF(A397="","",COUNTIF(PARTICIPACIONES!$B$2:$B$601,A397))</f>
        <v/>
      </c>
      <c r="I397" s="13">
        <f>IF(A397="","",SUMIFS(PARTICIPACIONES!$M$2:$M$601,PARTICIPACIONES!$B$2:$B$601,A397,PARTICIPACIONES!$P$2:$P$601,"&lt;&gt;En ejecución"))</f>
        <v/>
      </c>
      <c r="J397" s="12">
        <f>IF(A397="","",H397+SUMIF($F$2:$F$601,A397,$H$2:$H$601))</f>
        <v/>
      </c>
      <c r="K397" s="13">
        <f>IF(A397="","",I397+SUMIF($F$2:$F$601,A397,$I$2:$I$601))</f>
        <v/>
      </c>
    </row>
    <row r="398">
      <c r="H398" s="12">
        <f>IF(A398="","",COUNTIF(PARTICIPACIONES!$B$2:$B$601,A398))</f>
        <v/>
      </c>
      <c r="I398" s="13">
        <f>IF(A398="","",SUMIFS(PARTICIPACIONES!$M$2:$M$601,PARTICIPACIONES!$B$2:$B$601,A398,PARTICIPACIONES!$P$2:$P$601,"&lt;&gt;En ejecución"))</f>
        <v/>
      </c>
      <c r="J398" s="12">
        <f>IF(A398="","",H398+SUMIF($F$2:$F$601,A398,$H$2:$H$601))</f>
        <v/>
      </c>
      <c r="K398" s="13">
        <f>IF(A398="","",I398+SUMIF($F$2:$F$601,A398,$I$2:$I$601))</f>
        <v/>
      </c>
    </row>
    <row r="399">
      <c r="H399" s="12">
        <f>IF(A399="","",COUNTIF(PARTICIPACIONES!$B$2:$B$601,A399))</f>
        <v/>
      </c>
      <c r="I399" s="13">
        <f>IF(A399="","",SUMIFS(PARTICIPACIONES!$M$2:$M$601,PARTICIPACIONES!$B$2:$B$601,A399,PARTICIPACIONES!$P$2:$P$601,"&lt;&gt;En ejecución"))</f>
        <v/>
      </c>
      <c r="J399" s="12">
        <f>IF(A399="","",H399+SUMIF($F$2:$F$601,A399,$H$2:$H$601))</f>
        <v/>
      </c>
      <c r="K399" s="13">
        <f>IF(A399="","",I399+SUMIF($F$2:$F$601,A399,$I$2:$I$601))</f>
        <v/>
      </c>
    </row>
    <row r="400">
      <c r="H400" s="12">
        <f>IF(A400="","",COUNTIF(PARTICIPACIONES!$B$2:$B$601,A400))</f>
        <v/>
      </c>
      <c r="I400" s="13">
        <f>IF(A400="","",SUMIFS(PARTICIPACIONES!$M$2:$M$601,PARTICIPACIONES!$B$2:$B$601,A400,PARTICIPACIONES!$P$2:$P$601,"&lt;&gt;En ejecución"))</f>
        <v/>
      </c>
      <c r="J400" s="12">
        <f>IF(A400="","",H400+SUMIF($F$2:$F$601,A400,$H$2:$H$601))</f>
        <v/>
      </c>
      <c r="K400" s="13">
        <f>IF(A400="","",I400+SUMIF($F$2:$F$601,A400,$I$2:$I$601))</f>
        <v/>
      </c>
    </row>
    <row r="401">
      <c r="H401" s="12">
        <f>IF(A401="","",COUNTIF(PARTICIPACIONES!$B$2:$B$601,A401))</f>
        <v/>
      </c>
      <c r="I401" s="13">
        <f>IF(A401="","",SUMIFS(PARTICIPACIONES!$M$2:$M$601,PARTICIPACIONES!$B$2:$B$601,A401,PARTICIPACIONES!$P$2:$P$601,"&lt;&gt;En ejecución"))</f>
        <v/>
      </c>
      <c r="J401" s="12">
        <f>IF(A401="","",H401+SUMIF($F$2:$F$601,A401,$H$2:$H$601))</f>
        <v/>
      </c>
      <c r="K401" s="13">
        <f>IF(A401="","",I401+SUMIF($F$2:$F$601,A401,$I$2:$I$601))</f>
        <v/>
      </c>
    </row>
    <row r="402">
      <c r="H402" s="12">
        <f>IF(A402="","",COUNTIF(PARTICIPACIONES!$B$2:$B$601,A402))</f>
        <v/>
      </c>
      <c r="I402" s="13">
        <f>IF(A402="","",SUMIFS(PARTICIPACIONES!$M$2:$M$601,PARTICIPACIONES!$B$2:$B$601,A402,PARTICIPACIONES!$P$2:$P$601,"&lt;&gt;En ejecución"))</f>
        <v/>
      </c>
      <c r="J402" s="12">
        <f>IF(A402="","",H402+SUMIF($F$2:$F$601,A402,$H$2:$H$601))</f>
        <v/>
      </c>
      <c r="K402" s="13">
        <f>IF(A402="","",I402+SUMIF($F$2:$F$601,A402,$I$2:$I$601))</f>
        <v/>
      </c>
    </row>
    <row r="403">
      <c r="H403" s="12">
        <f>IF(A403="","",COUNTIF(PARTICIPACIONES!$B$2:$B$601,A403))</f>
        <v/>
      </c>
      <c r="I403" s="13">
        <f>IF(A403="","",SUMIFS(PARTICIPACIONES!$M$2:$M$601,PARTICIPACIONES!$B$2:$B$601,A403,PARTICIPACIONES!$P$2:$P$601,"&lt;&gt;En ejecución"))</f>
        <v/>
      </c>
      <c r="J403" s="12">
        <f>IF(A403="","",H403+SUMIF($F$2:$F$601,A403,$H$2:$H$601))</f>
        <v/>
      </c>
      <c r="K403" s="13">
        <f>IF(A403="","",I403+SUMIF($F$2:$F$601,A403,$I$2:$I$601))</f>
        <v/>
      </c>
    </row>
    <row r="404">
      <c r="H404" s="12">
        <f>IF(A404="","",COUNTIF(PARTICIPACIONES!$B$2:$B$601,A404))</f>
        <v/>
      </c>
      <c r="I404" s="13">
        <f>IF(A404="","",SUMIFS(PARTICIPACIONES!$M$2:$M$601,PARTICIPACIONES!$B$2:$B$601,A404,PARTICIPACIONES!$P$2:$P$601,"&lt;&gt;En ejecución"))</f>
        <v/>
      </c>
      <c r="J404" s="12">
        <f>IF(A404="","",H404+SUMIF($F$2:$F$601,A404,$H$2:$H$601))</f>
        <v/>
      </c>
      <c r="K404" s="13">
        <f>IF(A404="","",I404+SUMIF($F$2:$F$601,A404,$I$2:$I$601))</f>
        <v/>
      </c>
    </row>
    <row r="405">
      <c r="H405" s="12">
        <f>IF(A405="","",COUNTIF(PARTICIPACIONES!$B$2:$B$601,A405))</f>
        <v/>
      </c>
      <c r="I405" s="13">
        <f>IF(A405="","",SUMIFS(PARTICIPACIONES!$M$2:$M$601,PARTICIPACIONES!$B$2:$B$601,A405,PARTICIPACIONES!$P$2:$P$601,"&lt;&gt;En ejecución"))</f>
        <v/>
      </c>
      <c r="J405" s="12">
        <f>IF(A405="","",H405+SUMIF($F$2:$F$601,A405,$H$2:$H$601))</f>
        <v/>
      </c>
      <c r="K405" s="13">
        <f>IF(A405="","",I405+SUMIF($F$2:$F$601,A405,$I$2:$I$601))</f>
        <v/>
      </c>
    </row>
    <row r="406">
      <c r="H406" s="12">
        <f>IF(A406="","",COUNTIF(PARTICIPACIONES!$B$2:$B$601,A406))</f>
        <v/>
      </c>
      <c r="I406" s="13">
        <f>IF(A406="","",SUMIFS(PARTICIPACIONES!$M$2:$M$601,PARTICIPACIONES!$B$2:$B$601,A406,PARTICIPACIONES!$P$2:$P$601,"&lt;&gt;En ejecución"))</f>
        <v/>
      </c>
      <c r="J406" s="12">
        <f>IF(A406="","",H406+SUMIF($F$2:$F$601,A406,$H$2:$H$601))</f>
        <v/>
      </c>
      <c r="K406" s="13">
        <f>IF(A406="","",I406+SUMIF($F$2:$F$601,A406,$I$2:$I$601))</f>
        <v/>
      </c>
    </row>
    <row r="407">
      <c r="H407" s="12">
        <f>IF(A407="","",COUNTIF(PARTICIPACIONES!$B$2:$B$601,A407))</f>
        <v/>
      </c>
      <c r="I407" s="13">
        <f>IF(A407="","",SUMIFS(PARTICIPACIONES!$M$2:$M$601,PARTICIPACIONES!$B$2:$B$601,A407,PARTICIPACIONES!$P$2:$P$601,"&lt;&gt;En ejecución"))</f>
        <v/>
      </c>
      <c r="J407" s="12">
        <f>IF(A407="","",H407+SUMIF($F$2:$F$601,A407,$H$2:$H$601))</f>
        <v/>
      </c>
      <c r="K407" s="13">
        <f>IF(A407="","",I407+SUMIF($F$2:$F$601,A407,$I$2:$I$601))</f>
        <v/>
      </c>
    </row>
    <row r="408">
      <c r="H408" s="12">
        <f>IF(A408="","",COUNTIF(PARTICIPACIONES!$B$2:$B$601,A408))</f>
        <v/>
      </c>
      <c r="I408" s="13">
        <f>IF(A408="","",SUMIFS(PARTICIPACIONES!$M$2:$M$601,PARTICIPACIONES!$B$2:$B$601,A408,PARTICIPACIONES!$P$2:$P$601,"&lt;&gt;En ejecución"))</f>
        <v/>
      </c>
      <c r="J408" s="12">
        <f>IF(A408="","",H408+SUMIF($F$2:$F$601,A408,$H$2:$H$601))</f>
        <v/>
      </c>
      <c r="K408" s="13">
        <f>IF(A408="","",I408+SUMIF($F$2:$F$601,A408,$I$2:$I$601))</f>
        <v/>
      </c>
    </row>
    <row r="409">
      <c r="H409" s="12">
        <f>IF(A409="","",COUNTIF(PARTICIPACIONES!$B$2:$B$601,A409))</f>
        <v/>
      </c>
      <c r="I409" s="13">
        <f>IF(A409="","",SUMIFS(PARTICIPACIONES!$M$2:$M$601,PARTICIPACIONES!$B$2:$B$601,A409,PARTICIPACIONES!$P$2:$P$601,"&lt;&gt;En ejecución"))</f>
        <v/>
      </c>
      <c r="J409" s="12">
        <f>IF(A409="","",H409+SUMIF($F$2:$F$601,A409,$H$2:$H$601))</f>
        <v/>
      </c>
      <c r="K409" s="13">
        <f>IF(A409="","",I409+SUMIF($F$2:$F$601,A409,$I$2:$I$601))</f>
        <v/>
      </c>
    </row>
    <row r="410">
      <c r="H410" s="12">
        <f>IF(A410="","",COUNTIF(PARTICIPACIONES!$B$2:$B$601,A410))</f>
        <v/>
      </c>
      <c r="I410" s="13">
        <f>IF(A410="","",SUMIFS(PARTICIPACIONES!$M$2:$M$601,PARTICIPACIONES!$B$2:$B$601,A410,PARTICIPACIONES!$P$2:$P$601,"&lt;&gt;En ejecución"))</f>
        <v/>
      </c>
      <c r="J410" s="12">
        <f>IF(A410="","",H410+SUMIF($F$2:$F$601,A410,$H$2:$H$601))</f>
        <v/>
      </c>
      <c r="K410" s="13">
        <f>IF(A410="","",I410+SUMIF($F$2:$F$601,A410,$I$2:$I$601))</f>
        <v/>
      </c>
    </row>
    <row r="411">
      <c r="H411" s="12">
        <f>IF(A411="","",COUNTIF(PARTICIPACIONES!$B$2:$B$601,A411))</f>
        <v/>
      </c>
      <c r="I411" s="13">
        <f>IF(A411="","",SUMIFS(PARTICIPACIONES!$M$2:$M$601,PARTICIPACIONES!$B$2:$B$601,A411,PARTICIPACIONES!$P$2:$P$601,"&lt;&gt;En ejecución"))</f>
        <v/>
      </c>
      <c r="J411" s="12">
        <f>IF(A411="","",H411+SUMIF($F$2:$F$601,A411,$H$2:$H$601))</f>
        <v/>
      </c>
      <c r="K411" s="13">
        <f>IF(A411="","",I411+SUMIF($F$2:$F$601,A411,$I$2:$I$601))</f>
        <v/>
      </c>
    </row>
    <row r="412">
      <c r="H412" s="12">
        <f>IF(A412="","",COUNTIF(PARTICIPACIONES!$B$2:$B$601,A412))</f>
        <v/>
      </c>
      <c r="I412" s="13">
        <f>IF(A412="","",SUMIFS(PARTICIPACIONES!$M$2:$M$601,PARTICIPACIONES!$B$2:$B$601,A412,PARTICIPACIONES!$P$2:$P$601,"&lt;&gt;En ejecución"))</f>
        <v/>
      </c>
      <c r="J412" s="12">
        <f>IF(A412="","",H412+SUMIF($F$2:$F$601,A412,$H$2:$H$601))</f>
        <v/>
      </c>
      <c r="K412" s="13">
        <f>IF(A412="","",I412+SUMIF($F$2:$F$601,A412,$I$2:$I$601))</f>
        <v/>
      </c>
    </row>
    <row r="413">
      <c r="H413" s="12">
        <f>IF(A413="","",COUNTIF(PARTICIPACIONES!$B$2:$B$601,A413))</f>
        <v/>
      </c>
      <c r="I413" s="13">
        <f>IF(A413="","",SUMIFS(PARTICIPACIONES!$M$2:$M$601,PARTICIPACIONES!$B$2:$B$601,A413,PARTICIPACIONES!$P$2:$P$601,"&lt;&gt;En ejecución"))</f>
        <v/>
      </c>
      <c r="J413" s="12">
        <f>IF(A413="","",H413+SUMIF($F$2:$F$601,A413,$H$2:$H$601))</f>
        <v/>
      </c>
      <c r="K413" s="13">
        <f>IF(A413="","",I413+SUMIF($F$2:$F$601,A413,$I$2:$I$601))</f>
        <v/>
      </c>
    </row>
    <row r="414">
      <c r="H414" s="12">
        <f>IF(A414="","",COUNTIF(PARTICIPACIONES!$B$2:$B$601,A414))</f>
        <v/>
      </c>
      <c r="I414" s="13">
        <f>IF(A414="","",SUMIFS(PARTICIPACIONES!$M$2:$M$601,PARTICIPACIONES!$B$2:$B$601,A414,PARTICIPACIONES!$P$2:$P$601,"&lt;&gt;En ejecución"))</f>
        <v/>
      </c>
      <c r="J414" s="12">
        <f>IF(A414="","",H414+SUMIF($F$2:$F$601,A414,$H$2:$H$601))</f>
        <v/>
      </c>
      <c r="K414" s="13">
        <f>IF(A414="","",I414+SUMIF($F$2:$F$601,A414,$I$2:$I$601))</f>
        <v/>
      </c>
    </row>
    <row r="415">
      <c r="H415" s="12">
        <f>IF(A415="","",COUNTIF(PARTICIPACIONES!$B$2:$B$601,A415))</f>
        <v/>
      </c>
      <c r="I415" s="13">
        <f>IF(A415="","",SUMIFS(PARTICIPACIONES!$M$2:$M$601,PARTICIPACIONES!$B$2:$B$601,A415,PARTICIPACIONES!$P$2:$P$601,"&lt;&gt;En ejecución"))</f>
        <v/>
      </c>
      <c r="J415" s="12">
        <f>IF(A415="","",H415+SUMIF($F$2:$F$601,A415,$H$2:$H$601))</f>
        <v/>
      </c>
      <c r="K415" s="13">
        <f>IF(A415="","",I415+SUMIF($F$2:$F$601,A415,$I$2:$I$601))</f>
        <v/>
      </c>
    </row>
    <row r="416">
      <c r="H416" s="12">
        <f>IF(A416="","",COUNTIF(PARTICIPACIONES!$B$2:$B$601,A416))</f>
        <v/>
      </c>
      <c r="I416" s="13">
        <f>IF(A416="","",SUMIFS(PARTICIPACIONES!$M$2:$M$601,PARTICIPACIONES!$B$2:$B$601,A416,PARTICIPACIONES!$P$2:$P$601,"&lt;&gt;En ejecución"))</f>
        <v/>
      </c>
      <c r="J416" s="12">
        <f>IF(A416="","",H416+SUMIF($F$2:$F$601,A416,$H$2:$H$601))</f>
        <v/>
      </c>
      <c r="K416" s="13">
        <f>IF(A416="","",I416+SUMIF($F$2:$F$601,A416,$I$2:$I$601))</f>
        <v/>
      </c>
    </row>
    <row r="417">
      <c r="H417" s="12">
        <f>IF(A417="","",COUNTIF(PARTICIPACIONES!$B$2:$B$601,A417))</f>
        <v/>
      </c>
      <c r="I417" s="13">
        <f>IF(A417="","",SUMIFS(PARTICIPACIONES!$M$2:$M$601,PARTICIPACIONES!$B$2:$B$601,A417,PARTICIPACIONES!$P$2:$P$601,"&lt;&gt;En ejecución"))</f>
        <v/>
      </c>
      <c r="J417" s="12">
        <f>IF(A417="","",H417+SUMIF($F$2:$F$601,A417,$H$2:$H$601))</f>
        <v/>
      </c>
      <c r="K417" s="13">
        <f>IF(A417="","",I417+SUMIF($F$2:$F$601,A417,$I$2:$I$601))</f>
        <v/>
      </c>
    </row>
    <row r="418">
      <c r="H418" s="12">
        <f>IF(A418="","",COUNTIF(PARTICIPACIONES!$B$2:$B$601,A418))</f>
        <v/>
      </c>
      <c r="I418" s="13">
        <f>IF(A418="","",SUMIFS(PARTICIPACIONES!$M$2:$M$601,PARTICIPACIONES!$B$2:$B$601,A418,PARTICIPACIONES!$P$2:$P$601,"&lt;&gt;En ejecución"))</f>
        <v/>
      </c>
      <c r="J418" s="12">
        <f>IF(A418="","",H418+SUMIF($F$2:$F$601,A418,$H$2:$H$601))</f>
        <v/>
      </c>
      <c r="K418" s="13">
        <f>IF(A418="","",I418+SUMIF($F$2:$F$601,A418,$I$2:$I$601))</f>
        <v/>
      </c>
    </row>
    <row r="419">
      <c r="H419" s="12">
        <f>IF(A419="","",COUNTIF(PARTICIPACIONES!$B$2:$B$601,A419))</f>
        <v/>
      </c>
      <c r="I419" s="13">
        <f>IF(A419="","",SUMIFS(PARTICIPACIONES!$M$2:$M$601,PARTICIPACIONES!$B$2:$B$601,A419,PARTICIPACIONES!$P$2:$P$601,"&lt;&gt;En ejecución"))</f>
        <v/>
      </c>
      <c r="J419" s="12">
        <f>IF(A419="","",H419+SUMIF($F$2:$F$601,A419,$H$2:$H$601))</f>
        <v/>
      </c>
      <c r="K419" s="13">
        <f>IF(A419="","",I419+SUMIF($F$2:$F$601,A419,$I$2:$I$601))</f>
        <v/>
      </c>
    </row>
    <row r="420">
      <c r="H420" s="12">
        <f>IF(A420="","",COUNTIF(PARTICIPACIONES!$B$2:$B$601,A420))</f>
        <v/>
      </c>
      <c r="I420" s="13">
        <f>IF(A420="","",SUMIFS(PARTICIPACIONES!$M$2:$M$601,PARTICIPACIONES!$B$2:$B$601,A420,PARTICIPACIONES!$P$2:$P$601,"&lt;&gt;En ejecución"))</f>
        <v/>
      </c>
      <c r="J420" s="12">
        <f>IF(A420="","",H420+SUMIF($F$2:$F$601,A420,$H$2:$H$601))</f>
        <v/>
      </c>
      <c r="K420" s="13">
        <f>IF(A420="","",I420+SUMIF($F$2:$F$601,A420,$I$2:$I$601))</f>
        <v/>
      </c>
    </row>
    <row r="421">
      <c r="H421" s="12">
        <f>IF(A421="","",COUNTIF(PARTICIPACIONES!$B$2:$B$601,A421))</f>
        <v/>
      </c>
      <c r="I421" s="13">
        <f>IF(A421="","",SUMIFS(PARTICIPACIONES!$M$2:$M$601,PARTICIPACIONES!$B$2:$B$601,A421,PARTICIPACIONES!$P$2:$P$601,"&lt;&gt;En ejecución"))</f>
        <v/>
      </c>
      <c r="J421" s="12">
        <f>IF(A421="","",H421+SUMIF($F$2:$F$601,A421,$H$2:$H$601))</f>
        <v/>
      </c>
      <c r="K421" s="13">
        <f>IF(A421="","",I421+SUMIF($F$2:$F$601,A421,$I$2:$I$601))</f>
        <v/>
      </c>
    </row>
    <row r="422">
      <c r="H422" s="12">
        <f>IF(A422="","",COUNTIF(PARTICIPACIONES!$B$2:$B$601,A422))</f>
        <v/>
      </c>
      <c r="I422" s="13">
        <f>IF(A422="","",SUMIFS(PARTICIPACIONES!$M$2:$M$601,PARTICIPACIONES!$B$2:$B$601,A422,PARTICIPACIONES!$P$2:$P$601,"&lt;&gt;En ejecución"))</f>
        <v/>
      </c>
      <c r="J422" s="12">
        <f>IF(A422="","",H422+SUMIF($F$2:$F$601,A422,$H$2:$H$601))</f>
        <v/>
      </c>
      <c r="K422" s="13">
        <f>IF(A422="","",I422+SUMIF($F$2:$F$601,A422,$I$2:$I$601))</f>
        <v/>
      </c>
    </row>
    <row r="423">
      <c r="H423" s="12">
        <f>IF(A423="","",COUNTIF(PARTICIPACIONES!$B$2:$B$601,A423))</f>
        <v/>
      </c>
      <c r="I423" s="13">
        <f>IF(A423="","",SUMIFS(PARTICIPACIONES!$M$2:$M$601,PARTICIPACIONES!$B$2:$B$601,A423,PARTICIPACIONES!$P$2:$P$601,"&lt;&gt;En ejecución"))</f>
        <v/>
      </c>
      <c r="J423" s="12">
        <f>IF(A423="","",H423+SUMIF($F$2:$F$601,A423,$H$2:$H$601))</f>
        <v/>
      </c>
      <c r="K423" s="13">
        <f>IF(A423="","",I423+SUMIF($F$2:$F$601,A423,$I$2:$I$601))</f>
        <v/>
      </c>
    </row>
    <row r="424">
      <c r="H424" s="12">
        <f>IF(A424="","",COUNTIF(PARTICIPACIONES!$B$2:$B$601,A424))</f>
        <v/>
      </c>
      <c r="I424" s="13">
        <f>IF(A424="","",SUMIFS(PARTICIPACIONES!$M$2:$M$601,PARTICIPACIONES!$B$2:$B$601,A424,PARTICIPACIONES!$P$2:$P$601,"&lt;&gt;En ejecución"))</f>
        <v/>
      </c>
      <c r="J424" s="12">
        <f>IF(A424="","",H424+SUMIF($F$2:$F$601,A424,$H$2:$H$601))</f>
        <v/>
      </c>
      <c r="K424" s="13">
        <f>IF(A424="","",I424+SUMIF($F$2:$F$601,A424,$I$2:$I$601))</f>
        <v/>
      </c>
    </row>
    <row r="425">
      <c r="H425" s="12">
        <f>IF(A425="","",COUNTIF(PARTICIPACIONES!$B$2:$B$601,A425))</f>
        <v/>
      </c>
      <c r="I425" s="13">
        <f>IF(A425="","",SUMIFS(PARTICIPACIONES!$M$2:$M$601,PARTICIPACIONES!$B$2:$B$601,A425,PARTICIPACIONES!$P$2:$P$601,"&lt;&gt;En ejecución"))</f>
        <v/>
      </c>
      <c r="J425" s="12">
        <f>IF(A425="","",H425+SUMIF($F$2:$F$601,A425,$H$2:$H$601))</f>
        <v/>
      </c>
      <c r="K425" s="13">
        <f>IF(A425="","",I425+SUMIF($F$2:$F$601,A425,$I$2:$I$601))</f>
        <v/>
      </c>
    </row>
    <row r="426">
      <c r="H426" s="12">
        <f>IF(A426="","",COUNTIF(PARTICIPACIONES!$B$2:$B$601,A426))</f>
        <v/>
      </c>
      <c r="I426" s="13">
        <f>IF(A426="","",SUMIFS(PARTICIPACIONES!$M$2:$M$601,PARTICIPACIONES!$B$2:$B$601,A426,PARTICIPACIONES!$P$2:$P$601,"&lt;&gt;En ejecución"))</f>
        <v/>
      </c>
      <c r="J426" s="12">
        <f>IF(A426="","",H426+SUMIF($F$2:$F$601,A426,$H$2:$H$601))</f>
        <v/>
      </c>
      <c r="K426" s="13">
        <f>IF(A426="","",I426+SUMIF($F$2:$F$601,A426,$I$2:$I$601))</f>
        <v/>
      </c>
    </row>
    <row r="427">
      <c r="H427" s="12">
        <f>IF(A427="","",COUNTIF(PARTICIPACIONES!$B$2:$B$601,A427))</f>
        <v/>
      </c>
      <c r="I427" s="13">
        <f>IF(A427="","",SUMIFS(PARTICIPACIONES!$M$2:$M$601,PARTICIPACIONES!$B$2:$B$601,A427,PARTICIPACIONES!$P$2:$P$601,"&lt;&gt;En ejecución"))</f>
        <v/>
      </c>
      <c r="J427" s="12">
        <f>IF(A427="","",H427+SUMIF($F$2:$F$601,A427,$H$2:$H$601))</f>
        <v/>
      </c>
      <c r="K427" s="13">
        <f>IF(A427="","",I427+SUMIF($F$2:$F$601,A427,$I$2:$I$601))</f>
        <v/>
      </c>
    </row>
    <row r="428">
      <c r="H428" s="12">
        <f>IF(A428="","",COUNTIF(PARTICIPACIONES!$B$2:$B$601,A428))</f>
        <v/>
      </c>
      <c r="I428" s="13">
        <f>IF(A428="","",SUMIFS(PARTICIPACIONES!$M$2:$M$601,PARTICIPACIONES!$B$2:$B$601,A428,PARTICIPACIONES!$P$2:$P$601,"&lt;&gt;En ejecución"))</f>
        <v/>
      </c>
      <c r="J428" s="12">
        <f>IF(A428="","",H428+SUMIF($F$2:$F$601,A428,$H$2:$H$601))</f>
        <v/>
      </c>
      <c r="K428" s="13">
        <f>IF(A428="","",I428+SUMIF($F$2:$F$601,A428,$I$2:$I$601))</f>
        <v/>
      </c>
    </row>
    <row r="429">
      <c r="H429" s="12">
        <f>IF(A429="","",COUNTIF(PARTICIPACIONES!$B$2:$B$601,A429))</f>
        <v/>
      </c>
      <c r="I429" s="13">
        <f>IF(A429="","",SUMIFS(PARTICIPACIONES!$M$2:$M$601,PARTICIPACIONES!$B$2:$B$601,A429,PARTICIPACIONES!$P$2:$P$601,"&lt;&gt;En ejecución"))</f>
        <v/>
      </c>
      <c r="J429" s="12">
        <f>IF(A429="","",H429+SUMIF($F$2:$F$601,A429,$H$2:$H$601))</f>
        <v/>
      </c>
      <c r="K429" s="13">
        <f>IF(A429="","",I429+SUMIF($F$2:$F$601,A429,$I$2:$I$601))</f>
        <v/>
      </c>
    </row>
    <row r="430">
      <c r="H430" s="12">
        <f>IF(A430="","",COUNTIF(PARTICIPACIONES!$B$2:$B$601,A430))</f>
        <v/>
      </c>
      <c r="I430" s="13">
        <f>IF(A430="","",SUMIFS(PARTICIPACIONES!$M$2:$M$601,PARTICIPACIONES!$B$2:$B$601,A430,PARTICIPACIONES!$P$2:$P$601,"&lt;&gt;En ejecución"))</f>
        <v/>
      </c>
      <c r="J430" s="12">
        <f>IF(A430="","",H430+SUMIF($F$2:$F$601,A430,$H$2:$H$601))</f>
        <v/>
      </c>
      <c r="K430" s="13">
        <f>IF(A430="","",I430+SUMIF($F$2:$F$601,A430,$I$2:$I$601))</f>
        <v/>
      </c>
    </row>
    <row r="431">
      <c r="H431" s="12">
        <f>IF(A431="","",COUNTIF(PARTICIPACIONES!$B$2:$B$601,A431))</f>
        <v/>
      </c>
      <c r="I431" s="13">
        <f>IF(A431="","",SUMIFS(PARTICIPACIONES!$M$2:$M$601,PARTICIPACIONES!$B$2:$B$601,A431,PARTICIPACIONES!$P$2:$P$601,"&lt;&gt;En ejecución"))</f>
        <v/>
      </c>
      <c r="J431" s="12">
        <f>IF(A431="","",H431+SUMIF($F$2:$F$601,A431,$H$2:$H$601))</f>
        <v/>
      </c>
      <c r="K431" s="13">
        <f>IF(A431="","",I431+SUMIF($F$2:$F$601,A431,$I$2:$I$601))</f>
        <v/>
      </c>
    </row>
    <row r="432">
      <c r="H432" s="12">
        <f>IF(A432="","",COUNTIF(PARTICIPACIONES!$B$2:$B$601,A432))</f>
        <v/>
      </c>
      <c r="I432" s="13">
        <f>IF(A432="","",SUMIFS(PARTICIPACIONES!$M$2:$M$601,PARTICIPACIONES!$B$2:$B$601,A432,PARTICIPACIONES!$P$2:$P$601,"&lt;&gt;En ejecución"))</f>
        <v/>
      </c>
      <c r="J432" s="12">
        <f>IF(A432="","",H432+SUMIF($F$2:$F$601,A432,$H$2:$H$601))</f>
        <v/>
      </c>
      <c r="K432" s="13">
        <f>IF(A432="","",I432+SUMIF($F$2:$F$601,A432,$I$2:$I$601))</f>
        <v/>
      </c>
    </row>
    <row r="433">
      <c r="H433" s="12">
        <f>IF(A433="","",COUNTIF(PARTICIPACIONES!$B$2:$B$601,A433))</f>
        <v/>
      </c>
      <c r="I433" s="13">
        <f>IF(A433="","",SUMIFS(PARTICIPACIONES!$M$2:$M$601,PARTICIPACIONES!$B$2:$B$601,A433,PARTICIPACIONES!$P$2:$P$601,"&lt;&gt;En ejecución"))</f>
        <v/>
      </c>
      <c r="J433" s="12">
        <f>IF(A433="","",H433+SUMIF($F$2:$F$601,A433,$H$2:$H$601))</f>
        <v/>
      </c>
      <c r="K433" s="13">
        <f>IF(A433="","",I433+SUMIF($F$2:$F$601,A433,$I$2:$I$601))</f>
        <v/>
      </c>
    </row>
    <row r="434">
      <c r="H434" s="12">
        <f>IF(A434="","",COUNTIF(PARTICIPACIONES!$B$2:$B$601,A434))</f>
        <v/>
      </c>
      <c r="I434" s="13">
        <f>IF(A434="","",SUMIFS(PARTICIPACIONES!$M$2:$M$601,PARTICIPACIONES!$B$2:$B$601,A434,PARTICIPACIONES!$P$2:$P$601,"&lt;&gt;En ejecución"))</f>
        <v/>
      </c>
      <c r="J434" s="12">
        <f>IF(A434="","",H434+SUMIF($F$2:$F$601,A434,$H$2:$H$601))</f>
        <v/>
      </c>
      <c r="K434" s="13">
        <f>IF(A434="","",I434+SUMIF($F$2:$F$601,A434,$I$2:$I$601))</f>
        <v/>
      </c>
    </row>
    <row r="435">
      <c r="H435" s="12">
        <f>IF(A435="","",COUNTIF(PARTICIPACIONES!$B$2:$B$601,A435))</f>
        <v/>
      </c>
      <c r="I435" s="13">
        <f>IF(A435="","",SUMIFS(PARTICIPACIONES!$M$2:$M$601,PARTICIPACIONES!$B$2:$B$601,A435,PARTICIPACIONES!$P$2:$P$601,"&lt;&gt;En ejecución"))</f>
        <v/>
      </c>
      <c r="J435" s="12">
        <f>IF(A435="","",H435+SUMIF($F$2:$F$601,A435,$H$2:$H$601))</f>
        <v/>
      </c>
      <c r="K435" s="13">
        <f>IF(A435="","",I435+SUMIF($F$2:$F$601,A435,$I$2:$I$601))</f>
        <v/>
      </c>
    </row>
    <row r="436">
      <c r="H436" s="12">
        <f>IF(A436="","",COUNTIF(PARTICIPACIONES!$B$2:$B$601,A436))</f>
        <v/>
      </c>
      <c r="I436" s="13">
        <f>IF(A436="","",SUMIFS(PARTICIPACIONES!$M$2:$M$601,PARTICIPACIONES!$B$2:$B$601,A436,PARTICIPACIONES!$P$2:$P$601,"&lt;&gt;En ejecución"))</f>
        <v/>
      </c>
      <c r="J436" s="12">
        <f>IF(A436="","",H436+SUMIF($F$2:$F$601,A436,$H$2:$H$601))</f>
        <v/>
      </c>
      <c r="K436" s="13">
        <f>IF(A436="","",I436+SUMIF($F$2:$F$601,A436,$I$2:$I$601))</f>
        <v/>
      </c>
    </row>
    <row r="437">
      <c r="H437" s="12">
        <f>IF(A437="","",COUNTIF(PARTICIPACIONES!$B$2:$B$601,A437))</f>
        <v/>
      </c>
      <c r="I437" s="13">
        <f>IF(A437="","",SUMIFS(PARTICIPACIONES!$M$2:$M$601,PARTICIPACIONES!$B$2:$B$601,A437,PARTICIPACIONES!$P$2:$P$601,"&lt;&gt;En ejecución"))</f>
        <v/>
      </c>
      <c r="J437" s="12">
        <f>IF(A437="","",H437+SUMIF($F$2:$F$601,A437,$H$2:$H$601))</f>
        <v/>
      </c>
      <c r="K437" s="13">
        <f>IF(A437="","",I437+SUMIF($F$2:$F$601,A437,$I$2:$I$601))</f>
        <v/>
      </c>
    </row>
    <row r="438">
      <c r="H438" s="12">
        <f>IF(A438="","",COUNTIF(PARTICIPACIONES!$B$2:$B$601,A438))</f>
        <v/>
      </c>
      <c r="I438" s="13">
        <f>IF(A438="","",SUMIFS(PARTICIPACIONES!$M$2:$M$601,PARTICIPACIONES!$B$2:$B$601,A438,PARTICIPACIONES!$P$2:$P$601,"&lt;&gt;En ejecución"))</f>
        <v/>
      </c>
      <c r="J438" s="12">
        <f>IF(A438="","",H438+SUMIF($F$2:$F$601,A438,$H$2:$H$601))</f>
        <v/>
      </c>
      <c r="K438" s="13">
        <f>IF(A438="","",I438+SUMIF($F$2:$F$601,A438,$I$2:$I$601))</f>
        <v/>
      </c>
    </row>
    <row r="439">
      <c r="H439" s="12">
        <f>IF(A439="","",COUNTIF(PARTICIPACIONES!$B$2:$B$601,A439))</f>
        <v/>
      </c>
      <c r="I439" s="13">
        <f>IF(A439="","",SUMIFS(PARTICIPACIONES!$M$2:$M$601,PARTICIPACIONES!$B$2:$B$601,A439,PARTICIPACIONES!$P$2:$P$601,"&lt;&gt;En ejecución"))</f>
        <v/>
      </c>
      <c r="J439" s="12">
        <f>IF(A439="","",H439+SUMIF($F$2:$F$601,A439,$H$2:$H$601))</f>
        <v/>
      </c>
      <c r="K439" s="13">
        <f>IF(A439="","",I439+SUMIF($F$2:$F$601,A439,$I$2:$I$601))</f>
        <v/>
      </c>
    </row>
    <row r="440">
      <c r="H440" s="12">
        <f>IF(A440="","",COUNTIF(PARTICIPACIONES!$B$2:$B$601,A440))</f>
        <v/>
      </c>
      <c r="I440" s="13">
        <f>IF(A440="","",SUMIFS(PARTICIPACIONES!$M$2:$M$601,PARTICIPACIONES!$B$2:$B$601,A440,PARTICIPACIONES!$P$2:$P$601,"&lt;&gt;En ejecución"))</f>
        <v/>
      </c>
      <c r="J440" s="12">
        <f>IF(A440="","",H440+SUMIF($F$2:$F$601,A440,$H$2:$H$601))</f>
        <v/>
      </c>
      <c r="K440" s="13">
        <f>IF(A440="","",I440+SUMIF($F$2:$F$601,A440,$I$2:$I$601))</f>
        <v/>
      </c>
    </row>
    <row r="441">
      <c r="H441" s="12">
        <f>IF(A441="","",COUNTIF(PARTICIPACIONES!$B$2:$B$601,A441))</f>
        <v/>
      </c>
      <c r="I441" s="13">
        <f>IF(A441="","",SUMIFS(PARTICIPACIONES!$M$2:$M$601,PARTICIPACIONES!$B$2:$B$601,A441,PARTICIPACIONES!$P$2:$P$601,"&lt;&gt;En ejecución"))</f>
        <v/>
      </c>
      <c r="J441" s="12">
        <f>IF(A441="","",H441+SUMIF($F$2:$F$601,A441,$H$2:$H$601))</f>
        <v/>
      </c>
      <c r="K441" s="13">
        <f>IF(A441="","",I441+SUMIF($F$2:$F$601,A441,$I$2:$I$601))</f>
        <v/>
      </c>
    </row>
    <row r="442">
      <c r="H442" s="12">
        <f>IF(A442="","",COUNTIF(PARTICIPACIONES!$B$2:$B$601,A442))</f>
        <v/>
      </c>
      <c r="I442" s="13">
        <f>IF(A442="","",SUMIFS(PARTICIPACIONES!$M$2:$M$601,PARTICIPACIONES!$B$2:$B$601,A442,PARTICIPACIONES!$P$2:$P$601,"&lt;&gt;En ejecución"))</f>
        <v/>
      </c>
      <c r="J442" s="12">
        <f>IF(A442="","",H442+SUMIF($F$2:$F$601,A442,$H$2:$H$601))</f>
        <v/>
      </c>
      <c r="K442" s="13">
        <f>IF(A442="","",I442+SUMIF($F$2:$F$601,A442,$I$2:$I$601))</f>
        <v/>
      </c>
    </row>
    <row r="443">
      <c r="H443" s="12">
        <f>IF(A443="","",COUNTIF(PARTICIPACIONES!$B$2:$B$601,A443))</f>
        <v/>
      </c>
      <c r="I443" s="13">
        <f>IF(A443="","",SUMIFS(PARTICIPACIONES!$M$2:$M$601,PARTICIPACIONES!$B$2:$B$601,A443,PARTICIPACIONES!$P$2:$P$601,"&lt;&gt;En ejecución"))</f>
        <v/>
      </c>
      <c r="J443" s="12">
        <f>IF(A443="","",H443+SUMIF($F$2:$F$601,A443,$H$2:$H$601))</f>
        <v/>
      </c>
      <c r="K443" s="13">
        <f>IF(A443="","",I443+SUMIF($F$2:$F$601,A443,$I$2:$I$601))</f>
        <v/>
      </c>
    </row>
    <row r="444">
      <c r="H444" s="12">
        <f>IF(A444="","",COUNTIF(PARTICIPACIONES!$B$2:$B$601,A444))</f>
        <v/>
      </c>
      <c r="I444" s="13">
        <f>IF(A444="","",SUMIFS(PARTICIPACIONES!$M$2:$M$601,PARTICIPACIONES!$B$2:$B$601,A444,PARTICIPACIONES!$P$2:$P$601,"&lt;&gt;En ejecución"))</f>
        <v/>
      </c>
      <c r="J444" s="12">
        <f>IF(A444="","",H444+SUMIF($F$2:$F$601,A444,$H$2:$H$601))</f>
        <v/>
      </c>
      <c r="K444" s="13">
        <f>IF(A444="","",I444+SUMIF($F$2:$F$601,A444,$I$2:$I$601))</f>
        <v/>
      </c>
    </row>
    <row r="445">
      <c r="H445" s="12">
        <f>IF(A445="","",COUNTIF(PARTICIPACIONES!$B$2:$B$601,A445))</f>
        <v/>
      </c>
      <c r="I445" s="13">
        <f>IF(A445="","",SUMIFS(PARTICIPACIONES!$M$2:$M$601,PARTICIPACIONES!$B$2:$B$601,A445,PARTICIPACIONES!$P$2:$P$601,"&lt;&gt;En ejecución"))</f>
        <v/>
      </c>
      <c r="J445" s="12">
        <f>IF(A445="","",H445+SUMIF($F$2:$F$601,A445,$H$2:$H$601))</f>
        <v/>
      </c>
      <c r="K445" s="13">
        <f>IF(A445="","",I445+SUMIF($F$2:$F$601,A445,$I$2:$I$601))</f>
        <v/>
      </c>
    </row>
    <row r="446">
      <c r="H446" s="12">
        <f>IF(A446="","",COUNTIF(PARTICIPACIONES!$B$2:$B$601,A446))</f>
        <v/>
      </c>
      <c r="I446" s="13">
        <f>IF(A446="","",SUMIFS(PARTICIPACIONES!$M$2:$M$601,PARTICIPACIONES!$B$2:$B$601,A446,PARTICIPACIONES!$P$2:$P$601,"&lt;&gt;En ejecución"))</f>
        <v/>
      </c>
      <c r="J446" s="12">
        <f>IF(A446="","",H446+SUMIF($F$2:$F$601,A446,$H$2:$H$601))</f>
        <v/>
      </c>
      <c r="K446" s="13">
        <f>IF(A446="","",I446+SUMIF($F$2:$F$601,A446,$I$2:$I$601))</f>
        <v/>
      </c>
    </row>
    <row r="447">
      <c r="H447" s="12">
        <f>IF(A447="","",COUNTIF(PARTICIPACIONES!$B$2:$B$601,A447))</f>
        <v/>
      </c>
      <c r="I447" s="13">
        <f>IF(A447="","",SUMIFS(PARTICIPACIONES!$M$2:$M$601,PARTICIPACIONES!$B$2:$B$601,A447,PARTICIPACIONES!$P$2:$P$601,"&lt;&gt;En ejecución"))</f>
        <v/>
      </c>
      <c r="J447" s="12">
        <f>IF(A447="","",H447+SUMIF($F$2:$F$601,A447,$H$2:$H$601))</f>
        <v/>
      </c>
      <c r="K447" s="13">
        <f>IF(A447="","",I447+SUMIF($F$2:$F$601,A447,$I$2:$I$601))</f>
        <v/>
      </c>
    </row>
    <row r="448">
      <c r="H448" s="12">
        <f>IF(A448="","",COUNTIF(PARTICIPACIONES!$B$2:$B$601,A448))</f>
        <v/>
      </c>
      <c r="I448" s="13">
        <f>IF(A448="","",SUMIFS(PARTICIPACIONES!$M$2:$M$601,PARTICIPACIONES!$B$2:$B$601,A448,PARTICIPACIONES!$P$2:$P$601,"&lt;&gt;En ejecución"))</f>
        <v/>
      </c>
      <c r="J448" s="12">
        <f>IF(A448="","",H448+SUMIF($F$2:$F$601,A448,$H$2:$H$601))</f>
        <v/>
      </c>
      <c r="K448" s="13">
        <f>IF(A448="","",I448+SUMIF($F$2:$F$601,A448,$I$2:$I$601))</f>
        <v/>
      </c>
    </row>
    <row r="449">
      <c r="H449" s="12">
        <f>IF(A449="","",COUNTIF(PARTICIPACIONES!$B$2:$B$601,A449))</f>
        <v/>
      </c>
      <c r="I449" s="13">
        <f>IF(A449="","",SUMIFS(PARTICIPACIONES!$M$2:$M$601,PARTICIPACIONES!$B$2:$B$601,A449,PARTICIPACIONES!$P$2:$P$601,"&lt;&gt;En ejecución"))</f>
        <v/>
      </c>
      <c r="J449" s="12">
        <f>IF(A449="","",H449+SUMIF($F$2:$F$601,A449,$H$2:$H$601))</f>
        <v/>
      </c>
      <c r="K449" s="13">
        <f>IF(A449="","",I449+SUMIF($F$2:$F$601,A449,$I$2:$I$601))</f>
        <v/>
      </c>
    </row>
    <row r="450">
      <c r="H450" s="12">
        <f>IF(A450="","",COUNTIF(PARTICIPACIONES!$B$2:$B$601,A450))</f>
        <v/>
      </c>
      <c r="I450" s="13">
        <f>IF(A450="","",SUMIFS(PARTICIPACIONES!$M$2:$M$601,PARTICIPACIONES!$B$2:$B$601,A450,PARTICIPACIONES!$P$2:$P$601,"&lt;&gt;En ejecución"))</f>
        <v/>
      </c>
      <c r="J450" s="12">
        <f>IF(A450="","",H450+SUMIF($F$2:$F$601,A450,$H$2:$H$601))</f>
        <v/>
      </c>
      <c r="K450" s="13">
        <f>IF(A450="","",I450+SUMIF($F$2:$F$601,A450,$I$2:$I$601))</f>
        <v/>
      </c>
    </row>
    <row r="451">
      <c r="H451" s="12">
        <f>IF(A451="","",COUNTIF(PARTICIPACIONES!$B$2:$B$601,A451))</f>
        <v/>
      </c>
      <c r="I451" s="13">
        <f>IF(A451="","",SUMIFS(PARTICIPACIONES!$M$2:$M$601,PARTICIPACIONES!$B$2:$B$601,A451,PARTICIPACIONES!$P$2:$P$601,"&lt;&gt;En ejecución"))</f>
        <v/>
      </c>
      <c r="J451" s="12">
        <f>IF(A451="","",H451+SUMIF($F$2:$F$601,A451,$H$2:$H$601))</f>
        <v/>
      </c>
      <c r="K451" s="13">
        <f>IF(A451="","",I451+SUMIF($F$2:$F$601,A451,$I$2:$I$601))</f>
        <v/>
      </c>
    </row>
    <row r="452">
      <c r="H452" s="12">
        <f>IF(A452="","",COUNTIF(PARTICIPACIONES!$B$2:$B$601,A452))</f>
        <v/>
      </c>
      <c r="I452" s="13">
        <f>IF(A452="","",SUMIFS(PARTICIPACIONES!$M$2:$M$601,PARTICIPACIONES!$B$2:$B$601,A452,PARTICIPACIONES!$P$2:$P$601,"&lt;&gt;En ejecución"))</f>
        <v/>
      </c>
      <c r="J452" s="12">
        <f>IF(A452="","",H452+SUMIF($F$2:$F$601,A452,$H$2:$H$601))</f>
        <v/>
      </c>
      <c r="K452" s="13">
        <f>IF(A452="","",I452+SUMIF($F$2:$F$601,A452,$I$2:$I$601))</f>
        <v/>
      </c>
    </row>
    <row r="453">
      <c r="H453" s="12">
        <f>IF(A453="","",COUNTIF(PARTICIPACIONES!$B$2:$B$601,A453))</f>
        <v/>
      </c>
      <c r="I453" s="13">
        <f>IF(A453="","",SUMIFS(PARTICIPACIONES!$M$2:$M$601,PARTICIPACIONES!$B$2:$B$601,A453,PARTICIPACIONES!$P$2:$P$601,"&lt;&gt;En ejecución"))</f>
        <v/>
      </c>
      <c r="J453" s="12">
        <f>IF(A453="","",H453+SUMIF($F$2:$F$601,A453,$H$2:$H$601))</f>
        <v/>
      </c>
      <c r="K453" s="13">
        <f>IF(A453="","",I453+SUMIF($F$2:$F$601,A453,$I$2:$I$601))</f>
        <v/>
      </c>
    </row>
    <row r="454">
      <c r="H454" s="12">
        <f>IF(A454="","",COUNTIF(PARTICIPACIONES!$B$2:$B$601,A454))</f>
        <v/>
      </c>
      <c r="I454" s="13">
        <f>IF(A454="","",SUMIFS(PARTICIPACIONES!$M$2:$M$601,PARTICIPACIONES!$B$2:$B$601,A454,PARTICIPACIONES!$P$2:$P$601,"&lt;&gt;En ejecución"))</f>
        <v/>
      </c>
      <c r="J454" s="12">
        <f>IF(A454="","",H454+SUMIF($F$2:$F$601,A454,$H$2:$H$601))</f>
        <v/>
      </c>
      <c r="K454" s="13">
        <f>IF(A454="","",I454+SUMIF($F$2:$F$601,A454,$I$2:$I$601))</f>
        <v/>
      </c>
    </row>
    <row r="455">
      <c r="H455" s="12">
        <f>IF(A455="","",COUNTIF(PARTICIPACIONES!$B$2:$B$601,A455))</f>
        <v/>
      </c>
      <c r="I455" s="13">
        <f>IF(A455="","",SUMIFS(PARTICIPACIONES!$M$2:$M$601,PARTICIPACIONES!$B$2:$B$601,A455,PARTICIPACIONES!$P$2:$P$601,"&lt;&gt;En ejecución"))</f>
        <v/>
      </c>
      <c r="J455" s="12">
        <f>IF(A455="","",H455+SUMIF($F$2:$F$601,A455,$H$2:$H$601))</f>
        <v/>
      </c>
      <c r="K455" s="13">
        <f>IF(A455="","",I455+SUMIF($F$2:$F$601,A455,$I$2:$I$601))</f>
        <v/>
      </c>
    </row>
    <row r="456">
      <c r="H456" s="12">
        <f>IF(A456="","",COUNTIF(PARTICIPACIONES!$B$2:$B$601,A456))</f>
        <v/>
      </c>
      <c r="I456" s="13">
        <f>IF(A456="","",SUMIFS(PARTICIPACIONES!$M$2:$M$601,PARTICIPACIONES!$B$2:$B$601,A456,PARTICIPACIONES!$P$2:$P$601,"&lt;&gt;En ejecución"))</f>
        <v/>
      </c>
      <c r="J456" s="12">
        <f>IF(A456="","",H456+SUMIF($F$2:$F$601,A456,$H$2:$H$601))</f>
        <v/>
      </c>
      <c r="K456" s="13">
        <f>IF(A456="","",I456+SUMIF($F$2:$F$601,A456,$I$2:$I$601))</f>
        <v/>
      </c>
    </row>
    <row r="457">
      <c r="H457" s="12">
        <f>IF(A457="","",COUNTIF(PARTICIPACIONES!$B$2:$B$601,A457))</f>
        <v/>
      </c>
      <c r="I457" s="13">
        <f>IF(A457="","",SUMIFS(PARTICIPACIONES!$M$2:$M$601,PARTICIPACIONES!$B$2:$B$601,A457,PARTICIPACIONES!$P$2:$P$601,"&lt;&gt;En ejecución"))</f>
        <v/>
      </c>
      <c r="J457" s="12">
        <f>IF(A457="","",H457+SUMIF($F$2:$F$601,A457,$H$2:$H$601))</f>
        <v/>
      </c>
      <c r="K457" s="13">
        <f>IF(A457="","",I457+SUMIF($F$2:$F$601,A457,$I$2:$I$601))</f>
        <v/>
      </c>
    </row>
    <row r="458">
      <c r="H458" s="12">
        <f>IF(A458="","",COUNTIF(PARTICIPACIONES!$B$2:$B$601,A458))</f>
        <v/>
      </c>
      <c r="I458" s="13">
        <f>IF(A458="","",SUMIFS(PARTICIPACIONES!$M$2:$M$601,PARTICIPACIONES!$B$2:$B$601,A458,PARTICIPACIONES!$P$2:$P$601,"&lt;&gt;En ejecución"))</f>
        <v/>
      </c>
      <c r="J458" s="12">
        <f>IF(A458="","",H458+SUMIF($F$2:$F$601,A458,$H$2:$H$601))</f>
        <v/>
      </c>
      <c r="K458" s="13">
        <f>IF(A458="","",I458+SUMIF($F$2:$F$601,A458,$I$2:$I$601))</f>
        <v/>
      </c>
    </row>
    <row r="459">
      <c r="H459" s="12">
        <f>IF(A459="","",COUNTIF(PARTICIPACIONES!$B$2:$B$601,A459))</f>
        <v/>
      </c>
      <c r="I459" s="13">
        <f>IF(A459="","",SUMIFS(PARTICIPACIONES!$M$2:$M$601,PARTICIPACIONES!$B$2:$B$601,A459,PARTICIPACIONES!$P$2:$P$601,"&lt;&gt;En ejecución"))</f>
        <v/>
      </c>
      <c r="J459" s="12">
        <f>IF(A459="","",H459+SUMIF($F$2:$F$601,A459,$H$2:$H$601))</f>
        <v/>
      </c>
      <c r="K459" s="13">
        <f>IF(A459="","",I459+SUMIF($F$2:$F$601,A459,$I$2:$I$601))</f>
        <v/>
      </c>
    </row>
    <row r="460">
      <c r="H460" s="12">
        <f>IF(A460="","",COUNTIF(PARTICIPACIONES!$B$2:$B$601,A460))</f>
        <v/>
      </c>
      <c r="I460" s="13">
        <f>IF(A460="","",SUMIFS(PARTICIPACIONES!$M$2:$M$601,PARTICIPACIONES!$B$2:$B$601,A460,PARTICIPACIONES!$P$2:$P$601,"&lt;&gt;En ejecución"))</f>
        <v/>
      </c>
      <c r="J460" s="12">
        <f>IF(A460="","",H460+SUMIF($F$2:$F$601,A460,$H$2:$H$601))</f>
        <v/>
      </c>
      <c r="K460" s="13">
        <f>IF(A460="","",I460+SUMIF($F$2:$F$601,A460,$I$2:$I$601))</f>
        <v/>
      </c>
    </row>
    <row r="461">
      <c r="H461" s="12">
        <f>IF(A461="","",COUNTIF(PARTICIPACIONES!$B$2:$B$601,A461))</f>
        <v/>
      </c>
      <c r="I461" s="13">
        <f>IF(A461="","",SUMIFS(PARTICIPACIONES!$M$2:$M$601,PARTICIPACIONES!$B$2:$B$601,A461,PARTICIPACIONES!$P$2:$P$601,"&lt;&gt;En ejecución"))</f>
        <v/>
      </c>
      <c r="J461" s="12">
        <f>IF(A461="","",H461+SUMIF($F$2:$F$601,A461,$H$2:$H$601))</f>
        <v/>
      </c>
      <c r="K461" s="13">
        <f>IF(A461="","",I461+SUMIF($F$2:$F$601,A461,$I$2:$I$601))</f>
        <v/>
      </c>
    </row>
    <row r="462">
      <c r="H462" s="12">
        <f>IF(A462="","",COUNTIF(PARTICIPACIONES!$B$2:$B$601,A462))</f>
        <v/>
      </c>
      <c r="I462" s="13">
        <f>IF(A462="","",SUMIFS(PARTICIPACIONES!$M$2:$M$601,PARTICIPACIONES!$B$2:$B$601,A462,PARTICIPACIONES!$P$2:$P$601,"&lt;&gt;En ejecución"))</f>
        <v/>
      </c>
      <c r="J462" s="12">
        <f>IF(A462="","",H462+SUMIF($F$2:$F$601,A462,$H$2:$H$601))</f>
        <v/>
      </c>
      <c r="K462" s="13">
        <f>IF(A462="","",I462+SUMIF($F$2:$F$601,A462,$I$2:$I$601))</f>
        <v/>
      </c>
    </row>
    <row r="463">
      <c r="H463" s="12">
        <f>IF(A463="","",COUNTIF(PARTICIPACIONES!$B$2:$B$601,A463))</f>
        <v/>
      </c>
      <c r="I463" s="13">
        <f>IF(A463="","",SUMIFS(PARTICIPACIONES!$M$2:$M$601,PARTICIPACIONES!$B$2:$B$601,A463,PARTICIPACIONES!$P$2:$P$601,"&lt;&gt;En ejecución"))</f>
        <v/>
      </c>
      <c r="J463" s="12">
        <f>IF(A463="","",H463+SUMIF($F$2:$F$601,A463,$H$2:$H$601))</f>
        <v/>
      </c>
      <c r="K463" s="13">
        <f>IF(A463="","",I463+SUMIF($F$2:$F$601,A463,$I$2:$I$601))</f>
        <v/>
      </c>
    </row>
    <row r="464">
      <c r="H464" s="12">
        <f>IF(A464="","",COUNTIF(PARTICIPACIONES!$B$2:$B$601,A464))</f>
        <v/>
      </c>
      <c r="I464" s="13">
        <f>IF(A464="","",SUMIFS(PARTICIPACIONES!$M$2:$M$601,PARTICIPACIONES!$B$2:$B$601,A464,PARTICIPACIONES!$P$2:$P$601,"&lt;&gt;En ejecución"))</f>
        <v/>
      </c>
      <c r="J464" s="12">
        <f>IF(A464="","",H464+SUMIF($F$2:$F$601,A464,$H$2:$H$601))</f>
        <v/>
      </c>
      <c r="K464" s="13">
        <f>IF(A464="","",I464+SUMIF($F$2:$F$601,A464,$I$2:$I$601))</f>
        <v/>
      </c>
    </row>
    <row r="465">
      <c r="H465" s="12">
        <f>IF(A465="","",COUNTIF(PARTICIPACIONES!$B$2:$B$601,A465))</f>
        <v/>
      </c>
      <c r="I465" s="13">
        <f>IF(A465="","",SUMIFS(PARTICIPACIONES!$M$2:$M$601,PARTICIPACIONES!$B$2:$B$601,A465,PARTICIPACIONES!$P$2:$P$601,"&lt;&gt;En ejecución"))</f>
        <v/>
      </c>
      <c r="J465" s="12">
        <f>IF(A465="","",H465+SUMIF($F$2:$F$601,A465,$H$2:$H$601))</f>
        <v/>
      </c>
      <c r="K465" s="13">
        <f>IF(A465="","",I465+SUMIF($F$2:$F$601,A465,$I$2:$I$601))</f>
        <v/>
      </c>
    </row>
    <row r="466">
      <c r="H466" s="12">
        <f>IF(A466="","",COUNTIF(PARTICIPACIONES!$B$2:$B$601,A466))</f>
        <v/>
      </c>
      <c r="I466" s="13">
        <f>IF(A466="","",SUMIFS(PARTICIPACIONES!$M$2:$M$601,PARTICIPACIONES!$B$2:$B$601,A466,PARTICIPACIONES!$P$2:$P$601,"&lt;&gt;En ejecución"))</f>
        <v/>
      </c>
      <c r="J466" s="12">
        <f>IF(A466="","",H466+SUMIF($F$2:$F$601,A466,$H$2:$H$601))</f>
        <v/>
      </c>
      <c r="K466" s="13">
        <f>IF(A466="","",I466+SUMIF($F$2:$F$601,A466,$I$2:$I$601))</f>
        <v/>
      </c>
    </row>
    <row r="467">
      <c r="H467" s="12">
        <f>IF(A467="","",COUNTIF(PARTICIPACIONES!$B$2:$B$601,A467))</f>
        <v/>
      </c>
      <c r="I467" s="13">
        <f>IF(A467="","",SUMIFS(PARTICIPACIONES!$M$2:$M$601,PARTICIPACIONES!$B$2:$B$601,A467,PARTICIPACIONES!$P$2:$P$601,"&lt;&gt;En ejecución"))</f>
        <v/>
      </c>
      <c r="J467" s="12">
        <f>IF(A467="","",H467+SUMIF($F$2:$F$601,A467,$H$2:$H$601))</f>
        <v/>
      </c>
      <c r="K467" s="13">
        <f>IF(A467="","",I467+SUMIF($F$2:$F$601,A467,$I$2:$I$601))</f>
        <v/>
      </c>
    </row>
    <row r="468">
      <c r="H468" s="12">
        <f>IF(A468="","",COUNTIF(PARTICIPACIONES!$B$2:$B$601,A468))</f>
        <v/>
      </c>
      <c r="I468" s="13">
        <f>IF(A468="","",SUMIFS(PARTICIPACIONES!$M$2:$M$601,PARTICIPACIONES!$B$2:$B$601,A468,PARTICIPACIONES!$P$2:$P$601,"&lt;&gt;En ejecución"))</f>
        <v/>
      </c>
      <c r="J468" s="12">
        <f>IF(A468="","",H468+SUMIF($F$2:$F$601,A468,$H$2:$H$601))</f>
        <v/>
      </c>
      <c r="K468" s="13">
        <f>IF(A468="","",I468+SUMIF($F$2:$F$601,A468,$I$2:$I$601))</f>
        <v/>
      </c>
    </row>
    <row r="469">
      <c r="H469" s="12">
        <f>IF(A469="","",COUNTIF(PARTICIPACIONES!$B$2:$B$601,A469))</f>
        <v/>
      </c>
      <c r="I469" s="13">
        <f>IF(A469="","",SUMIFS(PARTICIPACIONES!$M$2:$M$601,PARTICIPACIONES!$B$2:$B$601,A469,PARTICIPACIONES!$P$2:$P$601,"&lt;&gt;En ejecución"))</f>
        <v/>
      </c>
      <c r="J469" s="12">
        <f>IF(A469="","",H469+SUMIF($F$2:$F$601,A469,$H$2:$H$601))</f>
        <v/>
      </c>
      <c r="K469" s="13">
        <f>IF(A469="","",I469+SUMIF($F$2:$F$601,A469,$I$2:$I$601))</f>
        <v/>
      </c>
    </row>
    <row r="470">
      <c r="H470" s="12">
        <f>IF(A470="","",COUNTIF(PARTICIPACIONES!$B$2:$B$601,A470))</f>
        <v/>
      </c>
      <c r="I470" s="13">
        <f>IF(A470="","",SUMIFS(PARTICIPACIONES!$M$2:$M$601,PARTICIPACIONES!$B$2:$B$601,A470,PARTICIPACIONES!$P$2:$P$601,"&lt;&gt;En ejecución"))</f>
        <v/>
      </c>
      <c r="J470" s="12">
        <f>IF(A470="","",H470+SUMIF($F$2:$F$601,A470,$H$2:$H$601))</f>
        <v/>
      </c>
      <c r="K470" s="13">
        <f>IF(A470="","",I470+SUMIF($F$2:$F$601,A470,$I$2:$I$601))</f>
        <v/>
      </c>
    </row>
    <row r="471">
      <c r="H471" s="12">
        <f>IF(A471="","",COUNTIF(PARTICIPACIONES!$B$2:$B$601,A471))</f>
        <v/>
      </c>
      <c r="I471" s="13">
        <f>IF(A471="","",SUMIFS(PARTICIPACIONES!$M$2:$M$601,PARTICIPACIONES!$B$2:$B$601,A471,PARTICIPACIONES!$P$2:$P$601,"&lt;&gt;En ejecución"))</f>
        <v/>
      </c>
      <c r="J471" s="12">
        <f>IF(A471="","",H471+SUMIF($F$2:$F$601,A471,$H$2:$H$601))</f>
        <v/>
      </c>
      <c r="K471" s="13">
        <f>IF(A471="","",I471+SUMIF($F$2:$F$601,A471,$I$2:$I$601))</f>
        <v/>
      </c>
    </row>
    <row r="472">
      <c r="H472" s="12">
        <f>IF(A472="","",COUNTIF(PARTICIPACIONES!$B$2:$B$601,A472))</f>
        <v/>
      </c>
      <c r="I472" s="13">
        <f>IF(A472="","",SUMIFS(PARTICIPACIONES!$M$2:$M$601,PARTICIPACIONES!$B$2:$B$601,A472,PARTICIPACIONES!$P$2:$P$601,"&lt;&gt;En ejecución"))</f>
        <v/>
      </c>
      <c r="J472" s="12">
        <f>IF(A472="","",H472+SUMIF($F$2:$F$601,A472,$H$2:$H$601))</f>
        <v/>
      </c>
      <c r="K472" s="13">
        <f>IF(A472="","",I472+SUMIF($F$2:$F$601,A472,$I$2:$I$601))</f>
        <v/>
      </c>
    </row>
    <row r="473">
      <c r="H473" s="12">
        <f>IF(A473="","",COUNTIF(PARTICIPACIONES!$B$2:$B$601,A473))</f>
        <v/>
      </c>
      <c r="I473" s="13">
        <f>IF(A473="","",SUMIFS(PARTICIPACIONES!$M$2:$M$601,PARTICIPACIONES!$B$2:$B$601,A473,PARTICIPACIONES!$P$2:$P$601,"&lt;&gt;En ejecución"))</f>
        <v/>
      </c>
      <c r="J473" s="12">
        <f>IF(A473="","",H473+SUMIF($F$2:$F$601,A473,$H$2:$H$601))</f>
        <v/>
      </c>
      <c r="K473" s="13">
        <f>IF(A473="","",I473+SUMIF($F$2:$F$601,A473,$I$2:$I$601))</f>
        <v/>
      </c>
    </row>
    <row r="474">
      <c r="H474" s="12">
        <f>IF(A474="","",COUNTIF(PARTICIPACIONES!$B$2:$B$601,A474))</f>
        <v/>
      </c>
      <c r="I474" s="13">
        <f>IF(A474="","",SUMIFS(PARTICIPACIONES!$M$2:$M$601,PARTICIPACIONES!$B$2:$B$601,A474,PARTICIPACIONES!$P$2:$P$601,"&lt;&gt;En ejecución"))</f>
        <v/>
      </c>
      <c r="J474" s="12">
        <f>IF(A474="","",H474+SUMIF($F$2:$F$601,A474,$H$2:$H$601))</f>
        <v/>
      </c>
      <c r="K474" s="13">
        <f>IF(A474="","",I474+SUMIF($F$2:$F$601,A474,$I$2:$I$601))</f>
        <v/>
      </c>
    </row>
    <row r="475">
      <c r="H475" s="12">
        <f>IF(A475="","",COUNTIF(PARTICIPACIONES!$B$2:$B$601,A475))</f>
        <v/>
      </c>
      <c r="I475" s="13">
        <f>IF(A475="","",SUMIFS(PARTICIPACIONES!$M$2:$M$601,PARTICIPACIONES!$B$2:$B$601,A475,PARTICIPACIONES!$P$2:$P$601,"&lt;&gt;En ejecución"))</f>
        <v/>
      </c>
      <c r="J475" s="12">
        <f>IF(A475="","",H475+SUMIF($F$2:$F$601,A475,$H$2:$H$601))</f>
        <v/>
      </c>
      <c r="K475" s="13">
        <f>IF(A475="","",I475+SUMIF($F$2:$F$601,A475,$I$2:$I$601))</f>
        <v/>
      </c>
    </row>
    <row r="476">
      <c r="H476" s="12">
        <f>IF(A476="","",COUNTIF(PARTICIPACIONES!$B$2:$B$601,A476))</f>
        <v/>
      </c>
      <c r="I476" s="13">
        <f>IF(A476="","",SUMIFS(PARTICIPACIONES!$M$2:$M$601,PARTICIPACIONES!$B$2:$B$601,A476,PARTICIPACIONES!$P$2:$P$601,"&lt;&gt;En ejecución"))</f>
        <v/>
      </c>
      <c r="J476" s="12">
        <f>IF(A476="","",H476+SUMIF($F$2:$F$601,A476,$H$2:$H$601))</f>
        <v/>
      </c>
      <c r="K476" s="13">
        <f>IF(A476="","",I476+SUMIF($F$2:$F$601,A476,$I$2:$I$601))</f>
        <v/>
      </c>
    </row>
    <row r="477">
      <c r="H477" s="12">
        <f>IF(A477="","",COUNTIF(PARTICIPACIONES!$B$2:$B$601,A477))</f>
        <v/>
      </c>
      <c r="I477" s="13">
        <f>IF(A477="","",SUMIFS(PARTICIPACIONES!$M$2:$M$601,PARTICIPACIONES!$B$2:$B$601,A477,PARTICIPACIONES!$P$2:$P$601,"&lt;&gt;En ejecución"))</f>
        <v/>
      </c>
      <c r="J477" s="12">
        <f>IF(A477="","",H477+SUMIF($F$2:$F$601,A477,$H$2:$H$601))</f>
        <v/>
      </c>
      <c r="K477" s="13">
        <f>IF(A477="","",I477+SUMIF($F$2:$F$601,A477,$I$2:$I$601))</f>
        <v/>
      </c>
    </row>
    <row r="478">
      <c r="H478" s="12">
        <f>IF(A478="","",COUNTIF(PARTICIPACIONES!$B$2:$B$601,A478))</f>
        <v/>
      </c>
      <c r="I478" s="13">
        <f>IF(A478="","",SUMIFS(PARTICIPACIONES!$M$2:$M$601,PARTICIPACIONES!$B$2:$B$601,A478,PARTICIPACIONES!$P$2:$P$601,"&lt;&gt;En ejecución"))</f>
        <v/>
      </c>
      <c r="J478" s="12">
        <f>IF(A478="","",H478+SUMIF($F$2:$F$601,A478,$H$2:$H$601))</f>
        <v/>
      </c>
      <c r="K478" s="13">
        <f>IF(A478="","",I478+SUMIF($F$2:$F$601,A478,$I$2:$I$601))</f>
        <v/>
      </c>
    </row>
    <row r="479">
      <c r="H479" s="12">
        <f>IF(A479="","",COUNTIF(PARTICIPACIONES!$B$2:$B$601,A479))</f>
        <v/>
      </c>
      <c r="I479" s="13">
        <f>IF(A479="","",SUMIFS(PARTICIPACIONES!$M$2:$M$601,PARTICIPACIONES!$B$2:$B$601,A479,PARTICIPACIONES!$P$2:$P$601,"&lt;&gt;En ejecución"))</f>
        <v/>
      </c>
      <c r="J479" s="12">
        <f>IF(A479="","",H479+SUMIF($F$2:$F$601,A479,$H$2:$H$601))</f>
        <v/>
      </c>
      <c r="K479" s="13">
        <f>IF(A479="","",I479+SUMIF($F$2:$F$601,A479,$I$2:$I$601))</f>
        <v/>
      </c>
    </row>
    <row r="480">
      <c r="H480" s="12">
        <f>IF(A480="","",COUNTIF(PARTICIPACIONES!$B$2:$B$601,A480))</f>
        <v/>
      </c>
      <c r="I480" s="13">
        <f>IF(A480="","",SUMIFS(PARTICIPACIONES!$M$2:$M$601,PARTICIPACIONES!$B$2:$B$601,A480,PARTICIPACIONES!$P$2:$P$601,"&lt;&gt;En ejecución"))</f>
        <v/>
      </c>
      <c r="J480" s="12">
        <f>IF(A480="","",H480+SUMIF($F$2:$F$601,A480,$H$2:$H$601))</f>
        <v/>
      </c>
      <c r="K480" s="13">
        <f>IF(A480="","",I480+SUMIF($F$2:$F$601,A480,$I$2:$I$601))</f>
        <v/>
      </c>
    </row>
    <row r="481">
      <c r="H481" s="12">
        <f>IF(A481="","",COUNTIF(PARTICIPACIONES!$B$2:$B$601,A481))</f>
        <v/>
      </c>
      <c r="I481" s="13">
        <f>IF(A481="","",SUMIFS(PARTICIPACIONES!$M$2:$M$601,PARTICIPACIONES!$B$2:$B$601,A481,PARTICIPACIONES!$P$2:$P$601,"&lt;&gt;En ejecución"))</f>
        <v/>
      </c>
      <c r="J481" s="12">
        <f>IF(A481="","",H481+SUMIF($F$2:$F$601,A481,$H$2:$H$601))</f>
        <v/>
      </c>
      <c r="K481" s="13">
        <f>IF(A481="","",I481+SUMIF($F$2:$F$601,A481,$I$2:$I$601))</f>
        <v/>
      </c>
    </row>
    <row r="482">
      <c r="H482" s="12">
        <f>IF(A482="","",COUNTIF(PARTICIPACIONES!$B$2:$B$601,A482))</f>
        <v/>
      </c>
      <c r="I482" s="13">
        <f>IF(A482="","",SUMIFS(PARTICIPACIONES!$M$2:$M$601,PARTICIPACIONES!$B$2:$B$601,A482,PARTICIPACIONES!$P$2:$P$601,"&lt;&gt;En ejecución"))</f>
        <v/>
      </c>
      <c r="J482" s="12">
        <f>IF(A482="","",H482+SUMIF($F$2:$F$601,A482,$H$2:$H$601))</f>
        <v/>
      </c>
      <c r="K482" s="13">
        <f>IF(A482="","",I482+SUMIF($F$2:$F$601,A482,$I$2:$I$601))</f>
        <v/>
      </c>
    </row>
    <row r="483">
      <c r="H483" s="12">
        <f>IF(A483="","",COUNTIF(PARTICIPACIONES!$B$2:$B$601,A483))</f>
        <v/>
      </c>
      <c r="I483" s="13">
        <f>IF(A483="","",SUMIFS(PARTICIPACIONES!$M$2:$M$601,PARTICIPACIONES!$B$2:$B$601,A483,PARTICIPACIONES!$P$2:$P$601,"&lt;&gt;En ejecución"))</f>
        <v/>
      </c>
      <c r="J483" s="12">
        <f>IF(A483="","",H483+SUMIF($F$2:$F$601,A483,$H$2:$H$601))</f>
        <v/>
      </c>
      <c r="K483" s="13">
        <f>IF(A483="","",I483+SUMIF($F$2:$F$601,A483,$I$2:$I$601))</f>
        <v/>
      </c>
    </row>
    <row r="484">
      <c r="H484" s="12">
        <f>IF(A484="","",COUNTIF(PARTICIPACIONES!$B$2:$B$601,A484))</f>
        <v/>
      </c>
      <c r="I484" s="13">
        <f>IF(A484="","",SUMIFS(PARTICIPACIONES!$M$2:$M$601,PARTICIPACIONES!$B$2:$B$601,A484,PARTICIPACIONES!$P$2:$P$601,"&lt;&gt;En ejecución"))</f>
        <v/>
      </c>
      <c r="J484" s="12">
        <f>IF(A484="","",H484+SUMIF($F$2:$F$601,A484,$H$2:$H$601))</f>
        <v/>
      </c>
      <c r="K484" s="13">
        <f>IF(A484="","",I484+SUMIF($F$2:$F$601,A484,$I$2:$I$601))</f>
        <v/>
      </c>
    </row>
    <row r="485">
      <c r="H485" s="12">
        <f>IF(A485="","",COUNTIF(PARTICIPACIONES!$B$2:$B$601,A485))</f>
        <v/>
      </c>
      <c r="I485" s="13">
        <f>IF(A485="","",SUMIFS(PARTICIPACIONES!$M$2:$M$601,PARTICIPACIONES!$B$2:$B$601,A485,PARTICIPACIONES!$P$2:$P$601,"&lt;&gt;En ejecución"))</f>
        <v/>
      </c>
      <c r="J485" s="12">
        <f>IF(A485="","",H485+SUMIF($F$2:$F$601,A485,$H$2:$H$601))</f>
        <v/>
      </c>
      <c r="K485" s="13">
        <f>IF(A485="","",I485+SUMIF($F$2:$F$601,A485,$I$2:$I$601))</f>
        <v/>
      </c>
    </row>
    <row r="486">
      <c r="H486" s="12">
        <f>IF(A486="","",COUNTIF(PARTICIPACIONES!$B$2:$B$601,A486))</f>
        <v/>
      </c>
      <c r="I486" s="13">
        <f>IF(A486="","",SUMIFS(PARTICIPACIONES!$M$2:$M$601,PARTICIPACIONES!$B$2:$B$601,A486,PARTICIPACIONES!$P$2:$P$601,"&lt;&gt;En ejecución"))</f>
        <v/>
      </c>
      <c r="J486" s="12">
        <f>IF(A486="","",H486+SUMIF($F$2:$F$601,A486,$H$2:$H$601))</f>
        <v/>
      </c>
      <c r="K486" s="13">
        <f>IF(A486="","",I486+SUMIF($F$2:$F$601,A486,$I$2:$I$601))</f>
        <v/>
      </c>
    </row>
    <row r="487">
      <c r="H487" s="12">
        <f>IF(A487="","",COUNTIF(PARTICIPACIONES!$B$2:$B$601,A487))</f>
        <v/>
      </c>
      <c r="I487" s="13">
        <f>IF(A487="","",SUMIFS(PARTICIPACIONES!$M$2:$M$601,PARTICIPACIONES!$B$2:$B$601,A487,PARTICIPACIONES!$P$2:$P$601,"&lt;&gt;En ejecución"))</f>
        <v/>
      </c>
      <c r="J487" s="12">
        <f>IF(A487="","",H487+SUMIF($F$2:$F$601,A487,$H$2:$H$601))</f>
        <v/>
      </c>
      <c r="K487" s="13">
        <f>IF(A487="","",I487+SUMIF($F$2:$F$601,A487,$I$2:$I$601))</f>
        <v/>
      </c>
    </row>
    <row r="488">
      <c r="H488" s="12">
        <f>IF(A488="","",COUNTIF(PARTICIPACIONES!$B$2:$B$601,A488))</f>
        <v/>
      </c>
      <c r="I488" s="13">
        <f>IF(A488="","",SUMIFS(PARTICIPACIONES!$M$2:$M$601,PARTICIPACIONES!$B$2:$B$601,A488,PARTICIPACIONES!$P$2:$P$601,"&lt;&gt;En ejecución"))</f>
        <v/>
      </c>
      <c r="J488" s="12">
        <f>IF(A488="","",H488+SUMIF($F$2:$F$601,A488,$H$2:$H$601))</f>
        <v/>
      </c>
      <c r="K488" s="13">
        <f>IF(A488="","",I488+SUMIF($F$2:$F$601,A488,$I$2:$I$601))</f>
        <v/>
      </c>
    </row>
    <row r="489">
      <c r="H489" s="12">
        <f>IF(A489="","",COUNTIF(PARTICIPACIONES!$B$2:$B$601,A489))</f>
        <v/>
      </c>
      <c r="I489" s="13">
        <f>IF(A489="","",SUMIFS(PARTICIPACIONES!$M$2:$M$601,PARTICIPACIONES!$B$2:$B$601,A489,PARTICIPACIONES!$P$2:$P$601,"&lt;&gt;En ejecución"))</f>
        <v/>
      </c>
      <c r="J489" s="12">
        <f>IF(A489="","",H489+SUMIF($F$2:$F$601,A489,$H$2:$H$601))</f>
        <v/>
      </c>
      <c r="K489" s="13">
        <f>IF(A489="","",I489+SUMIF($F$2:$F$601,A489,$I$2:$I$601))</f>
        <v/>
      </c>
    </row>
    <row r="490">
      <c r="H490" s="12">
        <f>IF(A490="","",COUNTIF(PARTICIPACIONES!$B$2:$B$601,A490))</f>
        <v/>
      </c>
      <c r="I490" s="13">
        <f>IF(A490="","",SUMIFS(PARTICIPACIONES!$M$2:$M$601,PARTICIPACIONES!$B$2:$B$601,A490,PARTICIPACIONES!$P$2:$P$601,"&lt;&gt;En ejecución"))</f>
        <v/>
      </c>
      <c r="J490" s="12">
        <f>IF(A490="","",H490+SUMIF($F$2:$F$601,A490,$H$2:$H$601))</f>
        <v/>
      </c>
      <c r="K490" s="13">
        <f>IF(A490="","",I490+SUMIF($F$2:$F$601,A490,$I$2:$I$601))</f>
        <v/>
      </c>
    </row>
    <row r="491">
      <c r="H491" s="12">
        <f>IF(A491="","",COUNTIF(PARTICIPACIONES!$B$2:$B$601,A491))</f>
        <v/>
      </c>
      <c r="I491" s="13">
        <f>IF(A491="","",SUMIFS(PARTICIPACIONES!$M$2:$M$601,PARTICIPACIONES!$B$2:$B$601,A491,PARTICIPACIONES!$P$2:$P$601,"&lt;&gt;En ejecución"))</f>
        <v/>
      </c>
      <c r="J491" s="12">
        <f>IF(A491="","",H491+SUMIF($F$2:$F$601,A491,$H$2:$H$601))</f>
        <v/>
      </c>
      <c r="K491" s="13">
        <f>IF(A491="","",I491+SUMIF($F$2:$F$601,A491,$I$2:$I$601))</f>
        <v/>
      </c>
    </row>
    <row r="492">
      <c r="H492" s="12">
        <f>IF(A492="","",COUNTIF(PARTICIPACIONES!$B$2:$B$601,A492))</f>
        <v/>
      </c>
      <c r="I492" s="13">
        <f>IF(A492="","",SUMIFS(PARTICIPACIONES!$M$2:$M$601,PARTICIPACIONES!$B$2:$B$601,A492,PARTICIPACIONES!$P$2:$P$601,"&lt;&gt;En ejecución"))</f>
        <v/>
      </c>
      <c r="J492" s="12">
        <f>IF(A492="","",H492+SUMIF($F$2:$F$601,A492,$H$2:$H$601))</f>
        <v/>
      </c>
      <c r="K492" s="13">
        <f>IF(A492="","",I492+SUMIF($F$2:$F$601,A492,$I$2:$I$601))</f>
        <v/>
      </c>
    </row>
    <row r="493">
      <c r="H493" s="12">
        <f>IF(A493="","",COUNTIF(PARTICIPACIONES!$B$2:$B$601,A493))</f>
        <v/>
      </c>
      <c r="I493" s="13">
        <f>IF(A493="","",SUMIFS(PARTICIPACIONES!$M$2:$M$601,PARTICIPACIONES!$B$2:$B$601,A493,PARTICIPACIONES!$P$2:$P$601,"&lt;&gt;En ejecución"))</f>
        <v/>
      </c>
      <c r="J493" s="12">
        <f>IF(A493="","",H493+SUMIF($F$2:$F$601,A493,$H$2:$H$601))</f>
        <v/>
      </c>
      <c r="K493" s="13">
        <f>IF(A493="","",I493+SUMIF($F$2:$F$601,A493,$I$2:$I$601))</f>
        <v/>
      </c>
    </row>
    <row r="494">
      <c r="H494" s="12">
        <f>IF(A494="","",COUNTIF(PARTICIPACIONES!$B$2:$B$601,A494))</f>
        <v/>
      </c>
      <c r="I494" s="13">
        <f>IF(A494="","",SUMIFS(PARTICIPACIONES!$M$2:$M$601,PARTICIPACIONES!$B$2:$B$601,A494,PARTICIPACIONES!$P$2:$P$601,"&lt;&gt;En ejecución"))</f>
        <v/>
      </c>
      <c r="J494" s="12">
        <f>IF(A494="","",H494+SUMIF($F$2:$F$601,A494,$H$2:$H$601))</f>
        <v/>
      </c>
      <c r="K494" s="13">
        <f>IF(A494="","",I494+SUMIF($F$2:$F$601,A494,$I$2:$I$601))</f>
        <v/>
      </c>
    </row>
    <row r="495">
      <c r="H495" s="12">
        <f>IF(A495="","",COUNTIF(PARTICIPACIONES!$B$2:$B$601,A495))</f>
        <v/>
      </c>
      <c r="I495" s="13">
        <f>IF(A495="","",SUMIFS(PARTICIPACIONES!$M$2:$M$601,PARTICIPACIONES!$B$2:$B$601,A495,PARTICIPACIONES!$P$2:$P$601,"&lt;&gt;En ejecución"))</f>
        <v/>
      </c>
      <c r="J495" s="12">
        <f>IF(A495="","",H495+SUMIF($F$2:$F$601,A495,$H$2:$H$601))</f>
        <v/>
      </c>
      <c r="K495" s="13">
        <f>IF(A495="","",I495+SUMIF($F$2:$F$601,A495,$I$2:$I$601))</f>
        <v/>
      </c>
    </row>
    <row r="496">
      <c r="H496" s="12">
        <f>IF(A496="","",COUNTIF(PARTICIPACIONES!$B$2:$B$601,A496))</f>
        <v/>
      </c>
      <c r="I496" s="13">
        <f>IF(A496="","",SUMIFS(PARTICIPACIONES!$M$2:$M$601,PARTICIPACIONES!$B$2:$B$601,A496,PARTICIPACIONES!$P$2:$P$601,"&lt;&gt;En ejecución"))</f>
        <v/>
      </c>
      <c r="J496" s="12">
        <f>IF(A496="","",H496+SUMIF($F$2:$F$601,A496,$H$2:$H$601))</f>
        <v/>
      </c>
      <c r="K496" s="13">
        <f>IF(A496="","",I496+SUMIF($F$2:$F$601,A496,$I$2:$I$601))</f>
        <v/>
      </c>
    </row>
    <row r="497">
      <c r="H497" s="12">
        <f>IF(A497="","",COUNTIF(PARTICIPACIONES!$B$2:$B$601,A497))</f>
        <v/>
      </c>
      <c r="I497" s="13">
        <f>IF(A497="","",SUMIFS(PARTICIPACIONES!$M$2:$M$601,PARTICIPACIONES!$B$2:$B$601,A497,PARTICIPACIONES!$P$2:$P$601,"&lt;&gt;En ejecución"))</f>
        <v/>
      </c>
      <c r="J497" s="12">
        <f>IF(A497="","",H497+SUMIF($F$2:$F$601,A497,$H$2:$H$601))</f>
        <v/>
      </c>
      <c r="K497" s="13">
        <f>IF(A497="","",I497+SUMIF($F$2:$F$601,A497,$I$2:$I$601))</f>
        <v/>
      </c>
    </row>
    <row r="498">
      <c r="H498" s="12">
        <f>IF(A498="","",COUNTIF(PARTICIPACIONES!$B$2:$B$601,A498))</f>
        <v/>
      </c>
      <c r="I498" s="13">
        <f>IF(A498="","",SUMIFS(PARTICIPACIONES!$M$2:$M$601,PARTICIPACIONES!$B$2:$B$601,A498,PARTICIPACIONES!$P$2:$P$601,"&lt;&gt;En ejecución"))</f>
        <v/>
      </c>
      <c r="J498" s="12">
        <f>IF(A498="","",H498+SUMIF($F$2:$F$601,A498,$H$2:$H$601))</f>
        <v/>
      </c>
      <c r="K498" s="13">
        <f>IF(A498="","",I498+SUMIF($F$2:$F$601,A498,$I$2:$I$601))</f>
        <v/>
      </c>
    </row>
    <row r="499">
      <c r="H499" s="12">
        <f>IF(A499="","",COUNTIF(PARTICIPACIONES!$B$2:$B$601,A499))</f>
        <v/>
      </c>
      <c r="I499" s="13">
        <f>IF(A499="","",SUMIFS(PARTICIPACIONES!$M$2:$M$601,PARTICIPACIONES!$B$2:$B$601,A499,PARTICIPACIONES!$P$2:$P$601,"&lt;&gt;En ejecución"))</f>
        <v/>
      </c>
      <c r="J499" s="12">
        <f>IF(A499="","",H499+SUMIF($F$2:$F$601,A499,$H$2:$H$601))</f>
        <v/>
      </c>
      <c r="K499" s="13">
        <f>IF(A499="","",I499+SUMIF($F$2:$F$601,A499,$I$2:$I$601))</f>
        <v/>
      </c>
    </row>
    <row r="500">
      <c r="H500" s="12">
        <f>IF(A500="","",COUNTIF(PARTICIPACIONES!$B$2:$B$601,A500))</f>
        <v/>
      </c>
      <c r="I500" s="13">
        <f>IF(A500="","",SUMIFS(PARTICIPACIONES!$M$2:$M$601,PARTICIPACIONES!$B$2:$B$601,A500,PARTICIPACIONES!$P$2:$P$601,"&lt;&gt;En ejecución"))</f>
        <v/>
      </c>
      <c r="J500" s="12">
        <f>IF(A500="","",H500+SUMIF($F$2:$F$601,A500,$H$2:$H$601))</f>
        <v/>
      </c>
      <c r="K500" s="13">
        <f>IF(A500="","",I500+SUMIF($F$2:$F$601,A500,$I$2:$I$601))</f>
        <v/>
      </c>
    </row>
    <row r="501">
      <c r="H501" s="12">
        <f>IF(A501="","",COUNTIF(PARTICIPACIONES!$B$2:$B$601,A501))</f>
        <v/>
      </c>
      <c r="I501" s="13">
        <f>IF(A501="","",SUMIFS(PARTICIPACIONES!$M$2:$M$601,PARTICIPACIONES!$B$2:$B$601,A501,PARTICIPACIONES!$P$2:$P$601,"&lt;&gt;En ejecución"))</f>
        <v/>
      </c>
      <c r="J501" s="12">
        <f>IF(A501="","",H501+SUMIF($F$2:$F$601,A501,$H$2:$H$601))</f>
        <v/>
      </c>
      <c r="K501" s="13">
        <f>IF(A501="","",I501+SUMIF($F$2:$F$601,A501,$I$2:$I$601))</f>
        <v/>
      </c>
    </row>
    <row r="502">
      <c r="H502" s="12">
        <f>IF(A502="","",COUNTIF(PARTICIPACIONES!$B$2:$B$601,A502))</f>
        <v/>
      </c>
      <c r="I502" s="13">
        <f>IF(A502="","",SUMIFS(PARTICIPACIONES!$M$2:$M$601,PARTICIPACIONES!$B$2:$B$601,A502,PARTICIPACIONES!$P$2:$P$601,"&lt;&gt;En ejecución"))</f>
        <v/>
      </c>
      <c r="J502" s="12">
        <f>IF(A502="","",H502+SUMIF($F$2:$F$601,A502,$H$2:$H$601))</f>
        <v/>
      </c>
      <c r="K502" s="13">
        <f>IF(A502="","",I502+SUMIF($F$2:$F$601,A502,$I$2:$I$601))</f>
        <v/>
      </c>
    </row>
    <row r="503">
      <c r="H503" s="12">
        <f>IF(A503="","",COUNTIF(PARTICIPACIONES!$B$2:$B$601,A503))</f>
        <v/>
      </c>
      <c r="I503" s="13">
        <f>IF(A503="","",SUMIFS(PARTICIPACIONES!$M$2:$M$601,PARTICIPACIONES!$B$2:$B$601,A503,PARTICIPACIONES!$P$2:$P$601,"&lt;&gt;En ejecución"))</f>
        <v/>
      </c>
      <c r="J503" s="12">
        <f>IF(A503="","",H503+SUMIF($F$2:$F$601,A503,$H$2:$H$601))</f>
        <v/>
      </c>
      <c r="K503" s="13">
        <f>IF(A503="","",I503+SUMIF($F$2:$F$601,A503,$I$2:$I$601))</f>
        <v/>
      </c>
    </row>
    <row r="504">
      <c r="H504" s="12">
        <f>IF(A504="","",COUNTIF(PARTICIPACIONES!$B$2:$B$601,A504))</f>
        <v/>
      </c>
      <c r="I504" s="13">
        <f>IF(A504="","",SUMIFS(PARTICIPACIONES!$M$2:$M$601,PARTICIPACIONES!$B$2:$B$601,A504,PARTICIPACIONES!$P$2:$P$601,"&lt;&gt;En ejecución"))</f>
        <v/>
      </c>
      <c r="J504" s="12">
        <f>IF(A504="","",H504+SUMIF($F$2:$F$601,A504,$H$2:$H$601))</f>
        <v/>
      </c>
      <c r="K504" s="13">
        <f>IF(A504="","",I504+SUMIF($F$2:$F$601,A504,$I$2:$I$601))</f>
        <v/>
      </c>
    </row>
    <row r="505">
      <c r="H505" s="12">
        <f>IF(A505="","",COUNTIF(PARTICIPACIONES!$B$2:$B$601,A505))</f>
        <v/>
      </c>
      <c r="I505" s="13">
        <f>IF(A505="","",SUMIFS(PARTICIPACIONES!$M$2:$M$601,PARTICIPACIONES!$B$2:$B$601,A505,PARTICIPACIONES!$P$2:$P$601,"&lt;&gt;En ejecución"))</f>
        <v/>
      </c>
      <c r="J505" s="12">
        <f>IF(A505="","",H505+SUMIF($F$2:$F$601,A505,$H$2:$H$601))</f>
        <v/>
      </c>
      <c r="K505" s="13">
        <f>IF(A505="","",I505+SUMIF($F$2:$F$601,A505,$I$2:$I$601))</f>
        <v/>
      </c>
    </row>
    <row r="506">
      <c r="H506" s="12">
        <f>IF(A506="","",COUNTIF(PARTICIPACIONES!$B$2:$B$601,A506))</f>
        <v/>
      </c>
      <c r="I506" s="13">
        <f>IF(A506="","",SUMIFS(PARTICIPACIONES!$M$2:$M$601,PARTICIPACIONES!$B$2:$B$601,A506,PARTICIPACIONES!$P$2:$P$601,"&lt;&gt;En ejecución"))</f>
        <v/>
      </c>
      <c r="J506" s="12">
        <f>IF(A506="","",H506+SUMIF($F$2:$F$601,A506,$H$2:$H$601))</f>
        <v/>
      </c>
      <c r="K506" s="13">
        <f>IF(A506="","",I506+SUMIF($F$2:$F$601,A506,$I$2:$I$601))</f>
        <v/>
      </c>
    </row>
    <row r="507">
      <c r="H507" s="12">
        <f>IF(A507="","",COUNTIF(PARTICIPACIONES!$B$2:$B$601,A507))</f>
        <v/>
      </c>
      <c r="I507" s="13">
        <f>IF(A507="","",SUMIFS(PARTICIPACIONES!$M$2:$M$601,PARTICIPACIONES!$B$2:$B$601,A507,PARTICIPACIONES!$P$2:$P$601,"&lt;&gt;En ejecución"))</f>
        <v/>
      </c>
      <c r="J507" s="12">
        <f>IF(A507="","",H507+SUMIF($F$2:$F$601,A507,$H$2:$H$601))</f>
        <v/>
      </c>
      <c r="K507" s="13">
        <f>IF(A507="","",I507+SUMIF($F$2:$F$601,A507,$I$2:$I$601))</f>
        <v/>
      </c>
    </row>
    <row r="508">
      <c r="H508" s="12">
        <f>IF(A508="","",COUNTIF(PARTICIPACIONES!$B$2:$B$601,A508))</f>
        <v/>
      </c>
      <c r="I508" s="13">
        <f>IF(A508="","",SUMIFS(PARTICIPACIONES!$M$2:$M$601,PARTICIPACIONES!$B$2:$B$601,A508,PARTICIPACIONES!$P$2:$P$601,"&lt;&gt;En ejecución"))</f>
        <v/>
      </c>
      <c r="J508" s="12">
        <f>IF(A508="","",H508+SUMIF($F$2:$F$601,A508,$H$2:$H$601))</f>
        <v/>
      </c>
      <c r="K508" s="13">
        <f>IF(A508="","",I508+SUMIF($F$2:$F$601,A508,$I$2:$I$601))</f>
        <v/>
      </c>
    </row>
    <row r="509">
      <c r="H509" s="12">
        <f>IF(A509="","",COUNTIF(PARTICIPACIONES!$B$2:$B$601,A509))</f>
        <v/>
      </c>
      <c r="I509" s="13">
        <f>IF(A509="","",SUMIFS(PARTICIPACIONES!$M$2:$M$601,PARTICIPACIONES!$B$2:$B$601,A509,PARTICIPACIONES!$P$2:$P$601,"&lt;&gt;En ejecución"))</f>
        <v/>
      </c>
      <c r="J509" s="12">
        <f>IF(A509="","",H509+SUMIF($F$2:$F$601,A509,$H$2:$H$601))</f>
        <v/>
      </c>
      <c r="K509" s="13">
        <f>IF(A509="","",I509+SUMIF($F$2:$F$601,A509,$I$2:$I$601))</f>
        <v/>
      </c>
    </row>
    <row r="510">
      <c r="H510" s="12">
        <f>IF(A510="","",COUNTIF(PARTICIPACIONES!$B$2:$B$601,A510))</f>
        <v/>
      </c>
      <c r="I510" s="13">
        <f>IF(A510="","",SUMIFS(PARTICIPACIONES!$M$2:$M$601,PARTICIPACIONES!$B$2:$B$601,A510,PARTICIPACIONES!$P$2:$P$601,"&lt;&gt;En ejecución"))</f>
        <v/>
      </c>
      <c r="J510" s="12">
        <f>IF(A510="","",H510+SUMIF($F$2:$F$601,A510,$H$2:$H$601))</f>
        <v/>
      </c>
      <c r="K510" s="13">
        <f>IF(A510="","",I510+SUMIF($F$2:$F$601,A510,$I$2:$I$601))</f>
        <v/>
      </c>
    </row>
    <row r="511">
      <c r="H511" s="12">
        <f>IF(A511="","",COUNTIF(PARTICIPACIONES!$B$2:$B$601,A511))</f>
        <v/>
      </c>
      <c r="I511" s="13">
        <f>IF(A511="","",SUMIFS(PARTICIPACIONES!$M$2:$M$601,PARTICIPACIONES!$B$2:$B$601,A511,PARTICIPACIONES!$P$2:$P$601,"&lt;&gt;En ejecución"))</f>
        <v/>
      </c>
      <c r="J511" s="12">
        <f>IF(A511="","",H511+SUMIF($F$2:$F$601,A511,$H$2:$H$601))</f>
        <v/>
      </c>
      <c r="K511" s="13">
        <f>IF(A511="","",I511+SUMIF($F$2:$F$601,A511,$I$2:$I$601))</f>
        <v/>
      </c>
    </row>
    <row r="512">
      <c r="H512" s="12">
        <f>IF(A512="","",COUNTIF(PARTICIPACIONES!$B$2:$B$601,A512))</f>
        <v/>
      </c>
      <c r="I512" s="13">
        <f>IF(A512="","",SUMIFS(PARTICIPACIONES!$M$2:$M$601,PARTICIPACIONES!$B$2:$B$601,A512,PARTICIPACIONES!$P$2:$P$601,"&lt;&gt;En ejecución"))</f>
        <v/>
      </c>
      <c r="J512" s="12">
        <f>IF(A512="","",H512+SUMIF($F$2:$F$601,A512,$H$2:$H$601))</f>
        <v/>
      </c>
      <c r="K512" s="13">
        <f>IF(A512="","",I512+SUMIF($F$2:$F$601,A512,$I$2:$I$601))</f>
        <v/>
      </c>
    </row>
    <row r="513">
      <c r="H513" s="12">
        <f>IF(A513="","",COUNTIF(PARTICIPACIONES!$B$2:$B$601,A513))</f>
        <v/>
      </c>
      <c r="I513" s="13">
        <f>IF(A513="","",SUMIFS(PARTICIPACIONES!$M$2:$M$601,PARTICIPACIONES!$B$2:$B$601,A513,PARTICIPACIONES!$P$2:$P$601,"&lt;&gt;En ejecución"))</f>
        <v/>
      </c>
      <c r="J513" s="12">
        <f>IF(A513="","",H513+SUMIF($F$2:$F$601,A513,$H$2:$H$601))</f>
        <v/>
      </c>
      <c r="K513" s="13">
        <f>IF(A513="","",I513+SUMIF($F$2:$F$601,A513,$I$2:$I$601))</f>
        <v/>
      </c>
    </row>
    <row r="514">
      <c r="H514" s="12">
        <f>IF(A514="","",COUNTIF(PARTICIPACIONES!$B$2:$B$601,A514))</f>
        <v/>
      </c>
      <c r="I514" s="13">
        <f>IF(A514="","",SUMIFS(PARTICIPACIONES!$M$2:$M$601,PARTICIPACIONES!$B$2:$B$601,A514,PARTICIPACIONES!$P$2:$P$601,"&lt;&gt;En ejecución"))</f>
        <v/>
      </c>
      <c r="J514" s="12">
        <f>IF(A514="","",H514+SUMIF($F$2:$F$601,A514,$H$2:$H$601))</f>
        <v/>
      </c>
      <c r="K514" s="13">
        <f>IF(A514="","",I514+SUMIF($F$2:$F$601,A514,$I$2:$I$601))</f>
        <v/>
      </c>
    </row>
    <row r="515">
      <c r="H515" s="12">
        <f>IF(A515="","",COUNTIF(PARTICIPACIONES!$B$2:$B$601,A515))</f>
        <v/>
      </c>
      <c r="I515" s="13">
        <f>IF(A515="","",SUMIFS(PARTICIPACIONES!$M$2:$M$601,PARTICIPACIONES!$B$2:$B$601,A515,PARTICIPACIONES!$P$2:$P$601,"&lt;&gt;En ejecución"))</f>
        <v/>
      </c>
      <c r="J515" s="12">
        <f>IF(A515="","",H515+SUMIF($F$2:$F$601,A515,$H$2:$H$601))</f>
        <v/>
      </c>
      <c r="K515" s="13">
        <f>IF(A515="","",I515+SUMIF($F$2:$F$601,A515,$I$2:$I$601))</f>
        <v/>
      </c>
    </row>
    <row r="516">
      <c r="H516" s="12">
        <f>IF(A516="","",COUNTIF(PARTICIPACIONES!$B$2:$B$601,A516))</f>
        <v/>
      </c>
      <c r="I516" s="13">
        <f>IF(A516="","",SUMIFS(PARTICIPACIONES!$M$2:$M$601,PARTICIPACIONES!$B$2:$B$601,A516,PARTICIPACIONES!$P$2:$P$601,"&lt;&gt;En ejecución"))</f>
        <v/>
      </c>
      <c r="J516" s="12">
        <f>IF(A516="","",H516+SUMIF($F$2:$F$601,A516,$H$2:$H$601))</f>
        <v/>
      </c>
      <c r="K516" s="13">
        <f>IF(A516="","",I516+SUMIF($F$2:$F$601,A516,$I$2:$I$601))</f>
        <v/>
      </c>
    </row>
    <row r="517">
      <c r="H517" s="12">
        <f>IF(A517="","",COUNTIF(PARTICIPACIONES!$B$2:$B$601,A517))</f>
        <v/>
      </c>
      <c r="I517" s="13">
        <f>IF(A517="","",SUMIFS(PARTICIPACIONES!$M$2:$M$601,PARTICIPACIONES!$B$2:$B$601,A517,PARTICIPACIONES!$P$2:$P$601,"&lt;&gt;En ejecución"))</f>
        <v/>
      </c>
      <c r="J517" s="12">
        <f>IF(A517="","",H517+SUMIF($F$2:$F$601,A517,$H$2:$H$601))</f>
        <v/>
      </c>
      <c r="K517" s="13">
        <f>IF(A517="","",I517+SUMIF($F$2:$F$601,A517,$I$2:$I$601))</f>
        <v/>
      </c>
    </row>
    <row r="518">
      <c r="H518" s="12">
        <f>IF(A518="","",COUNTIF(PARTICIPACIONES!$B$2:$B$601,A518))</f>
        <v/>
      </c>
      <c r="I518" s="13">
        <f>IF(A518="","",SUMIFS(PARTICIPACIONES!$M$2:$M$601,PARTICIPACIONES!$B$2:$B$601,A518,PARTICIPACIONES!$P$2:$P$601,"&lt;&gt;En ejecución"))</f>
        <v/>
      </c>
      <c r="J518" s="12">
        <f>IF(A518="","",H518+SUMIF($F$2:$F$601,A518,$H$2:$H$601))</f>
        <v/>
      </c>
      <c r="K518" s="13">
        <f>IF(A518="","",I518+SUMIF($F$2:$F$601,A518,$I$2:$I$601))</f>
        <v/>
      </c>
    </row>
    <row r="519">
      <c r="H519" s="12">
        <f>IF(A519="","",COUNTIF(PARTICIPACIONES!$B$2:$B$601,A519))</f>
        <v/>
      </c>
      <c r="I519" s="13">
        <f>IF(A519="","",SUMIFS(PARTICIPACIONES!$M$2:$M$601,PARTICIPACIONES!$B$2:$B$601,A519,PARTICIPACIONES!$P$2:$P$601,"&lt;&gt;En ejecución"))</f>
        <v/>
      </c>
      <c r="J519" s="12">
        <f>IF(A519="","",H519+SUMIF($F$2:$F$601,A519,$H$2:$H$601))</f>
        <v/>
      </c>
      <c r="K519" s="13">
        <f>IF(A519="","",I519+SUMIF($F$2:$F$601,A519,$I$2:$I$601))</f>
        <v/>
      </c>
    </row>
    <row r="520">
      <c r="H520" s="12">
        <f>IF(A520="","",COUNTIF(PARTICIPACIONES!$B$2:$B$601,A520))</f>
        <v/>
      </c>
      <c r="I520" s="13">
        <f>IF(A520="","",SUMIFS(PARTICIPACIONES!$M$2:$M$601,PARTICIPACIONES!$B$2:$B$601,A520,PARTICIPACIONES!$P$2:$P$601,"&lt;&gt;En ejecución"))</f>
        <v/>
      </c>
      <c r="J520" s="12">
        <f>IF(A520="","",H520+SUMIF($F$2:$F$601,A520,$H$2:$H$601))</f>
        <v/>
      </c>
      <c r="K520" s="13">
        <f>IF(A520="","",I520+SUMIF($F$2:$F$601,A520,$I$2:$I$601))</f>
        <v/>
      </c>
    </row>
    <row r="521">
      <c r="H521" s="12">
        <f>IF(A521="","",COUNTIF(PARTICIPACIONES!$B$2:$B$601,A521))</f>
        <v/>
      </c>
      <c r="I521" s="13">
        <f>IF(A521="","",SUMIFS(PARTICIPACIONES!$M$2:$M$601,PARTICIPACIONES!$B$2:$B$601,A521,PARTICIPACIONES!$P$2:$P$601,"&lt;&gt;En ejecución"))</f>
        <v/>
      </c>
      <c r="J521" s="12">
        <f>IF(A521="","",H521+SUMIF($F$2:$F$601,A521,$H$2:$H$601))</f>
        <v/>
      </c>
      <c r="K521" s="13">
        <f>IF(A521="","",I521+SUMIF($F$2:$F$601,A521,$I$2:$I$601))</f>
        <v/>
      </c>
    </row>
    <row r="522">
      <c r="H522" s="12">
        <f>IF(A522="","",COUNTIF(PARTICIPACIONES!$B$2:$B$601,A522))</f>
        <v/>
      </c>
      <c r="I522" s="13">
        <f>IF(A522="","",SUMIFS(PARTICIPACIONES!$M$2:$M$601,PARTICIPACIONES!$B$2:$B$601,A522,PARTICIPACIONES!$P$2:$P$601,"&lt;&gt;En ejecución"))</f>
        <v/>
      </c>
      <c r="J522" s="12">
        <f>IF(A522="","",H522+SUMIF($F$2:$F$601,A522,$H$2:$H$601))</f>
        <v/>
      </c>
      <c r="K522" s="13">
        <f>IF(A522="","",I522+SUMIF($F$2:$F$601,A522,$I$2:$I$601))</f>
        <v/>
      </c>
    </row>
    <row r="523">
      <c r="H523" s="12">
        <f>IF(A523="","",COUNTIF(PARTICIPACIONES!$B$2:$B$601,A523))</f>
        <v/>
      </c>
      <c r="I523" s="13">
        <f>IF(A523="","",SUMIFS(PARTICIPACIONES!$M$2:$M$601,PARTICIPACIONES!$B$2:$B$601,A523,PARTICIPACIONES!$P$2:$P$601,"&lt;&gt;En ejecución"))</f>
        <v/>
      </c>
      <c r="J523" s="12">
        <f>IF(A523="","",H523+SUMIF($F$2:$F$601,A523,$H$2:$H$601))</f>
        <v/>
      </c>
      <c r="K523" s="13">
        <f>IF(A523="","",I523+SUMIF($F$2:$F$601,A523,$I$2:$I$601))</f>
        <v/>
      </c>
    </row>
    <row r="524">
      <c r="H524" s="12">
        <f>IF(A524="","",COUNTIF(PARTICIPACIONES!$B$2:$B$601,A524))</f>
        <v/>
      </c>
      <c r="I524" s="13">
        <f>IF(A524="","",SUMIFS(PARTICIPACIONES!$M$2:$M$601,PARTICIPACIONES!$B$2:$B$601,A524,PARTICIPACIONES!$P$2:$P$601,"&lt;&gt;En ejecución"))</f>
        <v/>
      </c>
      <c r="J524" s="12">
        <f>IF(A524="","",H524+SUMIF($F$2:$F$601,A524,$H$2:$H$601))</f>
        <v/>
      </c>
      <c r="K524" s="13">
        <f>IF(A524="","",I524+SUMIF($F$2:$F$601,A524,$I$2:$I$601))</f>
        <v/>
      </c>
    </row>
    <row r="525">
      <c r="H525" s="12">
        <f>IF(A525="","",COUNTIF(PARTICIPACIONES!$B$2:$B$601,A525))</f>
        <v/>
      </c>
      <c r="I525" s="13">
        <f>IF(A525="","",SUMIFS(PARTICIPACIONES!$M$2:$M$601,PARTICIPACIONES!$B$2:$B$601,A525,PARTICIPACIONES!$P$2:$P$601,"&lt;&gt;En ejecución"))</f>
        <v/>
      </c>
      <c r="J525" s="12">
        <f>IF(A525="","",H525+SUMIF($F$2:$F$601,A525,$H$2:$H$601))</f>
        <v/>
      </c>
      <c r="K525" s="13">
        <f>IF(A525="","",I525+SUMIF($F$2:$F$601,A525,$I$2:$I$601))</f>
        <v/>
      </c>
    </row>
    <row r="526">
      <c r="H526" s="12">
        <f>IF(A526="","",COUNTIF(PARTICIPACIONES!$B$2:$B$601,A526))</f>
        <v/>
      </c>
      <c r="I526" s="13">
        <f>IF(A526="","",SUMIFS(PARTICIPACIONES!$M$2:$M$601,PARTICIPACIONES!$B$2:$B$601,A526,PARTICIPACIONES!$P$2:$P$601,"&lt;&gt;En ejecución"))</f>
        <v/>
      </c>
      <c r="J526" s="12">
        <f>IF(A526="","",H526+SUMIF($F$2:$F$601,A526,$H$2:$H$601))</f>
        <v/>
      </c>
      <c r="K526" s="13">
        <f>IF(A526="","",I526+SUMIF($F$2:$F$601,A526,$I$2:$I$601))</f>
        <v/>
      </c>
    </row>
    <row r="527">
      <c r="H527" s="12">
        <f>IF(A527="","",COUNTIF(PARTICIPACIONES!$B$2:$B$601,A527))</f>
        <v/>
      </c>
      <c r="I527" s="13">
        <f>IF(A527="","",SUMIFS(PARTICIPACIONES!$M$2:$M$601,PARTICIPACIONES!$B$2:$B$601,A527,PARTICIPACIONES!$P$2:$P$601,"&lt;&gt;En ejecución"))</f>
        <v/>
      </c>
      <c r="J527" s="12">
        <f>IF(A527="","",H527+SUMIF($F$2:$F$601,A527,$H$2:$H$601))</f>
        <v/>
      </c>
      <c r="K527" s="13">
        <f>IF(A527="","",I527+SUMIF($F$2:$F$601,A527,$I$2:$I$601))</f>
        <v/>
      </c>
    </row>
    <row r="528">
      <c r="H528" s="12">
        <f>IF(A528="","",COUNTIF(PARTICIPACIONES!$B$2:$B$601,A528))</f>
        <v/>
      </c>
      <c r="I528" s="13">
        <f>IF(A528="","",SUMIFS(PARTICIPACIONES!$M$2:$M$601,PARTICIPACIONES!$B$2:$B$601,A528,PARTICIPACIONES!$P$2:$P$601,"&lt;&gt;En ejecución"))</f>
        <v/>
      </c>
      <c r="J528" s="12">
        <f>IF(A528="","",H528+SUMIF($F$2:$F$601,A528,$H$2:$H$601))</f>
        <v/>
      </c>
      <c r="K528" s="13">
        <f>IF(A528="","",I528+SUMIF($F$2:$F$601,A528,$I$2:$I$601))</f>
        <v/>
      </c>
    </row>
    <row r="529">
      <c r="H529" s="12">
        <f>IF(A529="","",COUNTIF(PARTICIPACIONES!$B$2:$B$601,A529))</f>
        <v/>
      </c>
      <c r="I529" s="13">
        <f>IF(A529="","",SUMIFS(PARTICIPACIONES!$M$2:$M$601,PARTICIPACIONES!$B$2:$B$601,A529,PARTICIPACIONES!$P$2:$P$601,"&lt;&gt;En ejecución"))</f>
        <v/>
      </c>
      <c r="J529" s="12">
        <f>IF(A529="","",H529+SUMIF($F$2:$F$601,A529,$H$2:$H$601))</f>
        <v/>
      </c>
      <c r="K529" s="13">
        <f>IF(A529="","",I529+SUMIF($F$2:$F$601,A529,$I$2:$I$601))</f>
        <v/>
      </c>
    </row>
    <row r="530">
      <c r="H530" s="12">
        <f>IF(A530="","",COUNTIF(PARTICIPACIONES!$B$2:$B$601,A530))</f>
        <v/>
      </c>
      <c r="I530" s="13">
        <f>IF(A530="","",SUMIFS(PARTICIPACIONES!$M$2:$M$601,PARTICIPACIONES!$B$2:$B$601,A530,PARTICIPACIONES!$P$2:$P$601,"&lt;&gt;En ejecución"))</f>
        <v/>
      </c>
      <c r="J530" s="12">
        <f>IF(A530="","",H530+SUMIF($F$2:$F$601,A530,$H$2:$H$601))</f>
        <v/>
      </c>
      <c r="K530" s="13">
        <f>IF(A530="","",I530+SUMIF($F$2:$F$601,A530,$I$2:$I$601))</f>
        <v/>
      </c>
    </row>
    <row r="531">
      <c r="H531" s="12">
        <f>IF(A531="","",COUNTIF(PARTICIPACIONES!$B$2:$B$601,A531))</f>
        <v/>
      </c>
      <c r="I531" s="13">
        <f>IF(A531="","",SUMIFS(PARTICIPACIONES!$M$2:$M$601,PARTICIPACIONES!$B$2:$B$601,A531,PARTICIPACIONES!$P$2:$P$601,"&lt;&gt;En ejecución"))</f>
        <v/>
      </c>
      <c r="J531" s="12">
        <f>IF(A531="","",H531+SUMIF($F$2:$F$601,A531,$H$2:$H$601))</f>
        <v/>
      </c>
      <c r="K531" s="13">
        <f>IF(A531="","",I531+SUMIF($F$2:$F$601,A531,$I$2:$I$601))</f>
        <v/>
      </c>
    </row>
    <row r="532">
      <c r="H532" s="12">
        <f>IF(A532="","",COUNTIF(PARTICIPACIONES!$B$2:$B$601,A532))</f>
        <v/>
      </c>
      <c r="I532" s="13">
        <f>IF(A532="","",SUMIFS(PARTICIPACIONES!$M$2:$M$601,PARTICIPACIONES!$B$2:$B$601,A532,PARTICIPACIONES!$P$2:$P$601,"&lt;&gt;En ejecución"))</f>
        <v/>
      </c>
      <c r="J532" s="12">
        <f>IF(A532="","",H532+SUMIF($F$2:$F$601,A532,$H$2:$H$601))</f>
        <v/>
      </c>
      <c r="K532" s="13">
        <f>IF(A532="","",I532+SUMIF($F$2:$F$601,A532,$I$2:$I$601))</f>
        <v/>
      </c>
    </row>
    <row r="533">
      <c r="H533" s="12">
        <f>IF(A533="","",COUNTIF(PARTICIPACIONES!$B$2:$B$601,A533))</f>
        <v/>
      </c>
      <c r="I533" s="13">
        <f>IF(A533="","",SUMIFS(PARTICIPACIONES!$M$2:$M$601,PARTICIPACIONES!$B$2:$B$601,A533,PARTICIPACIONES!$P$2:$P$601,"&lt;&gt;En ejecución"))</f>
        <v/>
      </c>
      <c r="J533" s="12">
        <f>IF(A533="","",H533+SUMIF($F$2:$F$601,A533,$H$2:$H$601))</f>
        <v/>
      </c>
      <c r="K533" s="13">
        <f>IF(A533="","",I533+SUMIF($F$2:$F$601,A533,$I$2:$I$601))</f>
        <v/>
      </c>
    </row>
    <row r="534">
      <c r="H534" s="12">
        <f>IF(A534="","",COUNTIF(PARTICIPACIONES!$B$2:$B$601,A534))</f>
        <v/>
      </c>
      <c r="I534" s="13">
        <f>IF(A534="","",SUMIFS(PARTICIPACIONES!$M$2:$M$601,PARTICIPACIONES!$B$2:$B$601,A534,PARTICIPACIONES!$P$2:$P$601,"&lt;&gt;En ejecución"))</f>
        <v/>
      </c>
      <c r="J534" s="12">
        <f>IF(A534="","",H534+SUMIF($F$2:$F$601,A534,$H$2:$H$601))</f>
        <v/>
      </c>
      <c r="K534" s="13">
        <f>IF(A534="","",I534+SUMIF($F$2:$F$601,A534,$I$2:$I$601))</f>
        <v/>
      </c>
    </row>
    <row r="535">
      <c r="H535" s="12">
        <f>IF(A535="","",COUNTIF(PARTICIPACIONES!$B$2:$B$601,A535))</f>
        <v/>
      </c>
      <c r="I535" s="13">
        <f>IF(A535="","",SUMIFS(PARTICIPACIONES!$M$2:$M$601,PARTICIPACIONES!$B$2:$B$601,A535,PARTICIPACIONES!$P$2:$P$601,"&lt;&gt;En ejecución"))</f>
        <v/>
      </c>
      <c r="J535" s="12">
        <f>IF(A535="","",H535+SUMIF($F$2:$F$601,A535,$H$2:$H$601))</f>
        <v/>
      </c>
      <c r="K535" s="13">
        <f>IF(A535="","",I535+SUMIF($F$2:$F$601,A535,$I$2:$I$601))</f>
        <v/>
      </c>
    </row>
    <row r="536">
      <c r="H536" s="12">
        <f>IF(A536="","",COUNTIF(PARTICIPACIONES!$B$2:$B$601,A536))</f>
        <v/>
      </c>
      <c r="I536" s="13">
        <f>IF(A536="","",SUMIFS(PARTICIPACIONES!$M$2:$M$601,PARTICIPACIONES!$B$2:$B$601,A536,PARTICIPACIONES!$P$2:$P$601,"&lt;&gt;En ejecución"))</f>
        <v/>
      </c>
      <c r="J536" s="12">
        <f>IF(A536="","",H536+SUMIF($F$2:$F$601,A536,$H$2:$H$601))</f>
        <v/>
      </c>
      <c r="K536" s="13">
        <f>IF(A536="","",I536+SUMIF($F$2:$F$601,A536,$I$2:$I$601))</f>
        <v/>
      </c>
    </row>
    <row r="537">
      <c r="H537" s="12">
        <f>IF(A537="","",COUNTIF(PARTICIPACIONES!$B$2:$B$601,A537))</f>
        <v/>
      </c>
      <c r="I537" s="13">
        <f>IF(A537="","",SUMIFS(PARTICIPACIONES!$M$2:$M$601,PARTICIPACIONES!$B$2:$B$601,A537,PARTICIPACIONES!$P$2:$P$601,"&lt;&gt;En ejecución"))</f>
        <v/>
      </c>
      <c r="J537" s="12">
        <f>IF(A537="","",H537+SUMIF($F$2:$F$601,A537,$H$2:$H$601))</f>
        <v/>
      </c>
      <c r="K537" s="13">
        <f>IF(A537="","",I537+SUMIF($F$2:$F$601,A537,$I$2:$I$601))</f>
        <v/>
      </c>
    </row>
    <row r="538">
      <c r="H538" s="12">
        <f>IF(A538="","",COUNTIF(PARTICIPACIONES!$B$2:$B$601,A538))</f>
        <v/>
      </c>
      <c r="I538" s="13">
        <f>IF(A538="","",SUMIFS(PARTICIPACIONES!$M$2:$M$601,PARTICIPACIONES!$B$2:$B$601,A538,PARTICIPACIONES!$P$2:$P$601,"&lt;&gt;En ejecución"))</f>
        <v/>
      </c>
      <c r="J538" s="12">
        <f>IF(A538="","",H538+SUMIF($F$2:$F$601,A538,$H$2:$H$601))</f>
        <v/>
      </c>
      <c r="K538" s="13">
        <f>IF(A538="","",I538+SUMIF($F$2:$F$601,A538,$I$2:$I$601))</f>
        <v/>
      </c>
    </row>
    <row r="539">
      <c r="H539" s="12">
        <f>IF(A539="","",COUNTIF(PARTICIPACIONES!$B$2:$B$601,A539))</f>
        <v/>
      </c>
      <c r="I539" s="13">
        <f>IF(A539="","",SUMIFS(PARTICIPACIONES!$M$2:$M$601,PARTICIPACIONES!$B$2:$B$601,A539,PARTICIPACIONES!$P$2:$P$601,"&lt;&gt;En ejecución"))</f>
        <v/>
      </c>
      <c r="J539" s="12">
        <f>IF(A539="","",H539+SUMIF($F$2:$F$601,A539,$H$2:$H$601))</f>
        <v/>
      </c>
      <c r="K539" s="13">
        <f>IF(A539="","",I539+SUMIF($F$2:$F$601,A539,$I$2:$I$601))</f>
        <v/>
      </c>
    </row>
    <row r="540">
      <c r="H540" s="12">
        <f>IF(A540="","",COUNTIF(PARTICIPACIONES!$B$2:$B$601,A540))</f>
        <v/>
      </c>
      <c r="I540" s="13">
        <f>IF(A540="","",SUMIFS(PARTICIPACIONES!$M$2:$M$601,PARTICIPACIONES!$B$2:$B$601,A540,PARTICIPACIONES!$P$2:$P$601,"&lt;&gt;En ejecución"))</f>
        <v/>
      </c>
      <c r="J540" s="12">
        <f>IF(A540="","",H540+SUMIF($F$2:$F$601,A540,$H$2:$H$601))</f>
        <v/>
      </c>
      <c r="K540" s="13">
        <f>IF(A540="","",I540+SUMIF($F$2:$F$601,A540,$I$2:$I$601))</f>
        <v/>
      </c>
    </row>
    <row r="541">
      <c r="H541" s="12">
        <f>IF(A541="","",COUNTIF(PARTICIPACIONES!$B$2:$B$601,A541))</f>
        <v/>
      </c>
      <c r="I541" s="13">
        <f>IF(A541="","",SUMIFS(PARTICIPACIONES!$M$2:$M$601,PARTICIPACIONES!$B$2:$B$601,A541,PARTICIPACIONES!$P$2:$P$601,"&lt;&gt;En ejecución"))</f>
        <v/>
      </c>
      <c r="J541" s="12">
        <f>IF(A541="","",H541+SUMIF($F$2:$F$601,A541,$H$2:$H$601))</f>
        <v/>
      </c>
      <c r="K541" s="13">
        <f>IF(A541="","",I541+SUMIF($F$2:$F$601,A541,$I$2:$I$601))</f>
        <v/>
      </c>
    </row>
    <row r="542">
      <c r="H542" s="12">
        <f>IF(A542="","",COUNTIF(PARTICIPACIONES!$B$2:$B$601,A542))</f>
        <v/>
      </c>
      <c r="I542" s="13">
        <f>IF(A542="","",SUMIFS(PARTICIPACIONES!$M$2:$M$601,PARTICIPACIONES!$B$2:$B$601,A542,PARTICIPACIONES!$P$2:$P$601,"&lt;&gt;En ejecución"))</f>
        <v/>
      </c>
      <c r="J542" s="12">
        <f>IF(A542="","",H542+SUMIF($F$2:$F$601,A542,$H$2:$H$601))</f>
        <v/>
      </c>
      <c r="K542" s="13">
        <f>IF(A542="","",I542+SUMIF($F$2:$F$601,A542,$I$2:$I$601))</f>
        <v/>
      </c>
    </row>
    <row r="543">
      <c r="H543" s="12">
        <f>IF(A543="","",COUNTIF(PARTICIPACIONES!$B$2:$B$601,A543))</f>
        <v/>
      </c>
      <c r="I543" s="13">
        <f>IF(A543="","",SUMIFS(PARTICIPACIONES!$M$2:$M$601,PARTICIPACIONES!$B$2:$B$601,A543,PARTICIPACIONES!$P$2:$P$601,"&lt;&gt;En ejecución"))</f>
        <v/>
      </c>
      <c r="J543" s="12">
        <f>IF(A543="","",H543+SUMIF($F$2:$F$601,A543,$H$2:$H$601))</f>
        <v/>
      </c>
      <c r="K543" s="13">
        <f>IF(A543="","",I543+SUMIF($F$2:$F$601,A543,$I$2:$I$601))</f>
        <v/>
      </c>
    </row>
    <row r="544">
      <c r="H544" s="12">
        <f>IF(A544="","",COUNTIF(PARTICIPACIONES!$B$2:$B$601,A544))</f>
        <v/>
      </c>
      <c r="I544" s="13">
        <f>IF(A544="","",SUMIFS(PARTICIPACIONES!$M$2:$M$601,PARTICIPACIONES!$B$2:$B$601,A544,PARTICIPACIONES!$P$2:$P$601,"&lt;&gt;En ejecución"))</f>
        <v/>
      </c>
      <c r="J544" s="12">
        <f>IF(A544="","",H544+SUMIF($F$2:$F$601,A544,$H$2:$H$601))</f>
        <v/>
      </c>
      <c r="K544" s="13">
        <f>IF(A544="","",I544+SUMIF($F$2:$F$601,A544,$I$2:$I$601))</f>
        <v/>
      </c>
    </row>
    <row r="545">
      <c r="H545" s="12">
        <f>IF(A545="","",COUNTIF(PARTICIPACIONES!$B$2:$B$601,A545))</f>
        <v/>
      </c>
      <c r="I545" s="13">
        <f>IF(A545="","",SUMIFS(PARTICIPACIONES!$M$2:$M$601,PARTICIPACIONES!$B$2:$B$601,A545,PARTICIPACIONES!$P$2:$P$601,"&lt;&gt;En ejecución"))</f>
        <v/>
      </c>
      <c r="J545" s="12">
        <f>IF(A545="","",H545+SUMIF($F$2:$F$601,A545,$H$2:$H$601))</f>
        <v/>
      </c>
      <c r="K545" s="13">
        <f>IF(A545="","",I545+SUMIF($F$2:$F$601,A545,$I$2:$I$601))</f>
        <v/>
      </c>
    </row>
    <row r="546">
      <c r="H546" s="12">
        <f>IF(A546="","",COUNTIF(PARTICIPACIONES!$B$2:$B$601,A546))</f>
        <v/>
      </c>
      <c r="I546" s="13">
        <f>IF(A546="","",SUMIFS(PARTICIPACIONES!$M$2:$M$601,PARTICIPACIONES!$B$2:$B$601,A546,PARTICIPACIONES!$P$2:$P$601,"&lt;&gt;En ejecución"))</f>
        <v/>
      </c>
      <c r="J546" s="12">
        <f>IF(A546="","",H546+SUMIF($F$2:$F$601,A546,$H$2:$H$601))</f>
        <v/>
      </c>
      <c r="K546" s="13">
        <f>IF(A546="","",I546+SUMIF($F$2:$F$601,A546,$I$2:$I$601))</f>
        <v/>
      </c>
    </row>
    <row r="547">
      <c r="H547" s="12">
        <f>IF(A547="","",COUNTIF(PARTICIPACIONES!$B$2:$B$601,A547))</f>
        <v/>
      </c>
      <c r="I547" s="13">
        <f>IF(A547="","",SUMIFS(PARTICIPACIONES!$M$2:$M$601,PARTICIPACIONES!$B$2:$B$601,A547,PARTICIPACIONES!$P$2:$P$601,"&lt;&gt;En ejecución"))</f>
        <v/>
      </c>
      <c r="J547" s="12">
        <f>IF(A547="","",H547+SUMIF($F$2:$F$601,A547,$H$2:$H$601))</f>
        <v/>
      </c>
      <c r="K547" s="13">
        <f>IF(A547="","",I547+SUMIF($F$2:$F$601,A547,$I$2:$I$601))</f>
        <v/>
      </c>
    </row>
    <row r="548">
      <c r="H548" s="12">
        <f>IF(A548="","",COUNTIF(PARTICIPACIONES!$B$2:$B$601,A548))</f>
        <v/>
      </c>
      <c r="I548" s="13">
        <f>IF(A548="","",SUMIFS(PARTICIPACIONES!$M$2:$M$601,PARTICIPACIONES!$B$2:$B$601,A548,PARTICIPACIONES!$P$2:$P$601,"&lt;&gt;En ejecución"))</f>
        <v/>
      </c>
      <c r="J548" s="12">
        <f>IF(A548="","",H548+SUMIF($F$2:$F$601,A548,$H$2:$H$601))</f>
        <v/>
      </c>
      <c r="K548" s="13">
        <f>IF(A548="","",I548+SUMIF($F$2:$F$601,A548,$I$2:$I$601))</f>
        <v/>
      </c>
    </row>
    <row r="549">
      <c r="H549" s="12">
        <f>IF(A549="","",COUNTIF(PARTICIPACIONES!$B$2:$B$601,A549))</f>
        <v/>
      </c>
      <c r="I549" s="13">
        <f>IF(A549="","",SUMIFS(PARTICIPACIONES!$M$2:$M$601,PARTICIPACIONES!$B$2:$B$601,A549,PARTICIPACIONES!$P$2:$P$601,"&lt;&gt;En ejecución"))</f>
        <v/>
      </c>
      <c r="J549" s="12">
        <f>IF(A549="","",H549+SUMIF($F$2:$F$601,A549,$H$2:$H$601))</f>
        <v/>
      </c>
      <c r="K549" s="13">
        <f>IF(A549="","",I549+SUMIF($F$2:$F$601,A549,$I$2:$I$601))</f>
        <v/>
      </c>
    </row>
    <row r="550">
      <c r="H550" s="12">
        <f>IF(A550="","",COUNTIF(PARTICIPACIONES!$B$2:$B$601,A550))</f>
        <v/>
      </c>
      <c r="I550" s="13">
        <f>IF(A550="","",SUMIFS(PARTICIPACIONES!$M$2:$M$601,PARTICIPACIONES!$B$2:$B$601,A550,PARTICIPACIONES!$P$2:$P$601,"&lt;&gt;En ejecución"))</f>
        <v/>
      </c>
      <c r="J550" s="12">
        <f>IF(A550="","",H550+SUMIF($F$2:$F$601,A550,$H$2:$H$601))</f>
        <v/>
      </c>
      <c r="K550" s="13">
        <f>IF(A550="","",I550+SUMIF($F$2:$F$601,A550,$I$2:$I$601))</f>
        <v/>
      </c>
    </row>
    <row r="551">
      <c r="H551" s="12">
        <f>IF(A551="","",COUNTIF(PARTICIPACIONES!$B$2:$B$601,A551))</f>
        <v/>
      </c>
      <c r="I551" s="13">
        <f>IF(A551="","",SUMIFS(PARTICIPACIONES!$M$2:$M$601,PARTICIPACIONES!$B$2:$B$601,A551,PARTICIPACIONES!$P$2:$P$601,"&lt;&gt;En ejecución"))</f>
        <v/>
      </c>
      <c r="J551" s="12">
        <f>IF(A551="","",H551+SUMIF($F$2:$F$601,A551,$H$2:$H$601))</f>
        <v/>
      </c>
      <c r="K551" s="13">
        <f>IF(A551="","",I551+SUMIF($F$2:$F$601,A551,$I$2:$I$601))</f>
        <v/>
      </c>
    </row>
    <row r="552">
      <c r="H552" s="12">
        <f>IF(A552="","",COUNTIF(PARTICIPACIONES!$B$2:$B$601,A552))</f>
        <v/>
      </c>
      <c r="I552" s="13">
        <f>IF(A552="","",SUMIFS(PARTICIPACIONES!$M$2:$M$601,PARTICIPACIONES!$B$2:$B$601,A552,PARTICIPACIONES!$P$2:$P$601,"&lt;&gt;En ejecución"))</f>
        <v/>
      </c>
      <c r="J552" s="12">
        <f>IF(A552="","",H552+SUMIF($F$2:$F$601,A552,$H$2:$H$601))</f>
        <v/>
      </c>
      <c r="K552" s="13">
        <f>IF(A552="","",I552+SUMIF($F$2:$F$601,A552,$I$2:$I$601))</f>
        <v/>
      </c>
    </row>
    <row r="553">
      <c r="H553" s="12">
        <f>IF(A553="","",COUNTIF(PARTICIPACIONES!$B$2:$B$601,A553))</f>
        <v/>
      </c>
      <c r="I553" s="13">
        <f>IF(A553="","",SUMIFS(PARTICIPACIONES!$M$2:$M$601,PARTICIPACIONES!$B$2:$B$601,A553,PARTICIPACIONES!$P$2:$P$601,"&lt;&gt;En ejecución"))</f>
        <v/>
      </c>
      <c r="J553" s="12">
        <f>IF(A553="","",H553+SUMIF($F$2:$F$601,A553,$H$2:$H$601))</f>
        <v/>
      </c>
      <c r="K553" s="13">
        <f>IF(A553="","",I553+SUMIF($F$2:$F$601,A553,$I$2:$I$601))</f>
        <v/>
      </c>
    </row>
    <row r="554">
      <c r="H554" s="12">
        <f>IF(A554="","",COUNTIF(PARTICIPACIONES!$B$2:$B$601,A554))</f>
        <v/>
      </c>
      <c r="I554" s="13">
        <f>IF(A554="","",SUMIFS(PARTICIPACIONES!$M$2:$M$601,PARTICIPACIONES!$B$2:$B$601,A554,PARTICIPACIONES!$P$2:$P$601,"&lt;&gt;En ejecución"))</f>
        <v/>
      </c>
      <c r="J554" s="12">
        <f>IF(A554="","",H554+SUMIF($F$2:$F$601,A554,$H$2:$H$601))</f>
        <v/>
      </c>
      <c r="K554" s="13">
        <f>IF(A554="","",I554+SUMIF($F$2:$F$601,A554,$I$2:$I$601))</f>
        <v/>
      </c>
    </row>
    <row r="555">
      <c r="H555" s="12">
        <f>IF(A555="","",COUNTIF(PARTICIPACIONES!$B$2:$B$601,A555))</f>
        <v/>
      </c>
      <c r="I555" s="13">
        <f>IF(A555="","",SUMIFS(PARTICIPACIONES!$M$2:$M$601,PARTICIPACIONES!$B$2:$B$601,A555,PARTICIPACIONES!$P$2:$P$601,"&lt;&gt;En ejecución"))</f>
        <v/>
      </c>
      <c r="J555" s="12">
        <f>IF(A555="","",H555+SUMIF($F$2:$F$601,A555,$H$2:$H$601))</f>
        <v/>
      </c>
      <c r="K555" s="13">
        <f>IF(A555="","",I555+SUMIF($F$2:$F$601,A555,$I$2:$I$601))</f>
        <v/>
      </c>
    </row>
    <row r="556">
      <c r="H556" s="12">
        <f>IF(A556="","",COUNTIF(PARTICIPACIONES!$B$2:$B$601,A556))</f>
        <v/>
      </c>
      <c r="I556" s="13">
        <f>IF(A556="","",SUMIFS(PARTICIPACIONES!$M$2:$M$601,PARTICIPACIONES!$B$2:$B$601,A556,PARTICIPACIONES!$P$2:$P$601,"&lt;&gt;En ejecución"))</f>
        <v/>
      </c>
      <c r="J556" s="12">
        <f>IF(A556="","",H556+SUMIF($F$2:$F$601,A556,$H$2:$H$601))</f>
        <v/>
      </c>
      <c r="K556" s="13">
        <f>IF(A556="","",I556+SUMIF($F$2:$F$601,A556,$I$2:$I$601))</f>
        <v/>
      </c>
    </row>
    <row r="557">
      <c r="H557" s="12">
        <f>IF(A557="","",COUNTIF(PARTICIPACIONES!$B$2:$B$601,A557))</f>
        <v/>
      </c>
      <c r="I557" s="13">
        <f>IF(A557="","",SUMIFS(PARTICIPACIONES!$M$2:$M$601,PARTICIPACIONES!$B$2:$B$601,A557,PARTICIPACIONES!$P$2:$P$601,"&lt;&gt;En ejecución"))</f>
        <v/>
      </c>
      <c r="J557" s="12">
        <f>IF(A557="","",H557+SUMIF($F$2:$F$601,A557,$H$2:$H$601))</f>
        <v/>
      </c>
      <c r="K557" s="13">
        <f>IF(A557="","",I557+SUMIF($F$2:$F$601,A557,$I$2:$I$601))</f>
        <v/>
      </c>
    </row>
    <row r="558">
      <c r="H558" s="12">
        <f>IF(A558="","",COUNTIF(PARTICIPACIONES!$B$2:$B$601,A558))</f>
        <v/>
      </c>
      <c r="I558" s="13">
        <f>IF(A558="","",SUMIFS(PARTICIPACIONES!$M$2:$M$601,PARTICIPACIONES!$B$2:$B$601,A558,PARTICIPACIONES!$P$2:$P$601,"&lt;&gt;En ejecución"))</f>
        <v/>
      </c>
      <c r="J558" s="12">
        <f>IF(A558="","",H558+SUMIF($F$2:$F$601,A558,$H$2:$H$601))</f>
        <v/>
      </c>
      <c r="K558" s="13">
        <f>IF(A558="","",I558+SUMIF($F$2:$F$601,A558,$I$2:$I$601))</f>
        <v/>
      </c>
    </row>
    <row r="559">
      <c r="H559" s="12">
        <f>IF(A559="","",COUNTIF(PARTICIPACIONES!$B$2:$B$601,A559))</f>
        <v/>
      </c>
      <c r="I559" s="13">
        <f>IF(A559="","",SUMIFS(PARTICIPACIONES!$M$2:$M$601,PARTICIPACIONES!$B$2:$B$601,A559,PARTICIPACIONES!$P$2:$P$601,"&lt;&gt;En ejecución"))</f>
        <v/>
      </c>
      <c r="J559" s="12">
        <f>IF(A559="","",H559+SUMIF($F$2:$F$601,A559,$H$2:$H$601))</f>
        <v/>
      </c>
      <c r="K559" s="13">
        <f>IF(A559="","",I559+SUMIF($F$2:$F$601,A559,$I$2:$I$601))</f>
        <v/>
      </c>
    </row>
    <row r="560">
      <c r="H560" s="12">
        <f>IF(A560="","",COUNTIF(PARTICIPACIONES!$B$2:$B$601,A560))</f>
        <v/>
      </c>
      <c r="I560" s="13">
        <f>IF(A560="","",SUMIFS(PARTICIPACIONES!$M$2:$M$601,PARTICIPACIONES!$B$2:$B$601,A560,PARTICIPACIONES!$P$2:$P$601,"&lt;&gt;En ejecución"))</f>
        <v/>
      </c>
      <c r="J560" s="12">
        <f>IF(A560="","",H560+SUMIF($F$2:$F$601,A560,$H$2:$H$601))</f>
        <v/>
      </c>
      <c r="K560" s="13">
        <f>IF(A560="","",I560+SUMIF($F$2:$F$601,A560,$I$2:$I$601))</f>
        <v/>
      </c>
    </row>
    <row r="561">
      <c r="H561" s="12">
        <f>IF(A561="","",COUNTIF(PARTICIPACIONES!$B$2:$B$601,A561))</f>
        <v/>
      </c>
      <c r="I561" s="13">
        <f>IF(A561="","",SUMIFS(PARTICIPACIONES!$M$2:$M$601,PARTICIPACIONES!$B$2:$B$601,A561,PARTICIPACIONES!$P$2:$P$601,"&lt;&gt;En ejecución"))</f>
        <v/>
      </c>
      <c r="J561" s="12">
        <f>IF(A561="","",H561+SUMIF($F$2:$F$601,A561,$H$2:$H$601))</f>
        <v/>
      </c>
      <c r="K561" s="13">
        <f>IF(A561="","",I561+SUMIF($F$2:$F$601,A561,$I$2:$I$601))</f>
        <v/>
      </c>
    </row>
    <row r="562">
      <c r="H562" s="12">
        <f>IF(A562="","",COUNTIF(PARTICIPACIONES!$B$2:$B$601,A562))</f>
        <v/>
      </c>
      <c r="I562" s="13">
        <f>IF(A562="","",SUMIFS(PARTICIPACIONES!$M$2:$M$601,PARTICIPACIONES!$B$2:$B$601,A562,PARTICIPACIONES!$P$2:$P$601,"&lt;&gt;En ejecución"))</f>
        <v/>
      </c>
      <c r="J562" s="12">
        <f>IF(A562="","",H562+SUMIF($F$2:$F$601,A562,$H$2:$H$601))</f>
        <v/>
      </c>
      <c r="K562" s="13">
        <f>IF(A562="","",I562+SUMIF($F$2:$F$601,A562,$I$2:$I$601))</f>
        <v/>
      </c>
    </row>
    <row r="563">
      <c r="H563" s="12">
        <f>IF(A563="","",COUNTIF(PARTICIPACIONES!$B$2:$B$601,A563))</f>
        <v/>
      </c>
      <c r="I563" s="13">
        <f>IF(A563="","",SUMIFS(PARTICIPACIONES!$M$2:$M$601,PARTICIPACIONES!$B$2:$B$601,A563,PARTICIPACIONES!$P$2:$P$601,"&lt;&gt;En ejecución"))</f>
        <v/>
      </c>
      <c r="J563" s="12">
        <f>IF(A563="","",H563+SUMIF($F$2:$F$601,A563,$H$2:$H$601))</f>
        <v/>
      </c>
      <c r="K563" s="13">
        <f>IF(A563="","",I563+SUMIF($F$2:$F$601,A563,$I$2:$I$601))</f>
        <v/>
      </c>
    </row>
    <row r="564">
      <c r="H564" s="12">
        <f>IF(A564="","",COUNTIF(PARTICIPACIONES!$B$2:$B$601,A564))</f>
        <v/>
      </c>
      <c r="I564" s="13">
        <f>IF(A564="","",SUMIFS(PARTICIPACIONES!$M$2:$M$601,PARTICIPACIONES!$B$2:$B$601,A564,PARTICIPACIONES!$P$2:$P$601,"&lt;&gt;En ejecución"))</f>
        <v/>
      </c>
      <c r="J564" s="12">
        <f>IF(A564="","",H564+SUMIF($F$2:$F$601,A564,$H$2:$H$601))</f>
        <v/>
      </c>
      <c r="K564" s="13">
        <f>IF(A564="","",I564+SUMIF($F$2:$F$601,A564,$I$2:$I$601))</f>
        <v/>
      </c>
    </row>
    <row r="565">
      <c r="H565" s="12">
        <f>IF(A565="","",COUNTIF(PARTICIPACIONES!$B$2:$B$601,A565))</f>
        <v/>
      </c>
      <c r="I565" s="13">
        <f>IF(A565="","",SUMIFS(PARTICIPACIONES!$M$2:$M$601,PARTICIPACIONES!$B$2:$B$601,A565,PARTICIPACIONES!$P$2:$P$601,"&lt;&gt;En ejecución"))</f>
        <v/>
      </c>
      <c r="J565" s="12">
        <f>IF(A565="","",H565+SUMIF($F$2:$F$601,A565,$H$2:$H$601))</f>
        <v/>
      </c>
      <c r="K565" s="13">
        <f>IF(A565="","",I565+SUMIF($F$2:$F$601,A565,$I$2:$I$601))</f>
        <v/>
      </c>
    </row>
    <row r="566">
      <c r="H566" s="12">
        <f>IF(A566="","",COUNTIF(PARTICIPACIONES!$B$2:$B$601,A566))</f>
        <v/>
      </c>
      <c r="I566" s="13">
        <f>IF(A566="","",SUMIFS(PARTICIPACIONES!$M$2:$M$601,PARTICIPACIONES!$B$2:$B$601,A566,PARTICIPACIONES!$P$2:$P$601,"&lt;&gt;En ejecución"))</f>
        <v/>
      </c>
      <c r="J566" s="12">
        <f>IF(A566="","",H566+SUMIF($F$2:$F$601,A566,$H$2:$H$601))</f>
        <v/>
      </c>
      <c r="K566" s="13">
        <f>IF(A566="","",I566+SUMIF($F$2:$F$601,A566,$I$2:$I$601))</f>
        <v/>
      </c>
    </row>
    <row r="567">
      <c r="H567" s="12">
        <f>IF(A567="","",COUNTIF(PARTICIPACIONES!$B$2:$B$601,A567))</f>
        <v/>
      </c>
      <c r="I567" s="13">
        <f>IF(A567="","",SUMIFS(PARTICIPACIONES!$M$2:$M$601,PARTICIPACIONES!$B$2:$B$601,A567,PARTICIPACIONES!$P$2:$P$601,"&lt;&gt;En ejecución"))</f>
        <v/>
      </c>
      <c r="J567" s="12">
        <f>IF(A567="","",H567+SUMIF($F$2:$F$601,A567,$H$2:$H$601))</f>
        <v/>
      </c>
      <c r="K567" s="13">
        <f>IF(A567="","",I567+SUMIF($F$2:$F$601,A567,$I$2:$I$601))</f>
        <v/>
      </c>
    </row>
    <row r="568">
      <c r="H568" s="12">
        <f>IF(A568="","",COUNTIF(PARTICIPACIONES!$B$2:$B$601,A568))</f>
        <v/>
      </c>
      <c r="I568" s="13">
        <f>IF(A568="","",SUMIFS(PARTICIPACIONES!$M$2:$M$601,PARTICIPACIONES!$B$2:$B$601,A568,PARTICIPACIONES!$P$2:$P$601,"&lt;&gt;En ejecución"))</f>
        <v/>
      </c>
      <c r="J568" s="12">
        <f>IF(A568="","",H568+SUMIF($F$2:$F$601,A568,$H$2:$H$601))</f>
        <v/>
      </c>
      <c r="K568" s="13">
        <f>IF(A568="","",I568+SUMIF($F$2:$F$601,A568,$I$2:$I$601))</f>
        <v/>
      </c>
    </row>
    <row r="569">
      <c r="H569" s="12">
        <f>IF(A569="","",COUNTIF(PARTICIPACIONES!$B$2:$B$601,A569))</f>
        <v/>
      </c>
      <c r="I569" s="13">
        <f>IF(A569="","",SUMIFS(PARTICIPACIONES!$M$2:$M$601,PARTICIPACIONES!$B$2:$B$601,A569,PARTICIPACIONES!$P$2:$P$601,"&lt;&gt;En ejecución"))</f>
        <v/>
      </c>
      <c r="J569" s="12">
        <f>IF(A569="","",H569+SUMIF($F$2:$F$601,A569,$H$2:$H$601))</f>
        <v/>
      </c>
      <c r="K569" s="13">
        <f>IF(A569="","",I569+SUMIF($F$2:$F$601,A569,$I$2:$I$601))</f>
        <v/>
      </c>
    </row>
    <row r="570">
      <c r="H570" s="12">
        <f>IF(A570="","",COUNTIF(PARTICIPACIONES!$B$2:$B$601,A570))</f>
        <v/>
      </c>
      <c r="I570" s="13">
        <f>IF(A570="","",SUMIFS(PARTICIPACIONES!$M$2:$M$601,PARTICIPACIONES!$B$2:$B$601,A570,PARTICIPACIONES!$P$2:$P$601,"&lt;&gt;En ejecución"))</f>
        <v/>
      </c>
      <c r="J570" s="12">
        <f>IF(A570="","",H570+SUMIF($F$2:$F$601,A570,$H$2:$H$601))</f>
        <v/>
      </c>
      <c r="K570" s="13">
        <f>IF(A570="","",I570+SUMIF($F$2:$F$601,A570,$I$2:$I$601))</f>
        <v/>
      </c>
    </row>
    <row r="571">
      <c r="H571" s="12">
        <f>IF(A571="","",COUNTIF(PARTICIPACIONES!$B$2:$B$601,A571))</f>
        <v/>
      </c>
      <c r="I571" s="13">
        <f>IF(A571="","",SUMIFS(PARTICIPACIONES!$M$2:$M$601,PARTICIPACIONES!$B$2:$B$601,A571,PARTICIPACIONES!$P$2:$P$601,"&lt;&gt;En ejecución"))</f>
        <v/>
      </c>
      <c r="J571" s="12">
        <f>IF(A571="","",H571+SUMIF($F$2:$F$601,A571,$H$2:$H$601))</f>
        <v/>
      </c>
      <c r="K571" s="13">
        <f>IF(A571="","",I571+SUMIF($F$2:$F$601,A571,$I$2:$I$601))</f>
        <v/>
      </c>
    </row>
    <row r="572">
      <c r="H572" s="12">
        <f>IF(A572="","",COUNTIF(PARTICIPACIONES!$B$2:$B$601,A572))</f>
        <v/>
      </c>
      <c r="I572" s="13">
        <f>IF(A572="","",SUMIFS(PARTICIPACIONES!$M$2:$M$601,PARTICIPACIONES!$B$2:$B$601,A572,PARTICIPACIONES!$P$2:$P$601,"&lt;&gt;En ejecución"))</f>
        <v/>
      </c>
      <c r="J572" s="12">
        <f>IF(A572="","",H572+SUMIF($F$2:$F$601,A572,$H$2:$H$601))</f>
        <v/>
      </c>
      <c r="K572" s="13">
        <f>IF(A572="","",I572+SUMIF($F$2:$F$601,A572,$I$2:$I$601))</f>
        <v/>
      </c>
    </row>
    <row r="573">
      <c r="H573" s="12">
        <f>IF(A573="","",COUNTIF(PARTICIPACIONES!$B$2:$B$601,A573))</f>
        <v/>
      </c>
      <c r="I573" s="13">
        <f>IF(A573="","",SUMIFS(PARTICIPACIONES!$M$2:$M$601,PARTICIPACIONES!$B$2:$B$601,A573,PARTICIPACIONES!$P$2:$P$601,"&lt;&gt;En ejecución"))</f>
        <v/>
      </c>
      <c r="J573" s="12">
        <f>IF(A573="","",H573+SUMIF($F$2:$F$601,A573,$H$2:$H$601))</f>
        <v/>
      </c>
      <c r="K573" s="13">
        <f>IF(A573="","",I573+SUMIF($F$2:$F$601,A573,$I$2:$I$601))</f>
        <v/>
      </c>
    </row>
    <row r="574">
      <c r="H574" s="12">
        <f>IF(A574="","",COUNTIF(PARTICIPACIONES!$B$2:$B$601,A574))</f>
        <v/>
      </c>
      <c r="I574" s="13">
        <f>IF(A574="","",SUMIFS(PARTICIPACIONES!$M$2:$M$601,PARTICIPACIONES!$B$2:$B$601,A574,PARTICIPACIONES!$P$2:$P$601,"&lt;&gt;En ejecución"))</f>
        <v/>
      </c>
      <c r="J574" s="12">
        <f>IF(A574="","",H574+SUMIF($F$2:$F$601,A574,$H$2:$H$601))</f>
        <v/>
      </c>
      <c r="K574" s="13">
        <f>IF(A574="","",I574+SUMIF($F$2:$F$601,A574,$I$2:$I$601))</f>
        <v/>
      </c>
    </row>
    <row r="575">
      <c r="H575" s="12">
        <f>IF(A575="","",COUNTIF(PARTICIPACIONES!$B$2:$B$601,A575))</f>
        <v/>
      </c>
      <c r="I575" s="13">
        <f>IF(A575="","",SUMIFS(PARTICIPACIONES!$M$2:$M$601,PARTICIPACIONES!$B$2:$B$601,A575,PARTICIPACIONES!$P$2:$P$601,"&lt;&gt;En ejecución"))</f>
        <v/>
      </c>
      <c r="J575" s="12">
        <f>IF(A575="","",H575+SUMIF($F$2:$F$601,A575,$H$2:$H$601))</f>
        <v/>
      </c>
      <c r="K575" s="13">
        <f>IF(A575="","",I575+SUMIF($F$2:$F$601,A575,$I$2:$I$601))</f>
        <v/>
      </c>
    </row>
    <row r="576">
      <c r="H576" s="12">
        <f>IF(A576="","",COUNTIF(PARTICIPACIONES!$B$2:$B$601,A576))</f>
        <v/>
      </c>
      <c r="I576" s="13">
        <f>IF(A576="","",SUMIFS(PARTICIPACIONES!$M$2:$M$601,PARTICIPACIONES!$B$2:$B$601,A576,PARTICIPACIONES!$P$2:$P$601,"&lt;&gt;En ejecución"))</f>
        <v/>
      </c>
      <c r="J576" s="12">
        <f>IF(A576="","",H576+SUMIF($F$2:$F$601,A576,$H$2:$H$601))</f>
        <v/>
      </c>
      <c r="K576" s="13">
        <f>IF(A576="","",I576+SUMIF($F$2:$F$601,A576,$I$2:$I$601))</f>
        <v/>
      </c>
    </row>
    <row r="577">
      <c r="H577" s="12">
        <f>IF(A577="","",COUNTIF(PARTICIPACIONES!$B$2:$B$601,A577))</f>
        <v/>
      </c>
      <c r="I577" s="13">
        <f>IF(A577="","",SUMIFS(PARTICIPACIONES!$M$2:$M$601,PARTICIPACIONES!$B$2:$B$601,A577,PARTICIPACIONES!$P$2:$P$601,"&lt;&gt;En ejecución"))</f>
        <v/>
      </c>
      <c r="J577" s="12">
        <f>IF(A577="","",H577+SUMIF($F$2:$F$601,A577,$H$2:$H$601))</f>
        <v/>
      </c>
      <c r="K577" s="13">
        <f>IF(A577="","",I577+SUMIF($F$2:$F$601,A577,$I$2:$I$601))</f>
        <v/>
      </c>
    </row>
    <row r="578">
      <c r="H578" s="12">
        <f>IF(A578="","",COUNTIF(PARTICIPACIONES!$B$2:$B$601,A578))</f>
        <v/>
      </c>
      <c r="I578" s="13">
        <f>IF(A578="","",SUMIFS(PARTICIPACIONES!$M$2:$M$601,PARTICIPACIONES!$B$2:$B$601,A578,PARTICIPACIONES!$P$2:$P$601,"&lt;&gt;En ejecución"))</f>
        <v/>
      </c>
      <c r="J578" s="12">
        <f>IF(A578="","",H578+SUMIF($F$2:$F$601,A578,$H$2:$H$601))</f>
        <v/>
      </c>
      <c r="K578" s="13">
        <f>IF(A578="","",I578+SUMIF($F$2:$F$601,A578,$I$2:$I$601))</f>
        <v/>
      </c>
    </row>
    <row r="579">
      <c r="H579" s="12">
        <f>IF(A579="","",COUNTIF(PARTICIPACIONES!$B$2:$B$601,A579))</f>
        <v/>
      </c>
      <c r="I579" s="13">
        <f>IF(A579="","",SUMIFS(PARTICIPACIONES!$M$2:$M$601,PARTICIPACIONES!$B$2:$B$601,A579,PARTICIPACIONES!$P$2:$P$601,"&lt;&gt;En ejecución"))</f>
        <v/>
      </c>
      <c r="J579" s="12">
        <f>IF(A579="","",H579+SUMIF($F$2:$F$601,A579,$H$2:$H$601))</f>
        <v/>
      </c>
      <c r="K579" s="13">
        <f>IF(A579="","",I579+SUMIF($F$2:$F$601,A579,$I$2:$I$601))</f>
        <v/>
      </c>
    </row>
    <row r="580">
      <c r="H580" s="12">
        <f>IF(A580="","",COUNTIF(PARTICIPACIONES!$B$2:$B$601,A580))</f>
        <v/>
      </c>
      <c r="I580" s="13">
        <f>IF(A580="","",SUMIFS(PARTICIPACIONES!$M$2:$M$601,PARTICIPACIONES!$B$2:$B$601,A580,PARTICIPACIONES!$P$2:$P$601,"&lt;&gt;En ejecución"))</f>
        <v/>
      </c>
      <c r="J580" s="12">
        <f>IF(A580="","",H580+SUMIF($F$2:$F$601,A580,$H$2:$H$601))</f>
        <v/>
      </c>
      <c r="K580" s="13">
        <f>IF(A580="","",I580+SUMIF($F$2:$F$601,A580,$I$2:$I$601))</f>
        <v/>
      </c>
    </row>
    <row r="581">
      <c r="H581" s="12">
        <f>IF(A581="","",COUNTIF(PARTICIPACIONES!$B$2:$B$601,A581))</f>
        <v/>
      </c>
      <c r="I581" s="13">
        <f>IF(A581="","",SUMIFS(PARTICIPACIONES!$M$2:$M$601,PARTICIPACIONES!$B$2:$B$601,A581,PARTICIPACIONES!$P$2:$P$601,"&lt;&gt;En ejecución"))</f>
        <v/>
      </c>
      <c r="J581" s="12">
        <f>IF(A581="","",H581+SUMIF($F$2:$F$601,A581,$H$2:$H$601))</f>
        <v/>
      </c>
      <c r="K581" s="13">
        <f>IF(A581="","",I581+SUMIF($F$2:$F$601,A581,$I$2:$I$601))</f>
        <v/>
      </c>
    </row>
    <row r="582">
      <c r="H582" s="12">
        <f>IF(A582="","",COUNTIF(PARTICIPACIONES!$B$2:$B$601,A582))</f>
        <v/>
      </c>
      <c r="I582" s="13">
        <f>IF(A582="","",SUMIFS(PARTICIPACIONES!$M$2:$M$601,PARTICIPACIONES!$B$2:$B$601,A582,PARTICIPACIONES!$P$2:$P$601,"&lt;&gt;En ejecución"))</f>
        <v/>
      </c>
      <c r="J582" s="12">
        <f>IF(A582="","",H582+SUMIF($F$2:$F$601,A582,$H$2:$H$601))</f>
        <v/>
      </c>
      <c r="K582" s="13">
        <f>IF(A582="","",I582+SUMIF($F$2:$F$601,A582,$I$2:$I$601))</f>
        <v/>
      </c>
    </row>
    <row r="583">
      <c r="H583" s="12">
        <f>IF(A583="","",COUNTIF(PARTICIPACIONES!$B$2:$B$601,A583))</f>
        <v/>
      </c>
      <c r="I583" s="13">
        <f>IF(A583="","",SUMIFS(PARTICIPACIONES!$M$2:$M$601,PARTICIPACIONES!$B$2:$B$601,A583,PARTICIPACIONES!$P$2:$P$601,"&lt;&gt;En ejecución"))</f>
        <v/>
      </c>
      <c r="J583" s="12">
        <f>IF(A583="","",H583+SUMIF($F$2:$F$601,A583,$H$2:$H$601))</f>
        <v/>
      </c>
      <c r="K583" s="13">
        <f>IF(A583="","",I583+SUMIF($F$2:$F$601,A583,$I$2:$I$601))</f>
        <v/>
      </c>
    </row>
    <row r="584">
      <c r="H584" s="12">
        <f>IF(A584="","",COUNTIF(PARTICIPACIONES!$B$2:$B$601,A584))</f>
        <v/>
      </c>
      <c r="I584" s="13">
        <f>IF(A584="","",SUMIFS(PARTICIPACIONES!$M$2:$M$601,PARTICIPACIONES!$B$2:$B$601,A584,PARTICIPACIONES!$P$2:$P$601,"&lt;&gt;En ejecución"))</f>
        <v/>
      </c>
      <c r="J584" s="12">
        <f>IF(A584="","",H584+SUMIF($F$2:$F$601,A584,$H$2:$H$601))</f>
        <v/>
      </c>
      <c r="K584" s="13">
        <f>IF(A584="","",I584+SUMIF($F$2:$F$601,A584,$I$2:$I$601))</f>
        <v/>
      </c>
    </row>
    <row r="585">
      <c r="H585" s="12">
        <f>IF(A585="","",COUNTIF(PARTICIPACIONES!$B$2:$B$601,A585))</f>
        <v/>
      </c>
      <c r="I585" s="13">
        <f>IF(A585="","",SUMIFS(PARTICIPACIONES!$M$2:$M$601,PARTICIPACIONES!$B$2:$B$601,A585,PARTICIPACIONES!$P$2:$P$601,"&lt;&gt;En ejecución"))</f>
        <v/>
      </c>
      <c r="J585" s="12">
        <f>IF(A585="","",H585+SUMIF($F$2:$F$601,A585,$H$2:$H$601))</f>
        <v/>
      </c>
      <c r="K585" s="13">
        <f>IF(A585="","",I585+SUMIF($F$2:$F$601,A585,$I$2:$I$601))</f>
        <v/>
      </c>
    </row>
    <row r="586">
      <c r="H586" s="12">
        <f>IF(A586="","",COUNTIF(PARTICIPACIONES!$B$2:$B$601,A586))</f>
        <v/>
      </c>
      <c r="I586" s="13">
        <f>IF(A586="","",SUMIFS(PARTICIPACIONES!$M$2:$M$601,PARTICIPACIONES!$B$2:$B$601,A586,PARTICIPACIONES!$P$2:$P$601,"&lt;&gt;En ejecución"))</f>
        <v/>
      </c>
      <c r="J586" s="12">
        <f>IF(A586="","",H586+SUMIF($F$2:$F$601,A586,$H$2:$H$601))</f>
        <v/>
      </c>
      <c r="K586" s="13">
        <f>IF(A586="","",I586+SUMIF($F$2:$F$601,A586,$I$2:$I$601))</f>
        <v/>
      </c>
    </row>
    <row r="587">
      <c r="H587" s="12">
        <f>IF(A587="","",COUNTIF(PARTICIPACIONES!$B$2:$B$601,A587))</f>
        <v/>
      </c>
      <c r="I587" s="13">
        <f>IF(A587="","",SUMIFS(PARTICIPACIONES!$M$2:$M$601,PARTICIPACIONES!$B$2:$B$601,A587,PARTICIPACIONES!$P$2:$P$601,"&lt;&gt;En ejecución"))</f>
        <v/>
      </c>
      <c r="J587" s="12">
        <f>IF(A587="","",H587+SUMIF($F$2:$F$601,A587,$H$2:$H$601))</f>
        <v/>
      </c>
      <c r="K587" s="13">
        <f>IF(A587="","",I587+SUMIF($F$2:$F$601,A587,$I$2:$I$601))</f>
        <v/>
      </c>
    </row>
    <row r="588">
      <c r="H588" s="12">
        <f>IF(A588="","",COUNTIF(PARTICIPACIONES!$B$2:$B$601,A588))</f>
        <v/>
      </c>
      <c r="I588" s="13">
        <f>IF(A588="","",SUMIFS(PARTICIPACIONES!$M$2:$M$601,PARTICIPACIONES!$B$2:$B$601,A588,PARTICIPACIONES!$P$2:$P$601,"&lt;&gt;En ejecución"))</f>
        <v/>
      </c>
      <c r="J588" s="12">
        <f>IF(A588="","",H588+SUMIF($F$2:$F$601,A588,$H$2:$H$601))</f>
        <v/>
      </c>
      <c r="K588" s="13">
        <f>IF(A588="","",I588+SUMIF($F$2:$F$601,A588,$I$2:$I$601))</f>
        <v/>
      </c>
    </row>
    <row r="589">
      <c r="H589" s="12">
        <f>IF(A589="","",COUNTIF(PARTICIPACIONES!$B$2:$B$601,A589))</f>
        <v/>
      </c>
      <c r="I589" s="13">
        <f>IF(A589="","",SUMIFS(PARTICIPACIONES!$M$2:$M$601,PARTICIPACIONES!$B$2:$B$601,A589,PARTICIPACIONES!$P$2:$P$601,"&lt;&gt;En ejecución"))</f>
        <v/>
      </c>
      <c r="J589" s="12">
        <f>IF(A589="","",H589+SUMIF($F$2:$F$601,A589,$H$2:$H$601))</f>
        <v/>
      </c>
      <c r="K589" s="13">
        <f>IF(A589="","",I589+SUMIF($F$2:$F$601,A589,$I$2:$I$601))</f>
        <v/>
      </c>
    </row>
    <row r="590">
      <c r="H590" s="12">
        <f>IF(A590="","",COUNTIF(PARTICIPACIONES!$B$2:$B$601,A590))</f>
        <v/>
      </c>
      <c r="I590" s="13">
        <f>IF(A590="","",SUMIFS(PARTICIPACIONES!$M$2:$M$601,PARTICIPACIONES!$B$2:$B$601,A590,PARTICIPACIONES!$P$2:$P$601,"&lt;&gt;En ejecución"))</f>
        <v/>
      </c>
      <c r="J590" s="12">
        <f>IF(A590="","",H590+SUMIF($F$2:$F$601,A590,$H$2:$H$601))</f>
        <v/>
      </c>
      <c r="K590" s="13">
        <f>IF(A590="","",I590+SUMIF($F$2:$F$601,A590,$I$2:$I$601))</f>
        <v/>
      </c>
    </row>
    <row r="591">
      <c r="H591" s="12">
        <f>IF(A591="","",COUNTIF(PARTICIPACIONES!$B$2:$B$601,A591))</f>
        <v/>
      </c>
      <c r="I591" s="13">
        <f>IF(A591="","",SUMIFS(PARTICIPACIONES!$M$2:$M$601,PARTICIPACIONES!$B$2:$B$601,A591,PARTICIPACIONES!$P$2:$P$601,"&lt;&gt;En ejecución"))</f>
        <v/>
      </c>
      <c r="J591" s="12">
        <f>IF(A591="","",H591+SUMIF($F$2:$F$601,A591,$H$2:$H$601))</f>
        <v/>
      </c>
      <c r="K591" s="13">
        <f>IF(A591="","",I591+SUMIF($F$2:$F$601,A591,$I$2:$I$601))</f>
        <v/>
      </c>
    </row>
    <row r="592">
      <c r="H592" s="12">
        <f>IF(A592="","",COUNTIF(PARTICIPACIONES!$B$2:$B$601,A592))</f>
        <v/>
      </c>
      <c r="I592" s="13">
        <f>IF(A592="","",SUMIFS(PARTICIPACIONES!$M$2:$M$601,PARTICIPACIONES!$B$2:$B$601,A592,PARTICIPACIONES!$P$2:$P$601,"&lt;&gt;En ejecución"))</f>
        <v/>
      </c>
      <c r="J592" s="12">
        <f>IF(A592="","",H592+SUMIF($F$2:$F$601,A592,$H$2:$H$601))</f>
        <v/>
      </c>
      <c r="K592" s="13">
        <f>IF(A592="","",I592+SUMIF($F$2:$F$601,A592,$I$2:$I$601))</f>
        <v/>
      </c>
    </row>
    <row r="593">
      <c r="H593" s="12">
        <f>IF(A593="","",COUNTIF(PARTICIPACIONES!$B$2:$B$601,A593))</f>
        <v/>
      </c>
      <c r="I593" s="13">
        <f>IF(A593="","",SUMIFS(PARTICIPACIONES!$M$2:$M$601,PARTICIPACIONES!$B$2:$B$601,A593,PARTICIPACIONES!$P$2:$P$601,"&lt;&gt;En ejecución"))</f>
        <v/>
      </c>
      <c r="J593" s="12">
        <f>IF(A593="","",H593+SUMIF($F$2:$F$601,A593,$H$2:$H$601))</f>
        <v/>
      </c>
      <c r="K593" s="13">
        <f>IF(A593="","",I593+SUMIF($F$2:$F$601,A593,$I$2:$I$601))</f>
        <v/>
      </c>
    </row>
    <row r="594">
      <c r="H594" s="12">
        <f>IF(A594="","",COUNTIF(PARTICIPACIONES!$B$2:$B$601,A594))</f>
        <v/>
      </c>
      <c r="I594" s="13">
        <f>IF(A594="","",SUMIFS(PARTICIPACIONES!$M$2:$M$601,PARTICIPACIONES!$B$2:$B$601,A594,PARTICIPACIONES!$P$2:$P$601,"&lt;&gt;En ejecución"))</f>
        <v/>
      </c>
      <c r="J594" s="12">
        <f>IF(A594="","",H594+SUMIF($F$2:$F$601,A594,$H$2:$H$601))</f>
        <v/>
      </c>
      <c r="K594" s="13">
        <f>IF(A594="","",I594+SUMIF($F$2:$F$601,A594,$I$2:$I$601))</f>
        <v/>
      </c>
    </row>
    <row r="595">
      <c r="H595" s="12">
        <f>IF(A595="","",COUNTIF(PARTICIPACIONES!$B$2:$B$601,A595))</f>
        <v/>
      </c>
      <c r="I595" s="13">
        <f>IF(A595="","",SUMIFS(PARTICIPACIONES!$M$2:$M$601,PARTICIPACIONES!$B$2:$B$601,A595,PARTICIPACIONES!$P$2:$P$601,"&lt;&gt;En ejecución"))</f>
        <v/>
      </c>
      <c r="J595" s="12">
        <f>IF(A595="","",H595+SUMIF($F$2:$F$601,A595,$H$2:$H$601))</f>
        <v/>
      </c>
      <c r="K595" s="13">
        <f>IF(A595="","",I595+SUMIF($F$2:$F$601,A595,$I$2:$I$601))</f>
        <v/>
      </c>
    </row>
    <row r="596">
      <c r="H596" s="12">
        <f>IF(A596="","",COUNTIF(PARTICIPACIONES!$B$2:$B$601,A596))</f>
        <v/>
      </c>
      <c r="I596" s="13">
        <f>IF(A596="","",SUMIFS(PARTICIPACIONES!$M$2:$M$601,PARTICIPACIONES!$B$2:$B$601,A596,PARTICIPACIONES!$P$2:$P$601,"&lt;&gt;En ejecución"))</f>
        <v/>
      </c>
      <c r="J596" s="12">
        <f>IF(A596="","",H596+SUMIF($F$2:$F$601,A596,$H$2:$H$601))</f>
        <v/>
      </c>
      <c r="K596" s="13">
        <f>IF(A596="","",I596+SUMIF($F$2:$F$601,A596,$I$2:$I$601))</f>
        <v/>
      </c>
    </row>
    <row r="597">
      <c r="H597" s="12">
        <f>IF(A597="","",COUNTIF(PARTICIPACIONES!$B$2:$B$601,A597))</f>
        <v/>
      </c>
      <c r="I597" s="13">
        <f>IF(A597="","",SUMIFS(PARTICIPACIONES!$M$2:$M$601,PARTICIPACIONES!$B$2:$B$601,A597,PARTICIPACIONES!$P$2:$P$601,"&lt;&gt;En ejecución"))</f>
        <v/>
      </c>
      <c r="J597" s="12">
        <f>IF(A597="","",H597+SUMIF($F$2:$F$601,A597,$H$2:$H$601))</f>
        <v/>
      </c>
      <c r="K597" s="13">
        <f>IF(A597="","",I597+SUMIF($F$2:$F$601,A597,$I$2:$I$601))</f>
        <v/>
      </c>
    </row>
    <row r="598">
      <c r="H598" s="12">
        <f>IF(A598="","",COUNTIF(PARTICIPACIONES!$B$2:$B$601,A598))</f>
        <v/>
      </c>
      <c r="I598" s="13">
        <f>IF(A598="","",SUMIFS(PARTICIPACIONES!$M$2:$M$601,PARTICIPACIONES!$B$2:$B$601,A598,PARTICIPACIONES!$P$2:$P$601,"&lt;&gt;En ejecución"))</f>
        <v/>
      </c>
      <c r="J598" s="12">
        <f>IF(A598="","",H598+SUMIF($F$2:$F$601,A598,$H$2:$H$601))</f>
        <v/>
      </c>
      <c r="K598" s="13">
        <f>IF(A598="","",I598+SUMIF($F$2:$F$601,A598,$I$2:$I$601))</f>
        <v/>
      </c>
    </row>
    <row r="599">
      <c r="H599" s="12">
        <f>IF(A599="","",COUNTIF(PARTICIPACIONES!$B$2:$B$601,A599))</f>
        <v/>
      </c>
      <c r="I599" s="13">
        <f>IF(A599="","",SUMIFS(PARTICIPACIONES!$M$2:$M$601,PARTICIPACIONES!$B$2:$B$601,A599,PARTICIPACIONES!$P$2:$P$601,"&lt;&gt;En ejecución"))</f>
        <v/>
      </c>
      <c r="J599" s="12">
        <f>IF(A599="","",H599+SUMIF($F$2:$F$601,A599,$H$2:$H$601))</f>
        <v/>
      </c>
      <c r="K599" s="13">
        <f>IF(A599="","",I599+SUMIF($F$2:$F$601,A599,$I$2:$I$601))</f>
        <v/>
      </c>
    </row>
    <row r="600">
      <c r="H600" s="12">
        <f>IF(A600="","",COUNTIF(PARTICIPACIONES!$B$2:$B$601,A600))</f>
        <v/>
      </c>
      <c r="I600" s="13">
        <f>IF(A600="","",SUMIFS(PARTICIPACIONES!$M$2:$M$601,PARTICIPACIONES!$B$2:$B$601,A600,PARTICIPACIONES!$P$2:$P$601,"&lt;&gt;En ejecución"))</f>
        <v/>
      </c>
      <c r="J600" s="12">
        <f>IF(A600="","",H600+SUMIF($F$2:$F$601,A600,$H$2:$H$601))</f>
        <v/>
      </c>
      <c r="K600" s="13">
        <f>IF(A600="","",I600+SUMIF($F$2:$F$601,A600,$I$2:$I$601))</f>
        <v/>
      </c>
    </row>
    <row r="601">
      <c r="H601" s="12">
        <f>IF(A601="","",COUNTIF(PARTICIPACIONES!$B$2:$B$601,A601))</f>
        <v/>
      </c>
      <c r="I601" s="13">
        <f>IF(A601="","",SUMIFS(PARTICIPACIONES!$M$2:$M$601,PARTICIPACIONES!$B$2:$B$601,A601,PARTICIPACIONES!$P$2:$P$601,"&lt;&gt;En ejecución"))</f>
        <v/>
      </c>
      <c r="J601" s="12">
        <f>IF(A601="","",H601+SUMIF($F$2:$F$601,A601,$H$2:$H$601))</f>
        <v/>
      </c>
      <c r="K601" s="13">
        <f>IF(A601="","",I601+SUMIF($F$2:$F$601,A601,$I$2:$I$601))</f>
        <v/>
      </c>
    </row>
  </sheetData>
  <dataValidations count="2">
    <dataValidation sqref="B2:B601" showDropDown="0" showInputMessage="0" showErrorMessage="1" allowBlank="1" errorTitle="Tipo" error="Elija Empresa o Persona natural." type="list">
      <formula1>=L_TIPO_SUJETO</formula1>
    </dataValidation>
    <dataValidation sqref="F2:F601" showDropDown="0" showInputMessage="0" showErrorMessage="1" allowBlank="1" errorTitle="Cuenta para" error="Elija el ID de una empresa de esta hoja." type="list" errorStyle="warning">
      <formula1>=$A$2:$A$601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AC60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8" customWidth="1" min="3" max="3"/>
    <col width="14" customWidth="1" min="4" max="4"/>
    <col width="60" customWidth="1" min="5" max="5"/>
    <col width="28" customWidth="1" min="6" max="6"/>
    <col width="22" customWidth="1" min="7" max="7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8" customWidth="1" min="17" max="17"/>
    <col width="12" customWidth="1" min="18" max="18"/>
    <col width="28" customWidth="1" min="19" max="19"/>
    <col width="22" customWidth="1" min="20" max="20"/>
    <col width="30" customWidth="1" min="21" max="21"/>
    <col width="30" customWidth="1" min="22" max="22"/>
    <col width="10" customWidth="1" min="23" max="23"/>
    <col width="10" customWidth="1" min="24" max="24"/>
    <col width="16" customWidth="1" min="25" max="25"/>
    <col width="14" customWidth="1" min="26" max="26"/>
    <col width="18" customWidth="1" min="27" max="27"/>
    <col width="18" customWidth="1" min="28" max="28"/>
    <col width="60" customWidth="1" min="29" max="29"/>
  </cols>
  <sheetData>
    <row r="1" ht="42" customHeight="1">
      <c r="A1" s="9" t="inlineStr">
        <is>
          <t>ID_CONTRATO</t>
        </is>
      </c>
      <c r="B1" s="9" t="inlineStr">
        <is>
          <t>NUMERO_CONTRATO</t>
        </is>
      </c>
      <c r="C1" s="9" t="inlineStr">
        <is>
          <t>ENTIDAD</t>
        </is>
      </c>
      <c r="D1" s="9" t="inlineStr">
        <is>
          <t>TIPO_CLIENTE</t>
        </is>
      </c>
      <c r="E1" s="9" t="inlineStr">
        <is>
          <t>OBJETO</t>
        </is>
      </c>
      <c r="F1" s="9" t="inlineStr">
        <is>
          <t>ESPECIALIDAD</t>
        </is>
      </c>
      <c r="G1" s="14" t="inlineStr">
        <is>
          <t>TIPO_ACTIVIDAD</t>
        </is>
      </c>
      <c r="H1" s="14" t="inlineStr">
        <is>
          <t>DEPARTAMENTO</t>
        </is>
      </c>
      <c r="I1" s="14" t="inlineStr">
        <is>
          <t>MUNICIPIO</t>
        </is>
      </c>
      <c r="J1" s="10" t="inlineStr">
        <is>
          <t>FECHA_SUSCRIPCION</t>
        </is>
      </c>
      <c r="K1" s="14" t="inlineStr">
        <is>
          <t>FECHA_INICIO</t>
        </is>
      </c>
      <c r="L1" s="9" t="inlineStr">
        <is>
          <t>FECHA_TERMINACION</t>
        </is>
      </c>
      <c r="M1" s="9" t="inlineStr">
        <is>
          <t>ESTADO</t>
        </is>
      </c>
      <c r="N1" s="10" t="inlineStr">
        <is>
          <t>FECHA_LIQUIDACION</t>
        </is>
      </c>
      <c r="O1" s="10" t="inlineStr">
        <is>
          <t>VALOR_INICIAL</t>
        </is>
      </c>
      <c r="P1" s="9" t="inlineStr">
        <is>
          <t>VALOR_CONTRATO</t>
        </is>
      </c>
      <c r="Q1" s="14" t="inlineStr">
        <is>
          <t>VALOR_EJECUTADO</t>
        </is>
      </c>
      <c r="R1" s="10" t="inlineStr">
        <is>
          <t>NUMERO_EN_RUP</t>
        </is>
      </c>
      <c r="S1" s="14" t="inlineStr">
        <is>
          <t>SOPORTE</t>
        </is>
      </c>
      <c r="T1" s="10" t="inlineStr">
        <is>
          <t>INTERVENTOR</t>
        </is>
      </c>
      <c r="U1" s="10" t="inlineStr">
        <is>
          <t>OBSERVACIONES</t>
        </is>
      </c>
      <c r="V1" s="14" t="inlineStr">
        <is>
          <t>ORIGEN</t>
        </is>
      </c>
      <c r="W1" s="11" t="inlineStr">
        <is>
          <t>PLAZO_MESES</t>
        </is>
      </c>
      <c r="X1" s="11" t="inlineStr">
        <is>
          <t>ANO_SMMLV</t>
        </is>
      </c>
      <c r="Y1" s="11" t="inlineStr">
        <is>
          <t>SMMLV_DEL_ANO</t>
        </is>
      </c>
      <c r="Z1" s="11" t="inlineStr">
        <is>
          <t>VALOR_EN_SMMLV</t>
        </is>
      </c>
      <c r="AA1" s="11" t="inlineStr">
        <is>
          <t>VALOR_ACTUALIZADO</t>
        </is>
      </c>
      <c r="AB1" s="11" t="inlineStr">
        <is>
          <t>SALDO_PENDIENTE</t>
        </is>
      </c>
      <c r="AC1" s="11" t="inlineStr">
        <is>
          <t>ALERTAS</t>
        </is>
      </c>
    </row>
    <row r="2">
      <c r="A2" t="inlineStr">
        <is>
          <t>C-0001</t>
        </is>
      </c>
      <c r="B2" t="inlineStr">
        <is>
          <t>001/2015</t>
        </is>
      </c>
      <c r="C2" t="inlineStr">
        <is>
          <t>Alcaldía de Ejemplo</t>
        </is>
      </c>
      <c r="D2" t="inlineStr">
        <is>
          <t>Público</t>
        </is>
      </c>
      <c r="E2" t="inlineStr">
        <is>
          <t>CONSTRUCCIÓN DE AULA Y BATERÍA SANITARIA EN LA INSTITUCIÓN EDUCATIVA EJEMPLO, MUNICIPIO DE EJEMPLO</t>
        </is>
      </c>
      <c r="F2" t="inlineStr">
        <is>
          <t>Edificaciones educativas</t>
        </is>
      </c>
      <c r="G2" t="inlineStr">
        <is>
          <t>Construcción</t>
        </is>
      </c>
      <c r="H2" t="inlineStr">
        <is>
          <t>Norte de Santander</t>
        </is>
      </c>
      <c r="I2" t="inlineStr">
        <is>
          <t>Ejemplo</t>
        </is>
      </c>
      <c r="J2" s="15" t="n"/>
      <c r="K2" s="15" t="n">
        <v>42009</v>
      </c>
      <c r="L2" s="15" t="n">
        <v>42066</v>
      </c>
      <c r="M2" t="inlineStr">
        <is>
          <t>Terminado</t>
        </is>
      </c>
      <c r="N2" s="15" t="n"/>
      <c r="O2" s="16" t="n"/>
      <c r="P2" s="16" t="n">
        <v>163147838</v>
      </c>
      <c r="Q2" s="16" t="n"/>
      <c r="R2" t="inlineStr">
        <is>
          <t>12</t>
        </is>
      </c>
      <c r="U2" t="inlineStr">
        <is>
          <t>Ejemplo ficticio: dos integrantes en unión temporal (90 % y 10 %). Un contrato, dos participaciones.</t>
        </is>
      </c>
      <c r="V2" t="inlineStr">
        <is>
          <t>Archivo ejemplo › hoja 1 fila 5</t>
        </is>
      </c>
      <c r="W2" s="12">
        <f>IF(AND(K2&lt;&gt;"",L2&lt;&gt;""),ROUND((L2-K2)/30.4375,1),"")</f>
        <v/>
      </c>
      <c r="X2" s="12">
        <f>IF(OR(A2="",M2="En ejecución",L2=""),"",YEAR(L2))</f>
        <v/>
      </c>
      <c r="Y2" s="13">
        <f>IF(X2="","",IFERROR(VLOOKUP(X2,SMMLV!$A$2:$B$38,2,FALSE),""))</f>
        <v/>
      </c>
      <c r="Z2" s="17">
        <f>IF(OR(Y2="",P2=""),"",ROUND(P2/Y2,2))</f>
        <v/>
      </c>
      <c r="AA2" s="13">
        <f>IF(Z2="","",ROUND(Z2*SMMLV!$E$4,0))</f>
        <v/>
      </c>
      <c r="AB2" s="13">
        <f>IF(AND(M2="En ejecución",P2&lt;&gt;"",Q2&lt;&gt;""),MAX(P2-Q2,0),"")</f>
        <v/>
      </c>
      <c r="AC2" s="12">
        <f>IF(A2="","",IF(B2="","Falta número de contrato; ","")&amp;IF(C2="","Falta entidad; ","")&amp;IF(E2="","Falta objeto; ","")&amp;IF(F2="","Falta especialidad; ","")&amp;IF(K2="","Falta fecha de inicio (recomendada); ","")&amp;IF(AND(M2&lt;&gt;"En ejecución",L2=""),"Falta fecha de terminación; ","")&amp;IF(AND(K2&lt;&gt;"",L2&lt;&gt;"",L2&lt;K2),"Terminación anterior al inicio; ","")&amp;IF(M2="","Falta estado; ","")&amp;IF(OR(P2="",P2&lt;=0),"Falta valor del contrato; ","")&amp;IF(AND(M2="En ejecución",Q2=""),"En ejecución sin valor ejecutado; ","")&amp;IF(AND(M2="En ejecución",L2&lt;&gt;"",L2&lt;TODAY()),"Dice en ejecución pero su terminación ya pasó; ","")&amp;IF(M2="En ejecución","En ejecución: no acredita experiencia; ","")&amp;IF(AND(M2&lt;&gt;"En ejecución",L2&lt;&gt;"",X2&lt;&gt;"",Y2=""),"El año no está en la hoja SMMLV; ","")&amp;IF(AND(B2&lt;&gt;"",COUNTIFS($B$2:$B$601,B2,$C$2:$C$601,C2)&gt;1),"Posible duplicado (mismo número y entidad); ","")&amp;IF(COUNTIF(PARTICIPACIONES!$A$2:$A$601,A2)=0,"Sin participaciones; ","")&amp;IF(SUMIFS(PARTICIPACIONES!$E$2:$E$601,PARTICIPACIONES!$A$2:$A$601,A2)&gt;1.0001,"Las participaciones suman más de 100 %; ",""))</f>
        <v/>
      </c>
    </row>
    <row r="3">
      <c r="A3" t="inlineStr">
        <is>
          <t>C-0002</t>
        </is>
      </c>
      <c r="B3" t="inlineStr">
        <is>
          <t>S/N</t>
        </is>
      </c>
      <c r="C3" t="inlineStr">
        <is>
          <t>Gobernación de Ejemplo</t>
        </is>
      </c>
      <c r="D3" t="inlineStr">
        <is>
          <t>Público</t>
        </is>
      </c>
      <c r="E3" t="inlineStr">
        <is>
          <t>MANTENIMIENTO DE VÍA TERCIARIA ENTRE LA VEREDA A Y LA VEREDA B</t>
        </is>
      </c>
      <c r="F3" t="inlineStr">
        <is>
          <t>Vías y carreteras</t>
        </is>
      </c>
      <c r="G3" t="inlineStr">
        <is>
          <t>Mantenimiento</t>
        </is>
      </c>
      <c r="H3" t="inlineStr">
        <is>
          <t>Norte de Santander</t>
        </is>
      </c>
      <c r="I3" t="inlineStr">
        <is>
          <t>Ejemplo</t>
        </is>
      </c>
      <c r="J3" s="15" t="n"/>
      <c r="K3" s="15" t="n">
        <v>43617</v>
      </c>
      <c r="L3" s="15" t="n">
        <v>43738</v>
      </c>
      <c r="M3" t="inlineStr">
        <is>
          <t>Liquidado</t>
        </is>
      </c>
      <c r="N3" s="15" t="n">
        <v>43845</v>
      </c>
      <c r="O3" s="16" t="n"/>
      <c r="P3" s="16" t="n">
        <v>520000000</v>
      </c>
      <c r="Q3" s="16" t="n"/>
      <c r="S3" t="inlineStr">
        <is>
          <t>Acta de liquidación 2020</t>
        </is>
      </c>
      <c r="U3" t="inlineStr">
        <is>
          <t>Ejemplo ficticio: contrato individual, sin número (S/N).</t>
        </is>
      </c>
      <c r="V3" t="inlineStr">
        <is>
          <t>Archivo ejemplo › hoja 1 fila 6</t>
        </is>
      </c>
      <c r="W3" s="12">
        <f>IF(AND(K3&lt;&gt;"",L3&lt;&gt;""),ROUND((L3-K3)/30.4375,1),"")</f>
        <v/>
      </c>
      <c r="X3" s="12">
        <f>IF(OR(A3="",M3="En ejecución",L3=""),"",YEAR(L3))</f>
        <v/>
      </c>
      <c r="Y3" s="13">
        <f>IF(X3="","",IFERROR(VLOOKUP(X3,SMMLV!$A$2:$B$38,2,FALSE),""))</f>
        <v/>
      </c>
      <c r="Z3" s="17">
        <f>IF(OR(Y3="",P3=""),"",ROUND(P3/Y3,2))</f>
        <v/>
      </c>
      <c r="AA3" s="13">
        <f>IF(Z3="","",ROUND(Z3*SMMLV!$E$4,0))</f>
        <v/>
      </c>
      <c r="AB3" s="13">
        <f>IF(AND(M3="En ejecución",P3&lt;&gt;"",Q3&lt;&gt;""),MAX(P3-Q3,0),"")</f>
        <v/>
      </c>
      <c r="AC3" s="12">
        <f>IF(A3="","",IF(B3="","Falta número de contrato; ","")&amp;IF(C3="","Falta entidad; ","")&amp;IF(E3="","Falta objeto; ","")&amp;IF(F3="","Falta especialidad; ","")&amp;IF(K3="","Falta fecha de inicio (recomendada); ","")&amp;IF(AND(M3&lt;&gt;"En ejecución",L3=""),"Falta fecha de terminación; ","")&amp;IF(AND(K3&lt;&gt;"",L3&lt;&gt;"",L3&lt;K3),"Terminación anterior al inicio; ","")&amp;IF(M3="","Falta estado; ","")&amp;IF(OR(P3="",P3&lt;=0),"Falta valor del contrato; ","")&amp;IF(AND(M3="En ejecución",Q3=""),"En ejecución sin valor ejecutado; ","")&amp;IF(AND(M3="En ejecución",L3&lt;&gt;"",L3&lt;TODAY()),"Dice en ejecución pero su terminación ya pasó; ","")&amp;IF(M3="En ejecución","En ejecución: no acredita experiencia; ","")&amp;IF(AND(M3&lt;&gt;"En ejecución",L3&lt;&gt;"",X3&lt;&gt;"",Y3=""),"El año no está en la hoja SMMLV; ","")&amp;IF(AND(B3&lt;&gt;"",COUNTIFS($B$2:$B$601,B3,$C$2:$C$601,C3)&gt;1),"Posible duplicado (mismo número y entidad); ","")&amp;IF(COUNTIF(PARTICIPACIONES!$A$2:$A$601,A3)=0,"Sin participaciones; ","")&amp;IF(SUMIFS(PARTICIPACIONES!$E$2:$E$601,PARTICIPACIONES!$A$2:$A$601,A3)&gt;1.0001,"Las participaciones suman más de 100 %; ",""))</f>
        <v/>
      </c>
    </row>
    <row r="4">
      <c r="A4" t="inlineStr">
        <is>
          <t>C-0003</t>
        </is>
      </c>
      <c r="B4" t="inlineStr">
        <is>
          <t>GG-4215-2020</t>
        </is>
      </c>
      <c r="C4" t="inlineStr">
        <is>
          <t>Empresa de Gas de Ejemplo S.A. E.S.P.</t>
        </is>
      </c>
      <c r="D4" t="inlineStr">
        <is>
          <t>Privado</t>
        </is>
      </c>
      <c r="E4" t="inlineStr">
        <is>
          <t>TRASLADO DE TUBERÍA ADOSADA EN EL PUENTE EJEMPLO, MUNICIPIO DE EJEMPLO</t>
        </is>
      </c>
      <c r="F4" t="inlineStr">
        <is>
          <t>Redes de gas</t>
        </is>
      </c>
      <c r="G4" t="inlineStr">
        <is>
          <t>Suministro e instalación</t>
        </is>
      </c>
      <c r="H4" t="inlineStr">
        <is>
          <t>Huila</t>
        </is>
      </c>
      <c r="I4" t="inlineStr">
        <is>
          <t>Ejemplo</t>
        </is>
      </c>
      <c r="J4" s="15" t="n">
        <v>44057</v>
      </c>
      <c r="K4" s="15" t="n">
        <v>44476</v>
      </c>
      <c r="L4" s="15" t="n"/>
      <c r="M4" t="inlineStr">
        <is>
          <t>En ejecución</t>
        </is>
      </c>
      <c r="N4" s="15" t="n"/>
      <c r="O4" s="16" t="n"/>
      <c r="P4" s="16" t="n">
        <v>422642613</v>
      </c>
      <c r="Q4" s="16" t="n">
        <v>150000000</v>
      </c>
      <c r="U4" t="inlineStr">
        <is>
          <t>Ejemplo ficticio de contrato EN EJECUCIÓN: no acredita experiencia; su saldo descuenta capacidad residual.</t>
        </is>
      </c>
      <c r="V4" t="inlineStr">
        <is>
          <t>Archivo ejemplo › hoja 1 fila 7</t>
        </is>
      </c>
      <c r="W4" s="12">
        <f>IF(AND(K4&lt;&gt;"",L4&lt;&gt;""),ROUND((L4-K4)/30.4375,1),"")</f>
        <v/>
      </c>
      <c r="X4" s="12">
        <f>IF(OR(A4="",M4="En ejecución",L4=""),"",YEAR(L4))</f>
        <v/>
      </c>
      <c r="Y4" s="13">
        <f>IF(X4="","",IFERROR(VLOOKUP(X4,SMMLV!$A$2:$B$38,2,FALSE),""))</f>
        <v/>
      </c>
      <c r="Z4" s="17">
        <f>IF(OR(Y4="",P4=""),"",ROUND(P4/Y4,2))</f>
        <v/>
      </c>
      <c r="AA4" s="13">
        <f>IF(Z4="","",ROUND(Z4*SMMLV!$E$4,0))</f>
        <v/>
      </c>
      <c r="AB4" s="13">
        <f>IF(AND(M4="En ejecución",P4&lt;&gt;"",Q4&lt;&gt;""),MAX(P4-Q4,0),"")</f>
        <v/>
      </c>
      <c r="AC4" s="12">
        <f>IF(A4="","",IF(B4="","Falta número de contrato; ","")&amp;IF(C4="","Falta entidad; ","")&amp;IF(E4="","Falta objeto; ","")&amp;IF(F4="","Falta especialidad; ","")&amp;IF(K4="","Falta fecha de inicio (recomendada); ","")&amp;IF(AND(M4&lt;&gt;"En ejecución",L4=""),"Falta fecha de terminación; ","")&amp;IF(AND(K4&lt;&gt;"",L4&lt;&gt;"",L4&lt;K4),"Terminación anterior al inicio; ","")&amp;IF(M4="","Falta estado; ","")&amp;IF(OR(P4="",P4&lt;=0),"Falta valor del contrato; ","")&amp;IF(AND(M4="En ejecución",Q4=""),"En ejecución sin valor ejecutado; ","")&amp;IF(AND(M4="En ejecución",L4&lt;&gt;"",L4&lt;TODAY()),"Dice en ejecución pero su terminación ya pasó; ","")&amp;IF(M4="En ejecución","En ejecución: no acredita experiencia; ","")&amp;IF(AND(M4&lt;&gt;"En ejecución",L4&lt;&gt;"",X4&lt;&gt;"",Y4=""),"El año no está en la hoja SMMLV; ","")&amp;IF(AND(B4&lt;&gt;"",COUNTIFS($B$2:$B$601,B4,$C$2:$C$601,C4)&gt;1),"Posible duplicado (mismo número y entidad); ","")&amp;IF(COUNTIF(PARTICIPACIONES!$A$2:$A$601,A4)=0,"Sin participaciones; ","")&amp;IF(SUMIFS(PARTICIPACIONES!$E$2:$E$601,PARTICIPACIONES!$A$2:$A$601,A4)&gt;1.0001,"Las participaciones suman más de 100 %; ",""))</f>
        <v/>
      </c>
    </row>
    <row r="5">
      <c r="J5" s="15" t="n"/>
      <c r="K5" s="15" t="n"/>
      <c r="L5" s="15" t="n"/>
      <c r="N5" s="15" t="n"/>
      <c r="O5" s="16" t="n"/>
      <c r="P5" s="16" t="n"/>
      <c r="Q5" s="16" t="n"/>
      <c r="W5" s="12">
        <f>IF(AND(K5&lt;&gt;"",L5&lt;&gt;""),ROUND((L5-K5)/30.4375,1),"")</f>
        <v/>
      </c>
      <c r="X5" s="12">
        <f>IF(OR(A5="",M5="En ejecución",L5=""),"",YEAR(L5))</f>
        <v/>
      </c>
      <c r="Y5" s="13">
        <f>IF(X5="","",IFERROR(VLOOKUP(X5,SMMLV!$A$2:$B$38,2,FALSE),""))</f>
        <v/>
      </c>
      <c r="Z5" s="17">
        <f>IF(OR(Y5="",P5=""),"",ROUND(P5/Y5,2))</f>
        <v/>
      </c>
      <c r="AA5" s="13">
        <f>IF(Z5="","",ROUND(Z5*SMMLV!$E$4,0))</f>
        <v/>
      </c>
      <c r="AB5" s="13">
        <f>IF(AND(M5="En ejecución",P5&lt;&gt;"",Q5&lt;&gt;""),MAX(P5-Q5,0),"")</f>
        <v/>
      </c>
      <c r="AC5" s="12">
        <f>IF(A5="","",IF(B5="","Falta número de contrato; ","")&amp;IF(C5="","Falta entidad; ","")&amp;IF(E5="","Falta objeto; ","")&amp;IF(F5="","Falta especialidad; ","")&amp;IF(K5="","Falta fecha de inicio (recomendada); ","")&amp;IF(AND(M5&lt;&gt;"En ejecución",L5=""),"Falta fecha de terminación; ","")&amp;IF(AND(K5&lt;&gt;"",L5&lt;&gt;"",L5&lt;K5),"Terminación anterior al inicio; ","")&amp;IF(M5="","Falta estado; ","")&amp;IF(OR(P5="",P5&lt;=0),"Falta valor del contrato; ","")&amp;IF(AND(M5="En ejecución",Q5=""),"En ejecución sin valor ejecutado; ","")&amp;IF(AND(M5="En ejecución",L5&lt;&gt;"",L5&lt;TODAY()),"Dice en ejecución pero su terminación ya pasó; ","")&amp;IF(M5="En ejecución","En ejecución: no acredita experiencia; ","")&amp;IF(AND(M5&lt;&gt;"En ejecución",L5&lt;&gt;"",X5&lt;&gt;"",Y5=""),"El año no está en la hoja SMMLV; ","")&amp;IF(AND(B5&lt;&gt;"",COUNTIFS($B$2:$B$601,B5,$C$2:$C$601,C5)&gt;1),"Posible duplicado (mismo número y entidad); ","")&amp;IF(COUNTIF(PARTICIPACIONES!$A$2:$A$601,A5)=0,"Sin participaciones; ","")&amp;IF(SUMIFS(PARTICIPACIONES!$E$2:$E$601,PARTICIPACIONES!$A$2:$A$601,A5)&gt;1.0001,"Las participaciones suman más de 100 %; ",""))</f>
        <v/>
      </c>
    </row>
    <row r="6">
      <c r="J6" s="15" t="n"/>
      <c r="K6" s="15" t="n"/>
      <c r="L6" s="15" t="n"/>
      <c r="N6" s="15" t="n"/>
      <c r="O6" s="16" t="n"/>
      <c r="P6" s="16" t="n"/>
      <c r="Q6" s="16" t="n"/>
      <c r="W6" s="12">
        <f>IF(AND(K6&lt;&gt;"",L6&lt;&gt;""),ROUND((L6-K6)/30.4375,1),"")</f>
        <v/>
      </c>
      <c r="X6" s="12">
        <f>IF(OR(A6="",M6="En ejecución",L6=""),"",YEAR(L6))</f>
        <v/>
      </c>
      <c r="Y6" s="13">
        <f>IF(X6="","",IFERROR(VLOOKUP(X6,SMMLV!$A$2:$B$38,2,FALSE),""))</f>
        <v/>
      </c>
      <c r="Z6" s="17">
        <f>IF(OR(Y6="",P6=""),"",ROUND(P6/Y6,2))</f>
        <v/>
      </c>
      <c r="AA6" s="13">
        <f>IF(Z6="","",ROUND(Z6*SMMLV!$E$4,0))</f>
        <v/>
      </c>
      <c r="AB6" s="13">
        <f>IF(AND(M6="En ejecución",P6&lt;&gt;"",Q6&lt;&gt;""),MAX(P6-Q6,0),"")</f>
        <v/>
      </c>
      <c r="AC6" s="12">
        <f>IF(A6="","",IF(B6="","Falta número de contrato; ","")&amp;IF(C6="","Falta entidad; ","")&amp;IF(E6="","Falta objeto; ","")&amp;IF(F6="","Falta especialidad; ","")&amp;IF(K6="","Falta fecha de inicio (recomendada); ","")&amp;IF(AND(M6&lt;&gt;"En ejecución",L6=""),"Falta fecha de terminación; ","")&amp;IF(AND(K6&lt;&gt;"",L6&lt;&gt;"",L6&lt;K6),"Terminación anterior al inicio; ","")&amp;IF(M6="","Falta estado; ","")&amp;IF(OR(P6="",P6&lt;=0),"Falta valor del contrato; ","")&amp;IF(AND(M6="En ejecución",Q6=""),"En ejecución sin valor ejecutado; ","")&amp;IF(AND(M6="En ejecución",L6&lt;&gt;"",L6&lt;TODAY()),"Dice en ejecución pero su terminación ya pasó; ","")&amp;IF(M6="En ejecución","En ejecución: no acredita experiencia; ","")&amp;IF(AND(M6&lt;&gt;"En ejecución",L6&lt;&gt;"",X6&lt;&gt;"",Y6=""),"El año no está en la hoja SMMLV; ","")&amp;IF(AND(B6&lt;&gt;"",COUNTIFS($B$2:$B$601,B6,$C$2:$C$601,C6)&gt;1),"Posible duplicado (mismo número y entidad); ","")&amp;IF(COUNTIF(PARTICIPACIONES!$A$2:$A$601,A6)=0,"Sin participaciones; ","")&amp;IF(SUMIFS(PARTICIPACIONES!$E$2:$E$601,PARTICIPACIONES!$A$2:$A$601,A6)&gt;1.0001,"Las participaciones suman más de 100 %; ",""))</f>
        <v/>
      </c>
    </row>
    <row r="7">
      <c r="J7" s="15" t="n"/>
      <c r="K7" s="15" t="n"/>
      <c r="L7" s="15" t="n"/>
      <c r="N7" s="15" t="n"/>
      <c r="O7" s="16" t="n"/>
      <c r="P7" s="16" t="n"/>
      <c r="Q7" s="16" t="n"/>
      <c r="W7" s="12">
        <f>IF(AND(K7&lt;&gt;"",L7&lt;&gt;""),ROUND((L7-K7)/30.4375,1),"")</f>
        <v/>
      </c>
      <c r="X7" s="12">
        <f>IF(OR(A7="",M7="En ejecución",L7=""),"",YEAR(L7))</f>
        <v/>
      </c>
      <c r="Y7" s="13">
        <f>IF(X7="","",IFERROR(VLOOKUP(X7,SMMLV!$A$2:$B$38,2,FALSE),""))</f>
        <v/>
      </c>
      <c r="Z7" s="17">
        <f>IF(OR(Y7="",P7=""),"",ROUND(P7/Y7,2))</f>
        <v/>
      </c>
      <c r="AA7" s="13">
        <f>IF(Z7="","",ROUND(Z7*SMMLV!$E$4,0))</f>
        <v/>
      </c>
      <c r="AB7" s="13">
        <f>IF(AND(M7="En ejecución",P7&lt;&gt;"",Q7&lt;&gt;""),MAX(P7-Q7,0),"")</f>
        <v/>
      </c>
      <c r="AC7" s="12">
        <f>IF(A7="","",IF(B7="","Falta número de contrato; ","")&amp;IF(C7="","Falta entidad; ","")&amp;IF(E7="","Falta objeto; ","")&amp;IF(F7="","Falta especialidad; ","")&amp;IF(K7="","Falta fecha de inicio (recomendada); ","")&amp;IF(AND(M7&lt;&gt;"En ejecución",L7=""),"Falta fecha de terminación; ","")&amp;IF(AND(K7&lt;&gt;"",L7&lt;&gt;"",L7&lt;K7),"Terminación anterior al inicio; ","")&amp;IF(M7="","Falta estado; ","")&amp;IF(OR(P7="",P7&lt;=0),"Falta valor del contrato; ","")&amp;IF(AND(M7="En ejecución",Q7=""),"En ejecución sin valor ejecutado; ","")&amp;IF(AND(M7="En ejecución",L7&lt;&gt;"",L7&lt;TODAY()),"Dice en ejecución pero su terminación ya pasó; ","")&amp;IF(M7="En ejecución","En ejecución: no acredita experiencia; ","")&amp;IF(AND(M7&lt;&gt;"En ejecución",L7&lt;&gt;"",X7&lt;&gt;"",Y7=""),"El año no está en la hoja SMMLV; ","")&amp;IF(AND(B7&lt;&gt;"",COUNTIFS($B$2:$B$601,B7,$C$2:$C$601,C7)&gt;1),"Posible duplicado (mismo número y entidad); ","")&amp;IF(COUNTIF(PARTICIPACIONES!$A$2:$A$601,A7)=0,"Sin participaciones; ","")&amp;IF(SUMIFS(PARTICIPACIONES!$E$2:$E$601,PARTICIPACIONES!$A$2:$A$601,A7)&gt;1.0001,"Las participaciones suman más de 100 %; ",""))</f>
        <v/>
      </c>
    </row>
    <row r="8">
      <c r="J8" s="15" t="n"/>
      <c r="K8" s="15" t="n"/>
      <c r="L8" s="15" t="n"/>
      <c r="N8" s="15" t="n"/>
      <c r="O8" s="16" t="n"/>
      <c r="P8" s="16" t="n"/>
      <c r="Q8" s="16" t="n"/>
      <c r="W8" s="12">
        <f>IF(AND(K8&lt;&gt;"",L8&lt;&gt;""),ROUND((L8-K8)/30.4375,1),"")</f>
        <v/>
      </c>
      <c r="X8" s="12">
        <f>IF(OR(A8="",M8="En ejecución",L8=""),"",YEAR(L8))</f>
        <v/>
      </c>
      <c r="Y8" s="13">
        <f>IF(X8="","",IFERROR(VLOOKUP(X8,SMMLV!$A$2:$B$38,2,FALSE),""))</f>
        <v/>
      </c>
      <c r="Z8" s="17">
        <f>IF(OR(Y8="",P8=""),"",ROUND(P8/Y8,2))</f>
        <v/>
      </c>
      <c r="AA8" s="13">
        <f>IF(Z8="","",ROUND(Z8*SMMLV!$E$4,0))</f>
        <v/>
      </c>
      <c r="AB8" s="13">
        <f>IF(AND(M8="En ejecución",P8&lt;&gt;"",Q8&lt;&gt;""),MAX(P8-Q8,0),"")</f>
        <v/>
      </c>
      <c r="AC8" s="12">
        <f>IF(A8="","",IF(B8="","Falta número de contrato; ","")&amp;IF(C8="","Falta entidad; ","")&amp;IF(E8="","Falta objeto; ","")&amp;IF(F8="","Falta especialidad; ","")&amp;IF(K8="","Falta fecha de inicio (recomendada); ","")&amp;IF(AND(M8&lt;&gt;"En ejecución",L8=""),"Falta fecha de terminación; ","")&amp;IF(AND(K8&lt;&gt;"",L8&lt;&gt;"",L8&lt;K8),"Terminación anterior al inicio; ","")&amp;IF(M8="","Falta estado; ","")&amp;IF(OR(P8="",P8&lt;=0),"Falta valor del contrato; ","")&amp;IF(AND(M8="En ejecución",Q8=""),"En ejecución sin valor ejecutado; ","")&amp;IF(AND(M8="En ejecución",L8&lt;&gt;"",L8&lt;TODAY()),"Dice en ejecución pero su terminación ya pasó; ","")&amp;IF(M8="En ejecución","En ejecución: no acredita experiencia; ","")&amp;IF(AND(M8&lt;&gt;"En ejecución",L8&lt;&gt;"",X8&lt;&gt;"",Y8=""),"El año no está en la hoja SMMLV; ","")&amp;IF(AND(B8&lt;&gt;"",COUNTIFS($B$2:$B$601,B8,$C$2:$C$601,C8)&gt;1),"Posible duplicado (mismo número y entidad); ","")&amp;IF(COUNTIF(PARTICIPACIONES!$A$2:$A$601,A8)=0,"Sin participaciones; ","")&amp;IF(SUMIFS(PARTICIPACIONES!$E$2:$E$601,PARTICIPACIONES!$A$2:$A$601,A8)&gt;1.0001,"Las participaciones suman más de 100 %; ",""))</f>
        <v/>
      </c>
    </row>
    <row r="9">
      <c r="J9" s="15" t="n"/>
      <c r="K9" s="15" t="n"/>
      <c r="L9" s="15" t="n"/>
      <c r="N9" s="15" t="n"/>
      <c r="O9" s="16" t="n"/>
      <c r="P9" s="16" t="n"/>
      <c r="Q9" s="16" t="n"/>
      <c r="W9" s="12">
        <f>IF(AND(K9&lt;&gt;"",L9&lt;&gt;""),ROUND((L9-K9)/30.4375,1),"")</f>
        <v/>
      </c>
      <c r="X9" s="12">
        <f>IF(OR(A9="",M9="En ejecución",L9=""),"",YEAR(L9))</f>
        <v/>
      </c>
      <c r="Y9" s="13">
        <f>IF(X9="","",IFERROR(VLOOKUP(X9,SMMLV!$A$2:$B$38,2,FALSE),""))</f>
        <v/>
      </c>
      <c r="Z9" s="17">
        <f>IF(OR(Y9="",P9=""),"",ROUND(P9/Y9,2))</f>
        <v/>
      </c>
      <c r="AA9" s="13">
        <f>IF(Z9="","",ROUND(Z9*SMMLV!$E$4,0))</f>
        <v/>
      </c>
      <c r="AB9" s="13">
        <f>IF(AND(M9="En ejecución",P9&lt;&gt;"",Q9&lt;&gt;""),MAX(P9-Q9,0),"")</f>
        <v/>
      </c>
      <c r="AC9" s="12">
        <f>IF(A9="","",IF(B9="","Falta número de contrato; ","")&amp;IF(C9="","Falta entidad; ","")&amp;IF(E9="","Falta objeto; ","")&amp;IF(F9="","Falta especialidad; ","")&amp;IF(K9="","Falta fecha de inicio (recomendada); ","")&amp;IF(AND(M9&lt;&gt;"En ejecución",L9=""),"Falta fecha de terminación; ","")&amp;IF(AND(K9&lt;&gt;"",L9&lt;&gt;"",L9&lt;K9),"Terminación anterior al inicio; ","")&amp;IF(M9="","Falta estado; ","")&amp;IF(OR(P9="",P9&lt;=0),"Falta valor del contrato; ","")&amp;IF(AND(M9="En ejecución",Q9=""),"En ejecución sin valor ejecutado; ","")&amp;IF(AND(M9="En ejecución",L9&lt;&gt;"",L9&lt;TODAY()),"Dice en ejecución pero su terminación ya pasó; ","")&amp;IF(M9="En ejecución","En ejecución: no acredita experiencia; ","")&amp;IF(AND(M9&lt;&gt;"En ejecución",L9&lt;&gt;"",X9&lt;&gt;"",Y9=""),"El año no está en la hoja SMMLV; ","")&amp;IF(AND(B9&lt;&gt;"",COUNTIFS($B$2:$B$601,B9,$C$2:$C$601,C9)&gt;1),"Posible duplicado (mismo número y entidad); ","")&amp;IF(COUNTIF(PARTICIPACIONES!$A$2:$A$601,A9)=0,"Sin participaciones; ","")&amp;IF(SUMIFS(PARTICIPACIONES!$E$2:$E$601,PARTICIPACIONES!$A$2:$A$601,A9)&gt;1.0001,"Las participaciones suman más de 100 %; ",""))</f>
        <v/>
      </c>
    </row>
    <row r="10">
      <c r="J10" s="15" t="n"/>
      <c r="K10" s="15" t="n"/>
      <c r="L10" s="15" t="n"/>
      <c r="N10" s="15" t="n"/>
      <c r="O10" s="16" t="n"/>
      <c r="P10" s="16" t="n"/>
      <c r="Q10" s="16" t="n"/>
      <c r="W10" s="12">
        <f>IF(AND(K10&lt;&gt;"",L10&lt;&gt;""),ROUND((L10-K10)/30.4375,1),"")</f>
        <v/>
      </c>
      <c r="X10" s="12">
        <f>IF(OR(A10="",M10="En ejecución",L10=""),"",YEAR(L10))</f>
        <v/>
      </c>
      <c r="Y10" s="13">
        <f>IF(X10="","",IFERROR(VLOOKUP(X10,SMMLV!$A$2:$B$38,2,FALSE),""))</f>
        <v/>
      </c>
      <c r="Z10" s="17">
        <f>IF(OR(Y10="",P10=""),"",ROUND(P10/Y10,2))</f>
        <v/>
      </c>
      <c r="AA10" s="13">
        <f>IF(Z10="","",ROUND(Z10*SMMLV!$E$4,0))</f>
        <v/>
      </c>
      <c r="AB10" s="13">
        <f>IF(AND(M10="En ejecución",P10&lt;&gt;"",Q10&lt;&gt;""),MAX(P10-Q10,0),"")</f>
        <v/>
      </c>
      <c r="AC10" s="12">
        <f>IF(A10="","",IF(B10="","Falta número de contrato; ","")&amp;IF(C10="","Falta entidad; ","")&amp;IF(E10="","Falta objeto; ","")&amp;IF(F10="","Falta especialidad; ","")&amp;IF(K10="","Falta fecha de inicio (recomendada); ","")&amp;IF(AND(M10&lt;&gt;"En ejecución",L10=""),"Falta fecha de terminación; ","")&amp;IF(AND(K10&lt;&gt;"",L10&lt;&gt;"",L10&lt;K10),"Terminación anterior al inicio; ","")&amp;IF(M10="","Falta estado; ","")&amp;IF(OR(P10="",P10&lt;=0),"Falta valor del contrato; ","")&amp;IF(AND(M10="En ejecución",Q10=""),"En ejecución sin valor ejecutado; ","")&amp;IF(AND(M10="En ejecución",L10&lt;&gt;"",L10&lt;TODAY()),"Dice en ejecución pero su terminación ya pasó; ","")&amp;IF(M10="En ejecución","En ejecución: no acredita experiencia; ","")&amp;IF(AND(M10&lt;&gt;"En ejecución",L10&lt;&gt;"",X10&lt;&gt;"",Y10=""),"El año no está en la hoja SMMLV; ","")&amp;IF(AND(B10&lt;&gt;"",COUNTIFS($B$2:$B$601,B10,$C$2:$C$601,C10)&gt;1),"Posible duplicado (mismo número y entidad); ","")&amp;IF(COUNTIF(PARTICIPACIONES!$A$2:$A$601,A10)=0,"Sin participaciones; ","")&amp;IF(SUMIFS(PARTICIPACIONES!$E$2:$E$601,PARTICIPACIONES!$A$2:$A$601,A10)&gt;1.0001,"Las participaciones suman más de 100 %; ",""))</f>
        <v/>
      </c>
    </row>
    <row r="11">
      <c r="J11" s="15" t="n"/>
      <c r="K11" s="15" t="n"/>
      <c r="L11" s="15" t="n"/>
      <c r="N11" s="15" t="n"/>
      <c r="O11" s="16" t="n"/>
      <c r="P11" s="16" t="n"/>
      <c r="Q11" s="16" t="n"/>
      <c r="W11" s="12">
        <f>IF(AND(K11&lt;&gt;"",L11&lt;&gt;""),ROUND((L11-K11)/30.4375,1),"")</f>
        <v/>
      </c>
      <c r="X11" s="12">
        <f>IF(OR(A11="",M11="En ejecución",L11=""),"",YEAR(L11))</f>
        <v/>
      </c>
      <c r="Y11" s="13">
        <f>IF(X11="","",IFERROR(VLOOKUP(X11,SMMLV!$A$2:$B$38,2,FALSE),""))</f>
        <v/>
      </c>
      <c r="Z11" s="17">
        <f>IF(OR(Y11="",P11=""),"",ROUND(P11/Y11,2))</f>
        <v/>
      </c>
      <c r="AA11" s="13">
        <f>IF(Z11="","",ROUND(Z11*SMMLV!$E$4,0))</f>
        <v/>
      </c>
      <c r="AB11" s="13">
        <f>IF(AND(M11="En ejecución",P11&lt;&gt;"",Q11&lt;&gt;""),MAX(P11-Q11,0),"")</f>
        <v/>
      </c>
      <c r="AC11" s="12">
        <f>IF(A11="","",IF(B11="","Falta número de contrato; ","")&amp;IF(C11="","Falta entidad; ","")&amp;IF(E11="","Falta objeto; ","")&amp;IF(F11="","Falta especialidad; ","")&amp;IF(K11="","Falta fecha de inicio (recomendada); ","")&amp;IF(AND(M11&lt;&gt;"En ejecución",L11=""),"Falta fecha de terminación; ","")&amp;IF(AND(K11&lt;&gt;"",L11&lt;&gt;"",L11&lt;K11),"Terminación anterior al inicio; ","")&amp;IF(M11="","Falta estado; ","")&amp;IF(OR(P11="",P11&lt;=0),"Falta valor del contrato; ","")&amp;IF(AND(M11="En ejecución",Q11=""),"En ejecución sin valor ejecutado; ","")&amp;IF(AND(M11="En ejecución",L11&lt;&gt;"",L11&lt;TODAY()),"Dice en ejecución pero su terminación ya pasó; ","")&amp;IF(M11="En ejecución","En ejecución: no acredita experiencia; ","")&amp;IF(AND(M11&lt;&gt;"En ejecución",L11&lt;&gt;"",X11&lt;&gt;"",Y11=""),"El año no está en la hoja SMMLV; ","")&amp;IF(AND(B11&lt;&gt;"",COUNTIFS($B$2:$B$601,B11,$C$2:$C$601,C11)&gt;1),"Posible duplicado (mismo número y entidad); ","")&amp;IF(COUNTIF(PARTICIPACIONES!$A$2:$A$601,A11)=0,"Sin participaciones; ","")&amp;IF(SUMIFS(PARTICIPACIONES!$E$2:$E$601,PARTICIPACIONES!$A$2:$A$601,A11)&gt;1.0001,"Las participaciones suman más de 100 %; ",""))</f>
        <v/>
      </c>
    </row>
    <row r="12">
      <c r="J12" s="15" t="n"/>
      <c r="K12" s="15" t="n"/>
      <c r="L12" s="15" t="n"/>
      <c r="N12" s="15" t="n"/>
      <c r="O12" s="16" t="n"/>
      <c r="P12" s="16" t="n"/>
      <c r="Q12" s="16" t="n"/>
      <c r="W12" s="12">
        <f>IF(AND(K12&lt;&gt;"",L12&lt;&gt;""),ROUND((L12-K12)/30.4375,1),"")</f>
        <v/>
      </c>
      <c r="X12" s="12">
        <f>IF(OR(A12="",M12="En ejecución",L12=""),"",YEAR(L12))</f>
        <v/>
      </c>
      <c r="Y12" s="13">
        <f>IF(X12="","",IFERROR(VLOOKUP(X12,SMMLV!$A$2:$B$38,2,FALSE),""))</f>
        <v/>
      </c>
      <c r="Z12" s="17">
        <f>IF(OR(Y12="",P12=""),"",ROUND(P12/Y12,2))</f>
        <v/>
      </c>
      <c r="AA12" s="13">
        <f>IF(Z12="","",ROUND(Z12*SMMLV!$E$4,0))</f>
        <v/>
      </c>
      <c r="AB12" s="13">
        <f>IF(AND(M12="En ejecución",P12&lt;&gt;"",Q12&lt;&gt;""),MAX(P12-Q12,0),"")</f>
        <v/>
      </c>
      <c r="AC12" s="12">
        <f>IF(A12="","",IF(B12="","Falta número de contrato; ","")&amp;IF(C12="","Falta entidad; ","")&amp;IF(E12="","Falta objeto; ","")&amp;IF(F12="","Falta especialidad; ","")&amp;IF(K12="","Falta fecha de inicio (recomendada); ","")&amp;IF(AND(M12&lt;&gt;"En ejecución",L12=""),"Falta fecha de terminación; ","")&amp;IF(AND(K12&lt;&gt;"",L12&lt;&gt;"",L12&lt;K12),"Terminación anterior al inicio; ","")&amp;IF(M12="","Falta estado; ","")&amp;IF(OR(P12="",P12&lt;=0),"Falta valor del contrato; ","")&amp;IF(AND(M12="En ejecución",Q12=""),"En ejecución sin valor ejecutado; ","")&amp;IF(AND(M12="En ejecución",L12&lt;&gt;"",L12&lt;TODAY()),"Dice en ejecución pero su terminación ya pasó; ","")&amp;IF(M12="En ejecución","En ejecución: no acredita experiencia; ","")&amp;IF(AND(M12&lt;&gt;"En ejecución",L12&lt;&gt;"",X12&lt;&gt;"",Y12=""),"El año no está en la hoja SMMLV; ","")&amp;IF(AND(B12&lt;&gt;"",COUNTIFS($B$2:$B$601,B12,$C$2:$C$601,C12)&gt;1),"Posible duplicado (mismo número y entidad); ","")&amp;IF(COUNTIF(PARTICIPACIONES!$A$2:$A$601,A12)=0,"Sin participaciones; ","")&amp;IF(SUMIFS(PARTICIPACIONES!$E$2:$E$601,PARTICIPACIONES!$A$2:$A$601,A12)&gt;1.0001,"Las participaciones suman más de 100 %; ",""))</f>
        <v/>
      </c>
    </row>
    <row r="13">
      <c r="J13" s="15" t="n"/>
      <c r="K13" s="15" t="n"/>
      <c r="L13" s="15" t="n"/>
      <c r="N13" s="15" t="n"/>
      <c r="O13" s="16" t="n"/>
      <c r="P13" s="16" t="n"/>
      <c r="Q13" s="16" t="n"/>
      <c r="W13" s="12">
        <f>IF(AND(K13&lt;&gt;"",L13&lt;&gt;""),ROUND((L13-K13)/30.4375,1),"")</f>
        <v/>
      </c>
      <c r="X13" s="12">
        <f>IF(OR(A13="",M13="En ejecución",L13=""),"",YEAR(L13))</f>
        <v/>
      </c>
      <c r="Y13" s="13">
        <f>IF(X13="","",IFERROR(VLOOKUP(X13,SMMLV!$A$2:$B$38,2,FALSE),""))</f>
        <v/>
      </c>
      <c r="Z13" s="17">
        <f>IF(OR(Y13="",P13=""),"",ROUND(P13/Y13,2))</f>
        <v/>
      </c>
      <c r="AA13" s="13">
        <f>IF(Z13="","",ROUND(Z13*SMMLV!$E$4,0))</f>
        <v/>
      </c>
      <c r="AB13" s="13">
        <f>IF(AND(M13="En ejecución",P13&lt;&gt;"",Q13&lt;&gt;""),MAX(P13-Q13,0),"")</f>
        <v/>
      </c>
      <c r="AC13" s="12">
        <f>IF(A13="","",IF(B13="","Falta número de contrato; ","")&amp;IF(C13="","Falta entidad; ","")&amp;IF(E13="","Falta objeto; ","")&amp;IF(F13="","Falta especialidad; ","")&amp;IF(K13="","Falta fecha de inicio (recomendada); ","")&amp;IF(AND(M13&lt;&gt;"En ejecución",L13=""),"Falta fecha de terminación; ","")&amp;IF(AND(K13&lt;&gt;"",L13&lt;&gt;"",L13&lt;K13),"Terminación anterior al inicio; ","")&amp;IF(M13="","Falta estado; ","")&amp;IF(OR(P13="",P13&lt;=0),"Falta valor del contrato; ","")&amp;IF(AND(M13="En ejecución",Q13=""),"En ejecución sin valor ejecutado; ","")&amp;IF(AND(M13="En ejecución",L13&lt;&gt;"",L13&lt;TODAY()),"Dice en ejecución pero su terminación ya pasó; ","")&amp;IF(M13="En ejecución","En ejecución: no acredita experiencia; ","")&amp;IF(AND(M13&lt;&gt;"En ejecución",L13&lt;&gt;"",X13&lt;&gt;"",Y13=""),"El año no está en la hoja SMMLV; ","")&amp;IF(AND(B13&lt;&gt;"",COUNTIFS($B$2:$B$601,B13,$C$2:$C$601,C13)&gt;1),"Posible duplicado (mismo número y entidad); ","")&amp;IF(COUNTIF(PARTICIPACIONES!$A$2:$A$601,A13)=0,"Sin participaciones; ","")&amp;IF(SUMIFS(PARTICIPACIONES!$E$2:$E$601,PARTICIPACIONES!$A$2:$A$601,A13)&gt;1.0001,"Las participaciones suman más de 100 %; ",""))</f>
        <v/>
      </c>
    </row>
    <row r="14">
      <c r="J14" s="15" t="n"/>
      <c r="K14" s="15" t="n"/>
      <c r="L14" s="15" t="n"/>
      <c r="N14" s="15" t="n"/>
      <c r="O14" s="16" t="n"/>
      <c r="P14" s="16" t="n"/>
      <c r="Q14" s="16" t="n"/>
      <c r="W14" s="12">
        <f>IF(AND(K14&lt;&gt;"",L14&lt;&gt;""),ROUND((L14-K14)/30.4375,1),"")</f>
        <v/>
      </c>
      <c r="X14" s="12">
        <f>IF(OR(A14="",M14="En ejecución",L14=""),"",YEAR(L14))</f>
        <v/>
      </c>
      <c r="Y14" s="13">
        <f>IF(X14="","",IFERROR(VLOOKUP(X14,SMMLV!$A$2:$B$38,2,FALSE),""))</f>
        <v/>
      </c>
      <c r="Z14" s="17">
        <f>IF(OR(Y14="",P14=""),"",ROUND(P14/Y14,2))</f>
        <v/>
      </c>
      <c r="AA14" s="13">
        <f>IF(Z14="","",ROUND(Z14*SMMLV!$E$4,0))</f>
        <v/>
      </c>
      <c r="AB14" s="13">
        <f>IF(AND(M14="En ejecución",P14&lt;&gt;"",Q14&lt;&gt;""),MAX(P14-Q14,0),"")</f>
        <v/>
      </c>
      <c r="AC14" s="12">
        <f>IF(A14="","",IF(B14="","Falta número de contrato; ","")&amp;IF(C14="","Falta entidad; ","")&amp;IF(E14="","Falta objeto; ","")&amp;IF(F14="","Falta especialidad; ","")&amp;IF(K14="","Falta fecha de inicio (recomendada); ","")&amp;IF(AND(M14&lt;&gt;"En ejecución",L14=""),"Falta fecha de terminación; ","")&amp;IF(AND(K14&lt;&gt;"",L14&lt;&gt;"",L14&lt;K14),"Terminación anterior al inicio; ","")&amp;IF(M14="","Falta estado; ","")&amp;IF(OR(P14="",P14&lt;=0),"Falta valor del contrato; ","")&amp;IF(AND(M14="En ejecución",Q14=""),"En ejecución sin valor ejecutado; ","")&amp;IF(AND(M14="En ejecución",L14&lt;&gt;"",L14&lt;TODAY()),"Dice en ejecución pero su terminación ya pasó; ","")&amp;IF(M14="En ejecución","En ejecución: no acredita experiencia; ","")&amp;IF(AND(M14&lt;&gt;"En ejecución",L14&lt;&gt;"",X14&lt;&gt;"",Y14=""),"El año no está en la hoja SMMLV; ","")&amp;IF(AND(B14&lt;&gt;"",COUNTIFS($B$2:$B$601,B14,$C$2:$C$601,C14)&gt;1),"Posible duplicado (mismo número y entidad); ","")&amp;IF(COUNTIF(PARTICIPACIONES!$A$2:$A$601,A14)=0,"Sin participaciones; ","")&amp;IF(SUMIFS(PARTICIPACIONES!$E$2:$E$601,PARTICIPACIONES!$A$2:$A$601,A14)&gt;1.0001,"Las participaciones suman más de 100 %; ",""))</f>
        <v/>
      </c>
    </row>
    <row r="15">
      <c r="J15" s="15" t="n"/>
      <c r="K15" s="15" t="n"/>
      <c r="L15" s="15" t="n"/>
      <c r="N15" s="15" t="n"/>
      <c r="O15" s="16" t="n"/>
      <c r="P15" s="16" t="n"/>
      <c r="Q15" s="16" t="n"/>
      <c r="W15" s="12">
        <f>IF(AND(K15&lt;&gt;"",L15&lt;&gt;""),ROUND((L15-K15)/30.4375,1),"")</f>
        <v/>
      </c>
      <c r="X15" s="12">
        <f>IF(OR(A15="",M15="En ejecución",L15=""),"",YEAR(L15))</f>
        <v/>
      </c>
      <c r="Y15" s="13">
        <f>IF(X15="","",IFERROR(VLOOKUP(X15,SMMLV!$A$2:$B$38,2,FALSE),""))</f>
        <v/>
      </c>
      <c r="Z15" s="17">
        <f>IF(OR(Y15="",P15=""),"",ROUND(P15/Y15,2))</f>
        <v/>
      </c>
      <c r="AA15" s="13">
        <f>IF(Z15="","",ROUND(Z15*SMMLV!$E$4,0))</f>
        <v/>
      </c>
      <c r="AB15" s="13">
        <f>IF(AND(M15="En ejecución",P15&lt;&gt;"",Q15&lt;&gt;""),MAX(P15-Q15,0),"")</f>
        <v/>
      </c>
      <c r="AC15" s="12">
        <f>IF(A15="","",IF(B15="","Falta número de contrato; ","")&amp;IF(C15="","Falta entidad; ","")&amp;IF(E15="","Falta objeto; ","")&amp;IF(F15="","Falta especialidad; ","")&amp;IF(K15="","Falta fecha de inicio (recomendada); ","")&amp;IF(AND(M15&lt;&gt;"En ejecución",L15=""),"Falta fecha de terminación; ","")&amp;IF(AND(K15&lt;&gt;"",L15&lt;&gt;"",L15&lt;K15),"Terminación anterior al inicio; ","")&amp;IF(M15="","Falta estado; ","")&amp;IF(OR(P15="",P15&lt;=0),"Falta valor del contrato; ","")&amp;IF(AND(M15="En ejecución",Q15=""),"En ejecución sin valor ejecutado; ","")&amp;IF(AND(M15="En ejecución",L15&lt;&gt;"",L15&lt;TODAY()),"Dice en ejecución pero su terminación ya pasó; ","")&amp;IF(M15="En ejecución","En ejecución: no acredita experiencia; ","")&amp;IF(AND(M15&lt;&gt;"En ejecución",L15&lt;&gt;"",X15&lt;&gt;"",Y15=""),"El año no está en la hoja SMMLV; ","")&amp;IF(AND(B15&lt;&gt;"",COUNTIFS($B$2:$B$601,B15,$C$2:$C$601,C15)&gt;1),"Posible duplicado (mismo número y entidad); ","")&amp;IF(COUNTIF(PARTICIPACIONES!$A$2:$A$601,A15)=0,"Sin participaciones; ","")&amp;IF(SUMIFS(PARTICIPACIONES!$E$2:$E$601,PARTICIPACIONES!$A$2:$A$601,A15)&gt;1.0001,"Las participaciones suman más de 100 %; ",""))</f>
        <v/>
      </c>
    </row>
    <row r="16">
      <c r="J16" s="15" t="n"/>
      <c r="K16" s="15" t="n"/>
      <c r="L16" s="15" t="n"/>
      <c r="N16" s="15" t="n"/>
      <c r="O16" s="16" t="n"/>
      <c r="P16" s="16" t="n"/>
      <c r="Q16" s="16" t="n"/>
      <c r="W16" s="12">
        <f>IF(AND(K16&lt;&gt;"",L16&lt;&gt;""),ROUND((L16-K16)/30.4375,1),"")</f>
        <v/>
      </c>
      <c r="X16" s="12">
        <f>IF(OR(A16="",M16="En ejecución",L16=""),"",YEAR(L16))</f>
        <v/>
      </c>
      <c r="Y16" s="13">
        <f>IF(X16="","",IFERROR(VLOOKUP(X16,SMMLV!$A$2:$B$38,2,FALSE),""))</f>
        <v/>
      </c>
      <c r="Z16" s="17">
        <f>IF(OR(Y16="",P16=""),"",ROUND(P16/Y16,2))</f>
        <v/>
      </c>
      <c r="AA16" s="13">
        <f>IF(Z16="","",ROUND(Z16*SMMLV!$E$4,0))</f>
        <v/>
      </c>
      <c r="AB16" s="13">
        <f>IF(AND(M16="En ejecución",P16&lt;&gt;"",Q16&lt;&gt;""),MAX(P16-Q16,0),"")</f>
        <v/>
      </c>
      <c r="AC16" s="12">
        <f>IF(A16="","",IF(B16="","Falta número de contrato; ","")&amp;IF(C16="","Falta entidad; ","")&amp;IF(E16="","Falta objeto; ","")&amp;IF(F16="","Falta especialidad; ","")&amp;IF(K16="","Falta fecha de inicio (recomendada); ","")&amp;IF(AND(M16&lt;&gt;"En ejecución",L16=""),"Falta fecha de terminación; ","")&amp;IF(AND(K16&lt;&gt;"",L16&lt;&gt;"",L16&lt;K16),"Terminación anterior al inicio; ","")&amp;IF(M16="","Falta estado; ","")&amp;IF(OR(P16="",P16&lt;=0),"Falta valor del contrato; ","")&amp;IF(AND(M16="En ejecución",Q16=""),"En ejecución sin valor ejecutado; ","")&amp;IF(AND(M16="En ejecución",L16&lt;&gt;"",L16&lt;TODAY()),"Dice en ejecución pero su terminación ya pasó; ","")&amp;IF(M16="En ejecución","En ejecución: no acredita experiencia; ","")&amp;IF(AND(M16&lt;&gt;"En ejecución",L16&lt;&gt;"",X16&lt;&gt;"",Y16=""),"El año no está en la hoja SMMLV; ","")&amp;IF(AND(B16&lt;&gt;"",COUNTIFS($B$2:$B$601,B16,$C$2:$C$601,C16)&gt;1),"Posible duplicado (mismo número y entidad); ","")&amp;IF(COUNTIF(PARTICIPACIONES!$A$2:$A$601,A16)=0,"Sin participaciones; ","")&amp;IF(SUMIFS(PARTICIPACIONES!$E$2:$E$601,PARTICIPACIONES!$A$2:$A$601,A16)&gt;1.0001,"Las participaciones suman más de 100 %; ",""))</f>
        <v/>
      </c>
    </row>
    <row r="17">
      <c r="J17" s="15" t="n"/>
      <c r="K17" s="15" t="n"/>
      <c r="L17" s="15" t="n"/>
      <c r="N17" s="15" t="n"/>
      <c r="O17" s="16" t="n"/>
      <c r="P17" s="16" t="n"/>
      <c r="Q17" s="16" t="n"/>
      <c r="W17" s="12">
        <f>IF(AND(K17&lt;&gt;"",L17&lt;&gt;""),ROUND((L17-K17)/30.4375,1),"")</f>
        <v/>
      </c>
      <c r="X17" s="12">
        <f>IF(OR(A17="",M17="En ejecución",L17=""),"",YEAR(L17))</f>
        <v/>
      </c>
      <c r="Y17" s="13">
        <f>IF(X17="","",IFERROR(VLOOKUP(X17,SMMLV!$A$2:$B$38,2,FALSE),""))</f>
        <v/>
      </c>
      <c r="Z17" s="17">
        <f>IF(OR(Y17="",P17=""),"",ROUND(P17/Y17,2))</f>
        <v/>
      </c>
      <c r="AA17" s="13">
        <f>IF(Z17="","",ROUND(Z17*SMMLV!$E$4,0))</f>
        <v/>
      </c>
      <c r="AB17" s="13">
        <f>IF(AND(M17="En ejecución",P17&lt;&gt;"",Q17&lt;&gt;""),MAX(P17-Q17,0),"")</f>
        <v/>
      </c>
      <c r="AC17" s="12">
        <f>IF(A17="","",IF(B17="","Falta número de contrato; ","")&amp;IF(C17="","Falta entidad; ","")&amp;IF(E17="","Falta objeto; ","")&amp;IF(F17="","Falta especialidad; ","")&amp;IF(K17="","Falta fecha de inicio (recomendada); ","")&amp;IF(AND(M17&lt;&gt;"En ejecución",L17=""),"Falta fecha de terminación; ","")&amp;IF(AND(K17&lt;&gt;"",L17&lt;&gt;"",L17&lt;K17),"Terminación anterior al inicio; ","")&amp;IF(M17="","Falta estado; ","")&amp;IF(OR(P17="",P17&lt;=0),"Falta valor del contrato; ","")&amp;IF(AND(M17="En ejecución",Q17=""),"En ejecución sin valor ejecutado; ","")&amp;IF(AND(M17="En ejecución",L17&lt;&gt;"",L17&lt;TODAY()),"Dice en ejecución pero su terminación ya pasó; ","")&amp;IF(M17="En ejecución","En ejecución: no acredita experiencia; ","")&amp;IF(AND(M17&lt;&gt;"En ejecución",L17&lt;&gt;"",X17&lt;&gt;"",Y17=""),"El año no está en la hoja SMMLV; ","")&amp;IF(AND(B17&lt;&gt;"",COUNTIFS($B$2:$B$601,B17,$C$2:$C$601,C17)&gt;1),"Posible duplicado (mismo número y entidad); ","")&amp;IF(COUNTIF(PARTICIPACIONES!$A$2:$A$601,A17)=0,"Sin participaciones; ","")&amp;IF(SUMIFS(PARTICIPACIONES!$E$2:$E$601,PARTICIPACIONES!$A$2:$A$601,A17)&gt;1.0001,"Las participaciones suman más de 100 %; ",""))</f>
        <v/>
      </c>
    </row>
    <row r="18">
      <c r="J18" s="15" t="n"/>
      <c r="K18" s="15" t="n"/>
      <c r="L18" s="15" t="n"/>
      <c r="N18" s="15" t="n"/>
      <c r="O18" s="16" t="n"/>
      <c r="P18" s="16" t="n"/>
      <c r="Q18" s="16" t="n"/>
      <c r="W18" s="12">
        <f>IF(AND(K18&lt;&gt;"",L18&lt;&gt;""),ROUND((L18-K18)/30.4375,1),"")</f>
        <v/>
      </c>
      <c r="X18" s="12">
        <f>IF(OR(A18="",M18="En ejecución",L18=""),"",YEAR(L18))</f>
        <v/>
      </c>
      <c r="Y18" s="13">
        <f>IF(X18="","",IFERROR(VLOOKUP(X18,SMMLV!$A$2:$B$38,2,FALSE),""))</f>
        <v/>
      </c>
      <c r="Z18" s="17">
        <f>IF(OR(Y18="",P18=""),"",ROUND(P18/Y18,2))</f>
        <v/>
      </c>
      <c r="AA18" s="13">
        <f>IF(Z18="","",ROUND(Z18*SMMLV!$E$4,0))</f>
        <v/>
      </c>
      <c r="AB18" s="13">
        <f>IF(AND(M18="En ejecución",P18&lt;&gt;"",Q18&lt;&gt;""),MAX(P18-Q18,0),"")</f>
        <v/>
      </c>
      <c r="AC18" s="12">
        <f>IF(A18="","",IF(B18="","Falta número de contrato; ","")&amp;IF(C18="","Falta entidad; ","")&amp;IF(E18="","Falta objeto; ","")&amp;IF(F18="","Falta especialidad; ","")&amp;IF(K18="","Falta fecha de inicio (recomendada); ","")&amp;IF(AND(M18&lt;&gt;"En ejecución",L18=""),"Falta fecha de terminación; ","")&amp;IF(AND(K18&lt;&gt;"",L18&lt;&gt;"",L18&lt;K18),"Terminación anterior al inicio; ","")&amp;IF(M18="","Falta estado; ","")&amp;IF(OR(P18="",P18&lt;=0),"Falta valor del contrato; ","")&amp;IF(AND(M18="En ejecución",Q18=""),"En ejecución sin valor ejecutado; ","")&amp;IF(AND(M18="En ejecución",L18&lt;&gt;"",L18&lt;TODAY()),"Dice en ejecución pero su terminación ya pasó; ","")&amp;IF(M18="En ejecución","En ejecución: no acredita experiencia; ","")&amp;IF(AND(M18&lt;&gt;"En ejecución",L18&lt;&gt;"",X18&lt;&gt;"",Y18=""),"El año no está en la hoja SMMLV; ","")&amp;IF(AND(B18&lt;&gt;"",COUNTIFS($B$2:$B$601,B18,$C$2:$C$601,C18)&gt;1),"Posible duplicado (mismo número y entidad); ","")&amp;IF(COUNTIF(PARTICIPACIONES!$A$2:$A$601,A18)=0,"Sin participaciones; ","")&amp;IF(SUMIFS(PARTICIPACIONES!$E$2:$E$601,PARTICIPACIONES!$A$2:$A$601,A18)&gt;1.0001,"Las participaciones suman más de 100 %; ",""))</f>
        <v/>
      </c>
    </row>
    <row r="19">
      <c r="J19" s="15" t="n"/>
      <c r="K19" s="15" t="n"/>
      <c r="L19" s="15" t="n"/>
      <c r="N19" s="15" t="n"/>
      <c r="O19" s="16" t="n"/>
      <c r="P19" s="16" t="n"/>
      <c r="Q19" s="16" t="n"/>
      <c r="W19" s="12">
        <f>IF(AND(K19&lt;&gt;"",L19&lt;&gt;""),ROUND((L19-K19)/30.4375,1),"")</f>
        <v/>
      </c>
      <c r="X19" s="12">
        <f>IF(OR(A19="",M19="En ejecución",L19=""),"",YEAR(L19))</f>
        <v/>
      </c>
      <c r="Y19" s="13">
        <f>IF(X19="","",IFERROR(VLOOKUP(X19,SMMLV!$A$2:$B$38,2,FALSE),""))</f>
        <v/>
      </c>
      <c r="Z19" s="17">
        <f>IF(OR(Y19="",P19=""),"",ROUND(P19/Y19,2))</f>
        <v/>
      </c>
      <c r="AA19" s="13">
        <f>IF(Z19="","",ROUND(Z19*SMMLV!$E$4,0))</f>
        <v/>
      </c>
      <c r="AB19" s="13">
        <f>IF(AND(M19="En ejecución",P19&lt;&gt;"",Q19&lt;&gt;""),MAX(P19-Q19,0),"")</f>
        <v/>
      </c>
      <c r="AC19" s="12">
        <f>IF(A19="","",IF(B19="","Falta número de contrato; ","")&amp;IF(C19="","Falta entidad; ","")&amp;IF(E19="","Falta objeto; ","")&amp;IF(F19="","Falta especialidad; ","")&amp;IF(K19="","Falta fecha de inicio (recomendada); ","")&amp;IF(AND(M19&lt;&gt;"En ejecución",L19=""),"Falta fecha de terminación; ","")&amp;IF(AND(K19&lt;&gt;"",L19&lt;&gt;"",L19&lt;K19),"Terminación anterior al inicio; ","")&amp;IF(M19="","Falta estado; ","")&amp;IF(OR(P19="",P19&lt;=0),"Falta valor del contrato; ","")&amp;IF(AND(M19="En ejecución",Q19=""),"En ejecución sin valor ejecutado; ","")&amp;IF(AND(M19="En ejecución",L19&lt;&gt;"",L19&lt;TODAY()),"Dice en ejecución pero su terminación ya pasó; ","")&amp;IF(M19="En ejecución","En ejecución: no acredita experiencia; ","")&amp;IF(AND(M19&lt;&gt;"En ejecución",L19&lt;&gt;"",X19&lt;&gt;"",Y19=""),"El año no está en la hoja SMMLV; ","")&amp;IF(AND(B19&lt;&gt;"",COUNTIFS($B$2:$B$601,B19,$C$2:$C$601,C19)&gt;1),"Posible duplicado (mismo número y entidad); ","")&amp;IF(COUNTIF(PARTICIPACIONES!$A$2:$A$601,A19)=0,"Sin participaciones; ","")&amp;IF(SUMIFS(PARTICIPACIONES!$E$2:$E$601,PARTICIPACIONES!$A$2:$A$601,A19)&gt;1.0001,"Las participaciones suman más de 100 %; ",""))</f>
        <v/>
      </c>
    </row>
    <row r="20">
      <c r="J20" s="15" t="n"/>
      <c r="K20" s="15" t="n"/>
      <c r="L20" s="15" t="n"/>
      <c r="N20" s="15" t="n"/>
      <c r="O20" s="16" t="n"/>
      <c r="P20" s="16" t="n"/>
      <c r="Q20" s="16" t="n"/>
      <c r="W20" s="12">
        <f>IF(AND(K20&lt;&gt;"",L20&lt;&gt;""),ROUND((L20-K20)/30.4375,1),"")</f>
        <v/>
      </c>
      <c r="X20" s="12">
        <f>IF(OR(A20="",M20="En ejecución",L20=""),"",YEAR(L20))</f>
        <v/>
      </c>
      <c r="Y20" s="13">
        <f>IF(X20="","",IFERROR(VLOOKUP(X20,SMMLV!$A$2:$B$38,2,FALSE),""))</f>
        <v/>
      </c>
      <c r="Z20" s="17">
        <f>IF(OR(Y20="",P20=""),"",ROUND(P20/Y20,2))</f>
        <v/>
      </c>
      <c r="AA20" s="13">
        <f>IF(Z20="","",ROUND(Z20*SMMLV!$E$4,0))</f>
        <v/>
      </c>
      <c r="AB20" s="13">
        <f>IF(AND(M20="En ejecución",P20&lt;&gt;"",Q20&lt;&gt;""),MAX(P20-Q20,0),"")</f>
        <v/>
      </c>
      <c r="AC20" s="12">
        <f>IF(A20="","",IF(B20="","Falta número de contrato; ","")&amp;IF(C20="","Falta entidad; ","")&amp;IF(E20="","Falta objeto; ","")&amp;IF(F20="","Falta especialidad; ","")&amp;IF(K20="","Falta fecha de inicio (recomendada); ","")&amp;IF(AND(M20&lt;&gt;"En ejecución",L20=""),"Falta fecha de terminación; ","")&amp;IF(AND(K20&lt;&gt;"",L20&lt;&gt;"",L20&lt;K20),"Terminación anterior al inicio; ","")&amp;IF(M20="","Falta estado; ","")&amp;IF(OR(P20="",P20&lt;=0),"Falta valor del contrato; ","")&amp;IF(AND(M20="En ejecución",Q20=""),"En ejecución sin valor ejecutado; ","")&amp;IF(AND(M20="En ejecución",L20&lt;&gt;"",L20&lt;TODAY()),"Dice en ejecución pero su terminación ya pasó; ","")&amp;IF(M20="En ejecución","En ejecución: no acredita experiencia; ","")&amp;IF(AND(M20&lt;&gt;"En ejecución",L20&lt;&gt;"",X20&lt;&gt;"",Y20=""),"El año no está en la hoja SMMLV; ","")&amp;IF(AND(B20&lt;&gt;"",COUNTIFS($B$2:$B$601,B20,$C$2:$C$601,C20)&gt;1),"Posible duplicado (mismo número y entidad); ","")&amp;IF(COUNTIF(PARTICIPACIONES!$A$2:$A$601,A20)=0,"Sin participaciones; ","")&amp;IF(SUMIFS(PARTICIPACIONES!$E$2:$E$601,PARTICIPACIONES!$A$2:$A$601,A20)&gt;1.0001,"Las participaciones suman más de 100 %; ",""))</f>
        <v/>
      </c>
    </row>
    <row r="21">
      <c r="J21" s="15" t="n"/>
      <c r="K21" s="15" t="n"/>
      <c r="L21" s="15" t="n"/>
      <c r="N21" s="15" t="n"/>
      <c r="O21" s="16" t="n"/>
      <c r="P21" s="16" t="n"/>
      <c r="Q21" s="16" t="n"/>
      <c r="W21" s="12">
        <f>IF(AND(K21&lt;&gt;"",L21&lt;&gt;""),ROUND((L21-K21)/30.4375,1),"")</f>
        <v/>
      </c>
      <c r="X21" s="12">
        <f>IF(OR(A21="",M21="En ejecución",L21=""),"",YEAR(L21))</f>
        <v/>
      </c>
      <c r="Y21" s="13">
        <f>IF(X21="","",IFERROR(VLOOKUP(X21,SMMLV!$A$2:$B$38,2,FALSE),""))</f>
        <v/>
      </c>
      <c r="Z21" s="17">
        <f>IF(OR(Y21="",P21=""),"",ROUND(P21/Y21,2))</f>
        <v/>
      </c>
      <c r="AA21" s="13">
        <f>IF(Z21="","",ROUND(Z21*SMMLV!$E$4,0))</f>
        <v/>
      </c>
      <c r="AB21" s="13">
        <f>IF(AND(M21="En ejecución",P21&lt;&gt;"",Q21&lt;&gt;""),MAX(P21-Q21,0),"")</f>
        <v/>
      </c>
      <c r="AC21" s="12">
        <f>IF(A21="","",IF(B21="","Falta número de contrato; ","")&amp;IF(C21="","Falta entidad; ","")&amp;IF(E21="","Falta objeto; ","")&amp;IF(F21="","Falta especialidad; ","")&amp;IF(K21="","Falta fecha de inicio (recomendada); ","")&amp;IF(AND(M21&lt;&gt;"En ejecución",L21=""),"Falta fecha de terminación; ","")&amp;IF(AND(K21&lt;&gt;"",L21&lt;&gt;"",L21&lt;K21),"Terminación anterior al inicio; ","")&amp;IF(M21="","Falta estado; ","")&amp;IF(OR(P21="",P21&lt;=0),"Falta valor del contrato; ","")&amp;IF(AND(M21="En ejecución",Q21=""),"En ejecución sin valor ejecutado; ","")&amp;IF(AND(M21="En ejecución",L21&lt;&gt;"",L21&lt;TODAY()),"Dice en ejecución pero su terminación ya pasó; ","")&amp;IF(M21="En ejecución","En ejecución: no acredita experiencia; ","")&amp;IF(AND(M21&lt;&gt;"En ejecución",L21&lt;&gt;"",X21&lt;&gt;"",Y21=""),"El año no está en la hoja SMMLV; ","")&amp;IF(AND(B21&lt;&gt;"",COUNTIFS($B$2:$B$601,B21,$C$2:$C$601,C21)&gt;1),"Posible duplicado (mismo número y entidad); ","")&amp;IF(COUNTIF(PARTICIPACIONES!$A$2:$A$601,A21)=0,"Sin participaciones; ","")&amp;IF(SUMIFS(PARTICIPACIONES!$E$2:$E$601,PARTICIPACIONES!$A$2:$A$601,A21)&gt;1.0001,"Las participaciones suman más de 100 %; ",""))</f>
        <v/>
      </c>
    </row>
    <row r="22">
      <c r="J22" s="15" t="n"/>
      <c r="K22" s="15" t="n"/>
      <c r="L22" s="15" t="n"/>
      <c r="N22" s="15" t="n"/>
      <c r="O22" s="16" t="n"/>
      <c r="P22" s="16" t="n"/>
      <c r="Q22" s="16" t="n"/>
      <c r="W22" s="12">
        <f>IF(AND(K22&lt;&gt;"",L22&lt;&gt;""),ROUND((L22-K22)/30.4375,1),"")</f>
        <v/>
      </c>
      <c r="X22" s="12">
        <f>IF(OR(A22="",M22="En ejecución",L22=""),"",YEAR(L22))</f>
        <v/>
      </c>
      <c r="Y22" s="13">
        <f>IF(X22="","",IFERROR(VLOOKUP(X22,SMMLV!$A$2:$B$38,2,FALSE),""))</f>
        <v/>
      </c>
      <c r="Z22" s="17">
        <f>IF(OR(Y22="",P22=""),"",ROUND(P22/Y22,2))</f>
        <v/>
      </c>
      <c r="AA22" s="13">
        <f>IF(Z22="","",ROUND(Z22*SMMLV!$E$4,0))</f>
        <v/>
      </c>
      <c r="AB22" s="13">
        <f>IF(AND(M22="En ejecución",P22&lt;&gt;"",Q22&lt;&gt;""),MAX(P22-Q22,0),"")</f>
        <v/>
      </c>
      <c r="AC22" s="12">
        <f>IF(A22="","",IF(B22="","Falta número de contrato; ","")&amp;IF(C22="","Falta entidad; ","")&amp;IF(E22="","Falta objeto; ","")&amp;IF(F22="","Falta especialidad; ","")&amp;IF(K22="","Falta fecha de inicio (recomendada); ","")&amp;IF(AND(M22&lt;&gt;"En ejecución",L22=""),"Falta fecha de terminación; ","")&amp;IF(AND(K22&lt;&gt;"",L22&lt;&gt;"",L22&lt;K22),"Terminación anterior al inicio; ","")&amp;IF(M22="","Falta estado; ","")&amp;IF(OR(P22="",P22&lt;=0),"Falta valor del contrato; ","")&amp;IF(AND(M22="En ejecución",Q22=""),"En ejecución sin valor ejecutado; ","")&amp;IF(AND(M22="En ejecución",L22&lt;&gt;"",L22&lt;TODAY()),"Dice en ejecución pero su terminación ya pasó; ","")&amp;IF(M22="En ejecución","En ejecución: no acredita experiencia; ","")&amp;IF(AND(M22&lt;&gt;"En ejecución",L22&lt;&gt;"",X22&lt;&gt;"",Y22=""),"El año no está en la hoja SMMLV; ","")&amp;IF(AND(B22&lt;&gt;"",COUNTIFS($B$2:$B$601,B22,$C$2:$C$601,C22)&gt;1),"Posible duplicado (mismo número y entidad); ","")&amp;IF(COUNTIF(PARTICIPACIONES!$A$2:$A$601,A22)=0,"Sin participaciones; ","")&amp;IF(SUMIFS(PARTICIPACIONES!$E$2:$E$601,PARTICIPACIONES!$A$2:$A$601,A22)&gt;1.0001,"Las participaciones suman más de 100 %; ",""))</f>
        <v/>
      </c>
    </row>
    <row r="23">
      <c r="J23" s="15" t="n"/>
      <c r="K23" s="15" t="n"/>
      <c r="L23" s="15" t="n"/>
      <c r="N23" s="15" t="n"/>
      <c r="O23" s="16" t="n"/>
      <c r="P23" s="16" t="n"/>
      <c r="Q23" s="16" t="n"/>
      <c r="W23" s="12">
        <f>IF(AND(K23&lt;&gt;"",L23&lt;&gt;""),ROUND((L23-K23)/30.4375,1),"")</f>
        <v/>
      </c>
      <c r="X23" s="12">
        <f>IF(OR(A23="",M23="En ejecución",L23=""),"",YEAR(L23))</f>
        <v/>
      </c>
      <c r="Y23" s="13">
        <f>IF(X23="","",IFERROR(VLOOKUP(X23,SMMLV!$A$2:$B$38,2,FALSE),""))</f>
        <v/>
      </c>
      <c r="Z23" s="17">
        <f>IF(OR(Y23="",P23=""),"",ROUND(P23/Y23,2))</f>
        <v/>
      </c>
      <c r="AA23" s="13">
        <f>IF(Z23="","",ROUND(Z23*SMMLV!$E$4,0))</f>
        <v/>
      </c>
      <c r="AB23" s="13">
        <f>IF(AND(M23="En ejecución",P23&lt;&gt;"",Q23&lt;&gt;""),MAX(P23-Q23,0),"")</f>
        <v/>
      </c>
      <c r="AC23" s="12">
        <f>IF(A23="","",IF(B23="","Falta número de contrato; ","")&amp;IF(C23="","Falta entidad; ","")&amp;IF(E23="","Falta objeto; ","")&amp;IF(F23="","Falta especialidad; ","")&amp;IF(K23="","Falta fecha de inicio (recomendada); ","")&amp;IF(AND(M23&lt;&gt;"En ejecución",L23=""),"Falta fecha de terminación; ","")&amp;IF(AND(K23&lt;&gt;"",L23&lt;&gt;"",L23&lt;K23),"Terminación anterior al inicio; ","")&amp;IF(M23="","Falta estado; ","")&amp;IF(OR(P23="",P23&lt;=0),"Falta valor del contrato; ","")&amp;IF(AND(M23="En ejecución",Q23=""),"En ejecución sin valor ejecutado; ","")&amp;IF(AND(M23="En ejecución",L23&lt;&gt;"",L23&lt;TODAY()),"Dice en ejecución pero su terminación ya pasó; ","")&amp;IF(M23="En ejecución","En ejecución: no acredita experiencia; ","")&amp;IF(AND(M23&lt;&gt;"En ejecución",L23&lt;&gt;"",X23&lt;&gt;"",Y23=""),"El año no está en la hoja SMMLV; ","")&amp;IF(AND(B23&lt;&gt;"",COUNTIFS($B$2:$B$601,B23,$C$2:$C$601,C23)&gt;1),"Posible duplicado (mismo número y entidad); ","")&amp;IF(COUNTIF(PARTICIPACIONES!$A$2:$A$601,A23)=0,"Sin participaciones; ","")&amp;IF(SUMIFS(PARTICIPACIONES!$E$2:$E$601,PARTICIPACIONES!$A$2:$A$601,A23)&gt;1.0001,"Las participaciones suman más de 100 %; ",""))</f>
        <v/>
      </c>
    </row>
    <row r="24">
      <c r="J24" s="15" t="n"/>
      <c r="K24" s="15" t="n"/>
      <c r="L24" s="15" t="n"/>
      <c r="N24" s="15" t="n"/>
      <c r="O24" s="16" t="n"/>
      <c r="P24" s="16" t="n"/>
      <c r="Q24" s="16" t="n"/>
      <c r="W24" s="12">
        <f>IF(AND(K24&lt;&gt;"",L24&lt;&gt;""),ROUND((L24-K24)/30.4375,1),"")</f>
        <v/>
      </c>
      <c r="X24" s="12">
        <f>IF(OR(A24="",M24="En ejecución",L24=""),"",YEAR(L24))</f>
        <v/>
      </c>
      <c r="Y24" s="13">
        <f>IF(X24="","",IFERROR(VLOOKUP(X24,SMMLV!$A$2:$B$38,2,FALSE),""))</f>
        <v/>
      </c>
      <c r="Z24" s="17">
        <f>IF(OR(Y24="",P24=""),"",ROUND(P24/Y24,2))</f>
        <v/>
      </c>
      <c r="AA24" s="13">
        <f>IF(Z24="","",ROUND(Z24*SMMLV!$E$4,0))</f>
        <v/>
      </c>
      <c r="AB24" s="13">
        <f>IF(AND(M24="En ejecución",P24&lt;&gt;"",Q24&lt;&gt;""),MAX(P24-Q24,0),"")</f>
        <v/>
      </c>
      <c r="AC24" s="12">
        <f>IF(A24="","",IF(B24="","Falta número de contrato; ","")&amp;IF(C24="","Falta entidad; ","")&amp;IF(E24="","Falta objeto; ","")&amp;IF(F24="","Falta especialidad; ","")&amp;IF(K24="","Falta fecha de inicio (recomendada); ","")&amp;IF(AND(M24&lt;&gt;"En ejecución",L24=""),"Falta fecha de terminación; ","")&amp;IF(AND(K24&lt;&gt;"",L24&lt;&gt;"",L24&lt;K24),"Terminación anterior al inicio; ","")&amp;IF(M24="","Falta estado; ","")&amp;IF(OR(P24="",P24&lt;=0),"Falta valor del contrato; ","")&amp;IF(AND(M24="En ejecución",Q24=""),"En ejecución sin valor ejecutado; ","")&amp;IF(AND(M24="En ejecución",L24&lt;&gt;"",L24&lt;TODAY()),"Dice en ejecución pero su terminación ya pasó; ","")&amp;IF(M24="En ejecución","En ejecución: no acredita experiencia; ","")&amp;IF(AND(M24&lt;&gt;"En ejecución",L24&lt;&gt;"",X24&lt;&gt;"",Y24=""),"El año no está en la hoja SMMLV; ","")&amp;IF(AND(B24&lt;&gt;"",COUNTIFS($B$2:$B$601,B24,$C$2:$C$601,C24)&gt;1),"Posible duplicado (mismo número y entidad); ","")&amp;IF(COUNTIF(PARTICIPACIONES!$A$2:$A$601,A24)=0,"Sin participaciones; ","")&amp;IF(SUMIFS(PARTICIPACIONES!$E$2:$E$601,PARTICIPACIONES!$A$2:$A$601,A24)&gt;1.0001,"Las participaciones suman más de 100 %; ",""))</f>
        <v/>
      </c>
    </row>
    <row r="25">
      <c r="J25" s="15" t="n"/>
      <c r="K25" s="15" t="n"/>
      <c r="L25" s="15" t="n"/>
      <c r="N25" s="15" t="n"/>
      <c r="O25" s="16" t="n"/>
      <c r="P25" s="16" t="n"/>
      <c r="Q25" s="16" t="n"/>
      <c r="W25" s="12">
        <f>IF(AND(K25&lt;&gt;"",L25&lt;&gt;""),ROUND((L25-K25)/30.4375,1),"")</f>
        <v/>
      </c>
      <c r="X25" s="12">
        <f>IF(OR(A25="",M25="En ejecución",L25=""),"",YEAR(L25))</f>
        <v/>
      </c>
      <c r="Y25" s="13">
        <f>IF(X25="","",IFERROR(VLOOKUP(X25,SMMLV!$A$2:$B$38,2,FALSE),""))</f>
        <v/>
      </c>
      <c r="Z25" s="17">
        <f>IF(OR(Y25="",P25=""),"",ROUND(P25/Y25,2))</f>
        <v/>
      </c>
      <c r="AA25" s="13">
        <f>IF(Z25="","",ROUND(Z25*SMMLV!$E$4,0))</f>
        <v/>
      </c>
      <c r="AB25" s="13">
        <f>IF(AND(M25="En ejecución",P25&lt;&gt;"",Q25&lt;&gt;""),MAX(P25-Q25,0),"")</f>
        <v/>
      </c>
      <c r="AC25" s="12">
        <f>IF(A25="","",IF(B25="","Falta número de contrato; ","")&amp;IF(C25="","Falta entidad; ","")&amp;IF(E25="","Falta objeto; ","")&amp;IF(F25="","Falta especialidad; ","")&amp;IF(K25="","Falta fecha de inicio (recomendada); ","")&amp;IF(AND(M25&lt;&gt;"En ejecución",L25=""),"Falta fecha de terminación; ","")&amp;IF(AND(K25&lt;&gt;"",L25&lt;&gt;"",L25&lt;K25),"Terminación anterior al inicio; ","")&amp;IF(M25="","Falta estado; ","")&amp;IF(OR(P25="",P25&lt;=0),"Falta valor del contrato; ","")&amp;IF(AND(M25="En ejecución",Q25=""),"En ejecución sin valor ejecutado; ","")&amp;IF(AND(M25="En ejecución",L25&lt;&gt;"",L25&lt;TODAY()),"Dice en ejecución pero su terminación ya pasó; ","")&amp;IF(M25="En ejecución","En ejecución: no acredita experiencia; ","")&amp;IF(AND(M25&lt;&gt;"En ejecución",L25&lt;&gt;"",X25&lt;&gt;"",Y25=""),"El año no está en la hoja SMMLV; ","")&amp;IF(AND(B25&lt;&gt;"",COUNTIFS($B$2:$B$601,B25,$C$2:$C$601,C25)&gt;1),"Posible duplicado (mismo número y entidad); ","")&amp;IF(COUNTIF(PARTICIPACIONES!$A$2:$A$601,A25)=0,"Sin participaciones; ","")&amp;IF(SUMIFS(PARTICIPACIONES!$E$2:$E$601,PARTICIPACIONES!$A$2:$A$601,A25)&gt;1.0001,"Las participaciones suman más de 100 %; ",""))</f>
        <v/>
      </c>
    </row>
    <row r="26">
      <c r="J26" s="15" t="n"/>
      <c r="K26" s="15" t="n"/>
      <c r="L26" s="15" t="n"/>
      <c r="N26" s="15" t="n"/>
      <c r="O26" s="16" t="n"/>
      <c r="P26" s="16" t="n"/>
      <c r="Q26" s="16" t="n"/>
      <c r="W26" s="12">
        <f>IF(AND(K26&lt;&gt;"",L26&lt;&gt;""),ROUND((L26-K26)/30.4375,1),"")</f>
        <v/>
      </c>
      <c r="X26" s="12">
        <f>IF(OR(A26="",M26="En ejecución",L26=""),"",YEAR(L26))</f>
        <v/>
      </c>
      <c r="Y26" s="13">
        <f>IF(X26="","",IFERROR(VLOOKUP(X26,SMMLV!$A$2:$B$38,2,FALSE),""))</f>
        <v/>
      </c>
      <c r="Z26" s="17">
        <f>IF(OR(Y26="",P26=""),"",ROUND(P26/Y26,2))</f>
        <v/>
      </c>
      <c r="AA26" s="13">
        <f>IF(Z26="","",ROUND(Z26*SMMLV!$E$4,0))</f>
        <v/>
      </c>
      <c r="AB26" s="13">
        <f>IF(AND(M26="En ejecución",P26&lt;&gt;"",Q26&lt;&gt;""),MAX(P26-Q26,0),"")</f>
        <v/>
      </c>
      <c r="AC26" s="12">
        <f>IF(A26="","",IF(B26="","Falta número de contrato; ","")&amp;IF(C26="","Falta entidad; ","")&amp;IF(E26="","Falta objeto; ","")&amp;IF(F26="","Falta especialidad; ","")&amp;IF(K26="","Falta fecha de inicio (recomendada); ","")&amp;IF(AND(M26&lt;&gt;"En ejecución",L26=""),"Falta fecha de terminación; ","")&amp;IF(AND(K26&lt;&gt;"",L26&lt;&gt;"",L26&lt;K26),"Terminación anterior al inicio; ","")&amp;IF(M26="","Falta estado; ","")&amp;IF(OR(P26="",P26&lt;=0),"Falta valor del contrato; ","")&amp;IF(AND(M26="En ejecución",Q26=""),"En ejecución sin valor ejecutado; ","")&amp;IF(AND(M26="En ejecución",L26&lt;&gt;"",L26&lt;TODAY()),"Dice en ejecución pero su terminación ya pasó; ","")&amp;IF(M26="En ejecución","En ejecución: no acredita experiencia; ","")&amp;IF(AND(M26&lt;&gt;"En ejecución",L26&lt;&gt;"",X26&lt;&gt;"",Y26=""),"El año no está en la hoja SMMLV; ","")&amp;IF(AND(B26&lt;&gt;"",COUNTIFS($B$2:$B$601,B26,$C$2:$C$601,C26)&gt;1),"Posible duplicado (mismo número y entidad); ","")&amp;IF(COUNTIF(PARTICIPACIONES!$A$2:$A$601,A26)=0,"Sin participaciones; ","")&amp;IF(SUMIFS(PARTICIPACIONES!$E$2:$E$601,PARTICIPACIONES!$A$2:$A$601,A26)&gt;1.0001,"Las participaciones suman más de 100 %; ",""))</f>
        <v/>
      </c>
    </row>
    <row r="27">
      <c r="J27" s="15" t="n"/>
      <c r="K27" s="15" t="n"/>
      <c r="L27" s="15" t="n"/>
      <c r="N27" s="15" t="n"/>
      <c r="O27" s="16" t="n"/>
      <c r="P27" s="16" t="n"/>
      <c r="Q27" s="16" t="n"/>
      <c r="W27" s="12">
        <f>IF(AND(K27&lt;&gt;"",L27&lt;&gt;""),ROUND((L27-K27)/30.4375,1),"")</f>
        <v/>
      </c>
      <c r="X27" s="12">
        <f>IF(OR(A27="",M27="En ejecución",L27=""),"",YEAR(L27))</f>
        <v/>
      </c>
      <c r="Y27" s="13">
        <f>IF(X27="","",IFERROR(VLOOKUP(X27,SMMLV!$A$2:$B$38,2,FALSE),""))</f>
        <v/>
      </c>
      <c r="Z27" s="17">
        <f>IF(OR(Y27="",P27=""),"",ROUND(P27/Y27,2))</f>
        <v/>
      </c>
      <c r="AA27" s="13">
        <f>IF(Z27="","",ROUND(Z27*SMMLV!$E$4,0))</f>
        <v/>
      </c>
      <c r="AB27" s="13">
        <f>IF(AND(M27="En ejecución",P27&lt;&gt;"",Q27&lt;&gt;""),MAX(P27-Q27,0),"")</f>
        <v/>
      </c>
      <c r="AC27" s="12">
        <f>IF(A27="","",IF(B27="","Falta número de contrato; ","")&amp;IF(C27="","Falta entidad; ","")&amp;IF(E27="","Falta objeto; ","")&amp;IF(F27="","Falta especialidad; ","")&amp;IF(K27="","Falta fecha de inicio (recomendada); ","")&amp;IF(AND(M27&lt;&gt;"En ejecución",L27=""),"Falta fecha de terminación; ","")&amp;IF(AND(K27&lt;&gt;"",L27&lt;&gt;"",L27&lt;K27),"Terminación anterior al inicio; ","")&amp;IF(M27="","Falta estado; ","")&amp;IF(OR(P27="",P27&lt;=0),"Falta valor del contrato; ","")&amp;IF(AND(M27="En ejecución",Q27=""),"En ejecución sin valor ejecutado; ","")&amp;IF(AND(M27="En ejecución",L27&lt;&gt;"",L27&lt;TODAY()),"Dice en ejecución pero su terminación ya pasó; ","")&amp;IF(M27="En ejecución","En ejecución: no acredita experiencia; ","")&amp;IF(AND(M27&lt;&gt;"En ejecución",L27&lt;&gt;"",X27&lt;&gt;"",Y27=""),"El año no está en la hoja SMMLV; ","")&amp;IF(AND(B27&lt;&gt;"",COUNTIFS($B$2:$B$601,B27,$C$2:$C$601,C27)&gt;1),"Posible duplicado (mismo número y entidad); ","")&amp;IF(COUNTIF(PARTICIPACIONES!$A$2:$A$601,A27)=0,"Sin participaciones; ","")&amp;IF(SUMIFS(PARTICIPACIONES!$E$2:$E$601,PARTICIPACIONES!$A$2:$A$601,A27)&gt;1.0001,"Las participaciones suman más de 100 %; ",""))</f>
        <v/>
      </c>
    </row>
    <row r="28">
      <c r="J28" s="15" t="n"/>
      <c r="K28" s="15" t="n"/>
      <c r="L28" s="15" t="n"/>
      <c r="N28" s="15" t="n"/>
      <c r="O28" s="16" t="n"/>
      <c r="P28" s="16" t="n"/>
      <c r="Q28" s="16" t="n"/>
      <c r="W28" s="12">
        <f>IF(AND(K28&lt;&gt;"",L28&lt;&gt;""),ROUND((L28-K28)/30.4375,1),"")</f>
        <v/>
      </c>
      <c r="X28" s="12">
        <f>IF(OR(A28="",M28="En ejecución",L28=""),"",YEAR(L28))</f>
        <v/>
      </c>
      <c r="Y28" s="13">
        <f>IF(X28="","",IFERROR(VLOOKUP(X28,SMMLV!$A$2:$B$38,2,FALSE),""))</f>
        <v/>
      </c>
      <c r="Z28" s="17">
        <f>IF(OR(Y28="",P28=""),"",ROUND(P28/Y28,2))</f>
        <v/>
      </c>
      <c r="AA28" s="13">
        <f>IF(Z28="","",ROUND(Z28*SMMLV!$E$4,0))</f>
        <v/>
      </c>
      <c r="AB28" s="13">
        <f>IF(AND(M28="En ejecución",P28&lt;&gt;"",Q28&lt;&gt;""),MAX(P28-Q28,0),"")</f>
        <v/>
      </c>
      <c r="AC28" s="12">
        <f>IF(A28="","",IF(B28="","Falta número de contrato; ","")&amp;IF(C28="","Falta entidad; ","")&amp;IF(E28="","Falta objeto; ","")&amp;IF(F28="","Falta especialidad; ","")&amp;IF(K28="","Falta fecha de inicio (recomendada); ","")&amp;IF(AND(M28&lt;&gt;"En ejecución",L28=""),"Falta fecha de terminación; ","")&amp;IF(AND(K28&lt;&gt;"",L28&lt;&gt;"",L28&lt;K28),"Terminación anterior al inicio; ","")&amp;IF(M28="","Falta estado; ","")&amp;IF(OR(P28="",P28&lt;=0),"Falta valor del contrato; ","")&amp;IF(AND(M28="En ejecución",Q28=""),"En ejecución sin valor ejecutado; ","")&amp;IF(AND(M28="En ejecución",L28&lt;&gt;"",L28&lt;TODAY()),"Dice en ejecución pero su terminación ya pasó; ","")&amp;IF(M28="En ejecución","En ejecución: no acredita experiencia; ","")&amp;IF(AND(M28&lt;&gt;"En ejecución",L28&lt;&gt;"",X28&lt;&gt;"",Y28=""),"El año no está en la hoja SMMLV; ","")&amp;IF(AND(B28&lt;&gt;"",COUNTIFS($B$2:$B$601,B28,$C$2:$C$601,C28)&gt;1),"Posible duplicado (mismo número y entidad); ","")&amp;IF(COUNTIF(PARTICIPACIONES!$A$2:$A$601,A28)=0,"Sin participaciones; ","")&amp;IF(SUMIFS(PARTICIPACIONES!$E$2:$E$601,PARTICIPACIONES!$A$2:$A$601,A28)&gt;1.0001,"Las participaciones suman más de 100 %; ",""))</f>
        <v/>
      </c>
    </row>
    <row r="29">
      <c r="J29" s="15" t="n"/>
      <c r="K29" s="15" t="n"/>
      <c r="L29" s="15" t="n"/>
      <c r="N29" s="15" t="n"/>
      <c r="O29" s="16" t="n"/>
      <c r="P29" s="16" t="n"/>
      <c r="Q29" s="16" t="n"/>
      <c r="W29" s="12">
        <f>IF(AND(K29&lt;&gt;"",L29&lt;&gt;""),ROUND((L29-K29)/30.4375,1),"")</f>
        <v/>
      </c>
      <c r="X29" s="12">
        <f>IF(OR(A29="",M29="En ejecución",L29=""),"",YEAR(L29))</f>
        <v/>
      </c>
      <c r="Y29" s="13">
        <f>IF(X29="","",IFERROR(VLOOKUP(X29,SMMLV!$A$2:$B$38,2,FALSE),""))</f>
        <v/>
      </c>
      <c r="Z29" s="17">
        <f>IF(OR(Y29="",P29=""),"",ROUND(P29/Y29,2))</f>
        <v/>
      </c>
      <c r="AA29" s="13">
        <f>IF(Z29="","",ROUND(Z29*SMMLV!$E$4,0))</f>
        <v/>
      </c>
      <c r="AB29" s="13">
        <f>IF(AND(M29="En ejecución",P29&lt;&gt;"",Q29&lt;&gt;""),MAX(P29-Q29,0),"")</f>
        <v/>
      </c>
      <c r="AC29" s="12">
        <f>IF(A29="","",IF(B29="","Falta número de contrato; ","")&amp;IF(C29="","Falta entidad; ","")&amp;IF(E29="","Falta objeto; ","")&amp;IF(F29="","Falta especialidad; ","")&amp;IF(K29="","Falta fecha de inicio (recomendada); ","")&amp;IF(AND(M29&lt;&gt;"En ejecución",L29=""),"Falta fecha de terminación; ","")&amp;IF(AND(K29&lt;&gt;"",L29&lt;&gt;"",L29&lt;K29),"Terminación anterior al inicio; ","")&amp;IF(M29="","Falta estado; ","")&amp;IF(OR(P29="",P29&lt;=0),"Falta valor del contrato; ","")&amp;IF(AND(M29="En ejecución",Q29=""),"En ejecución sin valor ejecutado; ","")&amp;IF(AND(M29="En ejecución",L29&lt;&gt;"",L29&lt;TODAY()),"Dice en ejecución pero su terminación ya pasó; ","")&amp;IF(M29="En ejecución","En ejecución: no acredita experiencia; ","")&amp;IF(AND(M29&lt;&gt;"En ejecución",L29&lt;&gt;"",X29&lt;&gt;"",Y29=""),"El año no está en la hoja SMMLV; ","")&amp;IF(AND(B29&lt;&gt;"",COUNTIFS($B$2:$B$601,B29,$C$2:$C$601,C29)&gt;1),"Posible duplicado (mismo número y entidad); ","")&amp;IF(COUNTIF(PARTICIPACIONES!$A$2:$A$601,A29)=0,"Sin participaciones; ","")&amp;IF(SUMIFS(PARTICIPACIONES!$E$2:$E$601,PARTICIPACIONES!$A$2:$A$601,A29)&gt;1.0001,"Las participaciones suman más de 100 %; ",""))</f>
        <v/>
      </c>
    </row>
    <row r="30">
      <c r="J30" s="15" t="n"/>
      <c r="K30" s="15" t="n"/>
      <c r="L30" s="15" t="n"/>
      <c r="N30" s="15" t="n"/>
      <c r="O30" s="16" t="n"/>
      <c r="P30" s="16" t="n"/>
      <c r="Q30" s="16" t="n"/>
      <c r="W30" s="12">
        <f>IF(AND(K30&lt;&gt;"",L30&lt;&gt;""),ROUND((L30-K30)/30.4375,1),"")</f>
        <v/>
      </c>
      <c r="X30" s="12">
        <f>IF(OR(A30="",M30="En ejecución",L30=""),"",YEAR(L30))</f>
        <v/>
      </c>
      <c r="Y30" s="13">
        <f>IF(X30="","",IFERROR(VLOOKUP(X30,SMMLV!$A$2:$B$38,2,FALSE),""))</f>
        <v/>
      </c>
      <c r="Z30" s="17">
        <f>IF(OR(Y30="",P30=""),"",ROUND(P30/Y30,2))</f>
        <v/>
      </c>
      <c r="AA30" s="13">
        <f>IF(Z30="","",ROUND(Z30*SMMLV!$E$4,0))</f>
        <v/>
      </c>
      <c r="AB30" s="13">
        <f>IF(AND(M30="En ejecución",P30&lt;&gt;"",Q30&lt;&gt;""),MAX(P30-Q30,0),"")</f>
        <v/>
      </c>
      <c r="AC30" s="12">
        <f>IF(A30="","",IF(B30="","Falta número de contrato; ","")&amp;IF(C30="","Falta entidad; ","")&amp;IF(E30="","Falta objeto; ","")&amp;IF(F30="","Falta especialidad; ","")&amp;IF(K30="","Falta fecha de inicio (recomendada); ","")&amp;IF(AND(M30&lt;&gt;"En ejecución",L30=""),"Falta fecha de terminación; ","")&amp;IF(AND(K30&lt;&gt;"",L30&lt;&gt;"",L30&lt;K30),"Terminación anterior al inicio; ","")&amp;IF(M30="","Falta estado; ","")&amp;IF(OR(P30="",P30&lt;=0),"Falta valor del contrato; ","")&amp;IF(AND(M30="En ejecución",Q30=""),"En ejecución sin valor ejecutado; ","")&amp;IF(AND(M30="En ejecución",L30&lt;&gt;"",L30&lt;TODAY()),"Dice en ejecución pero su terminación ya pasó; ","")&amp;IF(M30="En ejecución","En ejecución: no acredita experiencia; ","")&amp;IF(AND(M30&lt;&gt;"En ejecución",L30&lt;&gt;"",X30&lt;&gt;"",Y30=""),"El año no está en la hoja SMMLV; ","")&amp;IF(AND(B30&lt;&gt;"",COUNTIFS($B$2:$B$601,B30,$C$2:$C$601,C30)&gt;1),"Posible duplicado (mismo número y entidad); ","")&amp;IF(COUNTIF(PARTICIPACIONES!$A$2:$A$601,A30)=0,"Sin participaciones; ","")&amp;IF(SUMIFS(PARTICIPACIONES!$E$2:$E$601,PARTICIPACIONES!$A$2:$A$601,A30)&gt;1.0001,"Las participaciones suman más de 100 %; ",""))</f>
        <v/>
      </c>
    </row>
    <row r="31">
      <c r="J31" s="15" t="n"/>
      <c r="K31" s="15" t="n"/>
      <c r="L31" s="15" t="n"/>
      <c r="N31" s="15" t="n"/>
      <c r="O31" s="16" t="n"/>
      <c r="P31" s="16" t="n"/>
      <c r="Q31" s="16" t="n"/>
      <c r="W31" s="12">
        <f>IF(AND(K31&lt;&gt;"",L31&lt;&gt;""),ROUND((L31-K31)/30.4375,1),"")</f>
        <v/>
      </c>
      <c r="X31" s="12">
        <f>IF(OR(A31="",M31="En ejecución",L31=""),"",YEAR(L31))</f>
        <v/>
      </c>
      <c r="Y31" s="13">
        <f>IF(X31="","",IFERROR(VLOOKUP(X31,SMMLV!$A$2:$B$38,2,FALSE),""))</f>
        <v/>
      </c>
      <c r="Z31" s="17">
        <f>IF(OR(Y31="",P31=""),"",ROUND(P31/Y31,2))</f>
        <v/>
      </c>
      <c r="AA31" s="13">
        <f>IF(Z31="","",ROUND(Z31*SMMLV!$E$4,0))</f>
        <v/>
      </c>
      <c r="AB31" s="13">
        <f>IF(AND(M31="En ejecución",P31&lt;&gt;"",Q31&lt;&gt;""),MAX(P31-Q31,0),"")</f>
        <v/>
      </c>
      <c r="AC31" s="12">
        <f>IF(A31="","",IF(B31="","Falta número de contrato; ","")&amp;IF(C31="","Falta entidad; ","")&amp;IF(E31="","Falta objeto; ","")&amp;IF(F31="","Falta especialidad; ","")&amp;IF(K31="","Falta fecha de inicio (recomendada); ","")&amp;IF(AND(M31&lt;&gt;"En ejecución",L31=""),"Falta fecha de terminación; ","")&amp;IF(AND(K31&lt;&gt;"",L31&lt;&gt;"",L31&lt;K31),"Terminación anterior al inicio; ","")&amp;IF(M31="","Falta estado; ","")&amp;IF(OR(P31="",P31&lt;=0),"Falta valor del contrato; ","")&amp;IF(AND(M31="En ejecución",Q31=""),"En ejecución sin valor ejecutado; ","")&amp;IF(AND(M31="En ejecución",L31&lt;&gt;"",L31&lt;TODAY()),"Dice en ejecución pero su terminación ya pasó; ","")&amp;IF(M31="En ejecución","En ejecución: no acredita experiencia; ","")&amp;IF(AND(M31&lt;&gt;"En ejecución",L31&lt;&gt;"",X31&lt;&gt;"",Y31=""),"El año no está en la hoja SMMLV; ","")&amp;IF(AND(B31&lt;&gt;"",COUNTIFS($B$2:$B$601,B31,$C$2:$C$601,C31)&gt;1),"Posible duplicado (mismo número y entidad); ","")&amp;IF(COUNTIF(PARTICIPACIONES!$A$2:$A$601,A31)=0,"Sin participaciones; ","")&amp;IF(SUMIFS(PARTICIPACIONES!$E$2:$E$601,PARTICIPACIONES!$A$2:$A$601,A31)&gt;1.0001,"Las participaciones suman más de 100 %; ",""))</f>
        <v/>
      </c>
    </row>
    <row r="32">
      <c r="J32" s="15" t="n"/>
      <c r="K32" s="15" t="n"/>
      <c r="L32" s="15" t="n"/>
      <c r="N32" s="15" t="n"/>
      <c r="O32" s="16" t="n"/>
      <c r="P32" s="16" t="n"/>
      <c r="Q32" s="16" t="n"/>
      <c r="W32" s="12">
        <f>IF(AND(K32&lt;&gt;"",L32&lt;&gt;""),ROUND((L32-K32)/30.4375,1),"")</f>
        <v/>
      </c>
      <c r="X32" s="12">
        <f>IF(OR(A32="",M32="En ejecución",L32=""),"",YEAR(L32))</f>
        <v/>
      </c>
      <c r="Y32" s="13">
        <f>IF(X32="","",IFERROR(VLOOKUP(X32,SMMLV!$A$2:$B$38,2,FALSE),""))</f>
        <v/>
      </c>
      <c r="Z32" s="17">
        <f>IF(OR(Y32="",P32=""),"",ROUND(P32/Y32,2))</f>
        <v/>
      </c>
      <c r="AA32" s="13">
        <f>IF(Z32="","",ROUND(Z32*SMMLV!$E$4,0))</f>
        <v/>
      </c>
      <c r="AB32" s="13">
        <f>IF(AND(M32="En ejecución",P32&lt;&gt;"",Q32&lt;&gt;""),MAX(P32-Q32,0),"")</f>
        <v/>
      </c>
      <c r="AC32" s="12">
        <f>IF(A32="","",IF(B32="","Falta número de contrato; ","")&amp;IF(C32="","Falta entidad; ","")&amp;IF(E32="","Falta objeto; ","")&amp;IF(F32="","Falta especialidad; ","")&amp;IF(K32="","Falta fecha de inicio (recomendada); ","")&amp;IF(AND(M32&lt;&gt;"En ejecución",L32=""),"Falta fecha de terminación; ","")&amp;IF(AND(K32&lt;&gt;"",L32&lt;&gt;"",L32&lt;K32),"Terminación anterior al inicio; ","")&amp;IF(M32="","Falta estado; ","")&amp;IF(OR(P32="",P32&lt;=0),"Falta valor del contrato; ","")&amp;IF(AND(M32="En ejecución",Q32=""),"En ejecución sin valor ejecutado; ","")&amp;IF(AND(M32="En ejecución",L32&lt;&gt;"",L32&lt;TODAY()),"Dice en ejecución pero su terminación ya pasó; ","")&amp;IF(M32="En ejecución","En ejecución: no acredita experiencia; ","")&amp;IF(AND(M32&lt;&gt;"En ejecución",L32&lt;&gt;"",X32&lt;&gt;"",Y32=""),"El año no está en la hoja SMMLV; ","")&amp;IF(AND(B32&lt;&gt;"",COUNTIFS($B$2:$B$601,B32,$C$2:$C$601,C32)&gt;1),"Posible duplicado (mismo número y entidad); ","")&amp;IF(COUNTIF(PARTICIPACIONES!$A$2:$A$601,A32)=0,"Sin participaciones; ","")&amp;IF(SUMIFS(PARTICIPACIONES!$E$2:$E$601,PARTICIPACIONES!$A$2:$A$601,A32)&gt;1.0001,"Las participaciones suman más de 100 %; ",""))</f>
        <v/>
      </c>
    </row>
    <row r="33">
      <c r="J33" s="15" t="n"/>
      <c r="K33" s="15" t="n"/>
      <c r="L33" s="15" t="n"/>
      <c r="N33" s="15" t="n"/>
      <c r="O33" s="16" t="n"/>
      <c r="P33" s="16" t="n"/>
      <c r="Q33" s="16" t="n"/>
      <c r="W33" s="12">
        <f>IF(AND(K33&lt;&gt;"",L33&lt;&gt;""),ROUND((L33-K33)/30.4375,1),"")</f>
        <v/>
      </c>
      <c r="X33" s="12">
        <f>IF(OR(A33="",M33="En ejecución",L33=""),"",YEAR(L33))</f>
        <v/>
      </c>
      <c r="Y33" s="13">
        <f>IF(X33="","",IFERROR(VLOOKUP(X33,SMMLV!$A$2:$B$38,2,FALSE),""))</f>
        <v/>
      </c>
      <c r="Z33" s="17">
        <f>IF(OR(Y33="",P33=""),"",ROUND(P33/Y33,2))</f>
        <v/>
      </c>
      <c r="AA33" s="13">
        <f>IF(Z33="","",ROUND(Z33*SMMLV!$E$4,0))</f>
        <v/>
      </c>
      <c r="AB33" s="13">
        <f>IF(AND(M33="En ejecución",P33&lt;&gt;"",Q33&lt;&gt;""),MAX(P33-Q33,0),"")</f>
        <v/>
      </c>
      <c r="AC33" s="12">
        <f>IF(A33="","",IF(B33="","Falta número de contrato; ","")&amp;IF(C33="","Falta entidad; ","")&amp;IF(E33="","Falta objeto; ","")&amp;IF(F33="","Falta especialidad; ","")&amp;IF(K33="","Falta fecha de inicio (recomendada); ","")&amp;IF(AND(M33&lt;&gt;"En ejecución",L33=""),"Falta fecha de terminación; ","")&amp;IF(AND(K33&lt;&gt;"",L33&lt;&gt;"",L33&lt;K33),"Terminación anterior al inicio; ","")&amp;IF(M33="","Falta estado; ","")&amp;IF(OR(P33="",P33&lt;=0),"Falta valor del contrato; ","")&amp;IF(AND(M33="En ejecución",Q33=""),"En ejecución sin valor ejecutado; ","")&amp;IF(AND(M33="En ejecución",L33&lt;&gt;"",L33&lt;TODAY()),"Dice en ejecución pero su terminación ya pasó; ","")&amp;IF(M33="En ejecución","En ejecución: no acredita experiencia; ","")&amp;IF(AND(M33&lt;&gt;"En ejecución",L33&lt;&gt;"",X33&lt;&gt;"",Y33=""),"El año no está en la hoja SMMLV; ","")&amp;IF(AND(B33&lt;&gt;"",COUNTIFS($B$2:$B$601,B33,$C$2:$C$601,C33)&gt;1),"Posible duplicado (mismo número y entidad); ","")&amp;IF(COUNTIF(PARTICIPACIONES!$A$2:$A$601,A33)=0,"Sin participaciones; ","")&amp;IF(SUMIFS(PARTICIPACIONES!$E$2:$E$601,PARTICIPACIONES!$A$2:$A$601,A33)&gt;1.0001,"Las participaciones suman más de 100 %; ",""))</f>
        <v/>
      </c>
    </row>
    <row r="34">
      <c r="J34" s="15" t="n"/>
      <c r="K34" s="15" t="n"/>
      <c r="L34" s="15" t="n"/>
      <c r="N34" s="15" t="n"/>
      <c r="O34" s="16" t="n"/>
      <c r="P34" s="16" t="n"/>
      <c r="Q34" s="16" t="n"/>
      <c r="W34" s="12">
        <f>IF(AND(K34&lt;&gt;"",L34&lt;&gt;""),ROUND((L34-K34)/30.4375,1),"")</f>
        <v/>
      </c>
      <c r="X34" s="12">
        <f>IF(OR(A34="",M34="En ejecución",L34=""),"",YEAR(L34))</f>
        <v/>
      </c>
      <c r="Y34" s="13">
        <f>IF(X34="","",IFERROR(VLOOKUP(X34,SMMLV!$A$2:$B$38,2,FALSE),""))</f>
        <v/>
      </c>
      <c r="Z34" s="17">
        <f>IF(OR(Y34="",P34=""),"",ROUND(P34/Y34,2))</f>
        <v/>
      </c>
      <c r="AA34" s="13">
        <f>IF(Z34="","",ROUND(Z34*SMMLV!$E$4,0))</f>
        <v/>
      </c>
      <c r="AB34" s="13">
        <f>IF(AND(M34="En ejecución",P34&lt;&gt;"",Q34&lt;&gt;""),MAX(P34-Q34,0),"")</f>
        <v/>
      </c>
      <c r="AC34" s="12">
        <f>IF(A34="","",IF(B34="","Falta número de contrato; ","")&amp;IF(C34="","Falta entidad; ","")&amp;IF(E34="","Falta objeto; ","")&amp;IF(F34="","Falta especialidad; ","")&amp;IF(K34="","Falta fecha de inicio (recomendada); ","")&amp;IF(AND(M34&lt;&gt;"En ejecución",L34=""),"Falta fecha de terminación; ","")&amp;IF(AND(K34&lt;&gt;"",L34&lt;&gt;"",L34&lt;K34),"Terminación anterior al inicio; ","")&amp;IF(M34="","Falta estado; ","")&amp;IF(OR(P34="",P34&lt;=0),"Falta valor del contrato; ","")&amp;IF(AND(M34="En ejecución",Q34=""),"En ejecución sin valor ejecutado; ","")&amp;IF(AND(M34="En ejecución",L34&lt;&gt;"",L34&lt;TODAY()),"Dice en ejecución pero su terminación ya pasó; ","")&amp;IF(M34="En ejecución","En ejecución: no acredita experiencia; ","")&amp;IF(AND(M34&lt;&gt;"En ejecución",L34&lt;&gt;"",X34&lt;&gt;"",Y34=""),"El año no está en la hoja SMMLV; ","")&amp;IF(AND(B34&lt;&gt;"",COUNTIFS($B$2:$B$601,B34,$C$2:$C$601,C34)&gt;1),"Posible duplicado (mismo número y entidad); ","")&amp;IF(COUNTIF(PARTICIPACIONES!$A$2:$A$601,A34)=0,"Sin participaciones; ","")&amp;IF(SUMIFS(PARTICIPACIONES!$E$2:$E$601,PARTICIPACIONES!$A$2:$A$601,A34)&gt;1.0001,"Las participaciones suman más de 100 %; ",""))</f>
        <v/>
      </c>
    </row>
    <row r="35">
      <c r="J35" s="15" t="n"/>
      <c r="K35" s="15" t="n"/>
      <c r="L35" s="15" t="n"/>
      <c r="N35" s="15" t="n"/>
      <c r="O35" s="16" t="n"/>
      <c r="P35" s="16" t="n"/>
      <c r="Q35" s="16" t="n"/>
      <c r="W35" s="12">
        <f>IF(AND(K35&lt;&gt;"",L35&lt;&gt;""),ROUND((L35-K35)/30.4375,1),"")</f>
        <v/>
      </c>
      <c r="X35" s="12">
        <f>IF(OR(A35="",M35="En ejecución",L35=""),"",YEAR(L35))</f>
        <v/>
      </c>
      <c r="Y35" s="13">
        <f>IF(X35="","",IFERROR(VLOOKUP(X35,SMMLV!$A$2:$B$38,2,FALSE),""))</f>
        <v/>
      </c>
      <c r="Z35" s="17">
        <f>IF(OR(Y35="",P35=""),"",ROUND(P35/Y35,2))</f>
        <v/>
      </c>
      <c r="AA35" s="13">
        <f>IF(Z35="","",ROUND(Z35*SMMLV!$E$4,0))</f>
        <v/>
      </c>
      <c r="AB35" s="13">
        <f>IF(AND(M35="En ejecución",P35&lt;&gt;"",Q35&lt;&gt;""),MAX(P35-Q35,0),"")</f>
        <v/>
      </c>
      <c r="AC35" s="12">
        <f>IF(A35="","",IF(B35="","Falta número de contrato; ","")&amp;IF(C35="","Falta entidad; ","")&amp;IF(E35="","Falta objeto; ","")&amp;IF(F35="","Falta especialidad; ","")&amp;IF(K35="","Falta fecha de inicio (recomendada); ","")&amp;IF(AND(M35&lt;&gt;"En ejecución",L35=""),"Falta fecha de terminación; ","")&amp;IF(AND(K35&lt;&gt;"",L35&lt;&gt;"",L35&lt;K35),"Terminación anterior al inicio; ","")&amp;IF(M35="","Falta estado; ","")&amp;IF(OR(P35="",P35&lt;=0),"Falta valor del contrato; ","")&amp;IF(AND(M35="En ejecución",Q35=""),"En ejecución sin valor ejecutado; ","")&amp;IF(AND(M35="En ejecución",L35&lt;&gt;"",L35&lt;TODAY()),"Dice en ejecución pero su terminación ya pasó; ","")&amp;IF(M35="En ejecución","En ejecución: no acredita experiencia; ","")&amp;IF(AND(M35&lt;&gt;"En ejecución",L35&lt;&gt;"",X35&lt;&gt;"",Y35=""),"El año no está en la hoja SMMLV; ","")&amp;IF(AND(B35&lt;&gt;"",COUNTIFS($B$2:$B$601,B35,$C$2:$C$601,C35)&gt;1),"Posible duplicado (mismo número y entidad); ","")&amp;IF(COUNTIF(PARTICIPACIONES!$A$2:$A$601,A35)=0,"Sin participaciones; ","")&amp;IF(SUMIFS(PARTICIPACIONES!$E$2:$E$601,PARTICIPACIONES!$A$2:$A$601,A35)&gt;1.0001,"Las participaciones suman más de 100 %; ",""))</f>
        <v/>
      </c>
    </row>
    <row r="36">
      <c r="J36" s="15" t="n"/>
      <c r="K36" s="15" t="n"/>
      <c r="L36" s="15" t="n"/>
      <c r="N36" s="15" t="n"/>
      <c r="O36" s="16" t="n"/>
      <c r="P36" s="16" t="n"/>
      <c r="Q36" s="16" t="n"/>
      <c r="W36" s="12">
        <f>IF(AND(K36&lt;&gt;"",L36&lt;&gt;""),ROUND((L36-K36)/30.4375,1),"")</f>
        <v/>
      </c>
      <c r="X36" s="12">
        <f>IF(OR(A36="",M36="En ejecución",L36=""),"",YEAR(L36))</f>
        <v/>
      </c>
      <c r="Y36" s="13">
        <f>IF(X36="","",IFERROR(VLOOKUP(X36,SMMLV!$A$2:$B$38,2,FALSE),""))</f>
        <v/>
      </c>
      <c r="Z36" s="17">
        <f>IF(OR(Y36="",P36=""),"",ROUND(P36/Y36,2))</f>
        <v/>
      </c>
      <c r="AA36" s="13">
        <f>IF(Z36="","",ROUND(Z36*SMMLV!$E$4,0))</f>
        <v/>
      </c>
      <c r="AB36" s="13">
        <f>IF(AND(M36="En ejecución",P36&lt;&gt;"",Q36&lt;&gt;""),MAX(P36-Q36,0),"")</f>
        <v/>
      </c>
      <c r="AC36" s="12">
        <f>IF(A36="","",IF(B36="","Falta número de contrato; ","")&amp;IF(C36="","Falta entidad; ","")&amp;IF(E36="","Falta objeto; ","")&amp;IF(F36="","Falta especialidad; ","")&amp;IF(K36="","Falta fecha de inicio (recomendada); ","")&amp;IF(AND(M36&lt;&gt;"En ejecución",L36=""),"Falta fecha de terminación; ","")&amp;IF(AND(K36&lt;&gt;"",L36&lt;&gt;"",L36&lt;K36),"Terminación anterior al inicio; ","")&amp;IF(M36="","Falta estado; ","")&amp;IF(OR(P36="",P36&lt;=0),"Falta valor del contrato; ","")&amp;IF(AND(M36="En ejecución",Q36=""),"En ejecución sin valor ejecutado; ","")&amp;IF(AND(M36="En ejecución",L36&lt;&gt;"",L36&lt;TODAY()),"Dice en ejecución pero su terminación ya pasó; ","")&amp;IF(M36="En ejecución","En ejecución: no acredita experiencia; ","")&amp;IF(AND(M36&lt;&gt;"En ejecución",L36&lt;&gt;"",X36&lt;&gt;"",Y36=""),"El año no está en la hoja SMMLV; ","")&amp;IF(AND(B36&lt;&gt;"",COUNTIFS($B$2:$B$601,B36,$C$2:$C$601,C36)&gt;1),"Posible duplicado (mismo número y entidad); ","")&amp;IF(COUNTIF(PARTICIPACIONES!$A$2:$A$601,A36)=0,"Sin participaciones; ","")&amp;IF(SUMIFS(PARTICIPACIONES!$E$2:$E$601,PARTICIPACIONES!$A$2:$A$601,A36)&gt;1.0001,"Las participaciones suman más de 100 %; ",""))</f>
        <v/>
      </c>
    </row>
    <row r="37">
      <c r="J37" s="15" t="n"/>
      <c r="K37" s="15" t="n"/>
      <c r="L37" s="15" t="n"/>
      <c r="N37" s="15" t="n"/>
      <c r="O37" s="16" t="n"/>
      <c r="P37" s="16" t="n"/>
      <c r="Q37" s="16" t="n"/>
      <c r="W37" s="12">
        <f>IF(AND(K37&lt;&gt;"",L37&lt;&gt;""),ROUND((L37-K37)/30.4375,1),"")</f>
        <v/>
      </c>
      <c r="X37" s="12">
        <f>IF(OR(A37="",M37="En ejecución",L37=""),"",YEAR(L37))</f>
        <v/>
      </c>
      <c r="Y37" s="13">
        <f>IF(X37="","",IFERROR(VLOOKUP(X37,SMMLV!$A$2:$B$38,2,FALSE),""))</f>
        <v/>
      </c>
      <c r="Z37" s="17">
        <f>IF(OR(Y37="",P37=""),"",ROUND(P37/Y37,2))</f>
        <v/>
      </c>
      <c r="AA37" s="13">
        <f>IF(Z37="","",ROUND(Z37*SMMLV!$E$4,0))</f>
        <v/>
      </c>
      <c r="AB37" s="13">
        <f>IF(AND(M37="En ejecución",P37&lt;&gt;"",Q37&lt;&gt;""),MAX(P37-Q37,0),"")</f>
        <v/>
      </c>
      <c r="AC37" s="12">
        <f>IF(A37="","",IF(B37="","Falta número de contrato; ","")&amp;IF(C37="","Falta entidad; ","")&amp;IF(E37="","Falta objeto; ","")&amp;IF(F37="","Falta especialidad; ","")&amp;IF(K37="","Falta fecha de inicio (recomendada); ","")&amp;IF(AND(M37&lt;&gt;"En ejecución",L37=""),"Falta fecha de terminación; ","")&amp;IF(AND(K37&lt;&gt;"",L37&lt;&gt;"",L37&lt;K37),"Terminación anterior al inicio; ","")&amp;IF(M37="","Falta estado; ","")&amp;IF(OR(P37="",P37&lt;=0),"Falta valor del contrato; ","")&amp;IF(AND(M37="En ejecución",Q37=""),"En ejecución sin valor ejecutado; ","")&amp;IF(AND(M37="En ejecución",L37&lt;&gt;"",L37&lt;TODAY()),"Dice en ejecución pero su terminación ya pasó; ","")&amp;IF(M37="En ejecución","En ejecución: no acredita experiencia; ","")&amp;IF(AND(M37&lt;&gt;"En ejecución",L37&lt;&gt;"",X37&lt;&gt;"",Y37=""),"El año no está en la hoja SMMLV; ","")&amp;IF(AND(B37&lt;&gt;"",COUNTIFS($B$2:$B$601,B37,$C$2:$C$601,C37)&gt;1),"Posible duplicado (mismo número y entidad); ","")&amp;IF(COUNTIF(PARTICIPACIONES!$A$2:$A$601,A37)=0,"Sin participaciones; ","")&amp;IF(SUMIFS(PARTICIPACIONES!$E$2:$E$601,PARTICIPACIONES!$A$2:$A$601,A37)&gt;1.0001,"Las participaciones suman más de 100 %; ",""))</f>
        <v/>
      </c>
    </row>
    <row r="38">
      <c r="J38" s="15" t="n"/>
      <c r="K38" s="15" t="n"/>
      <c r="L38" s="15" t="n"/>
      <c r="N38" s="15" t="n"/>
      <c r="O38" s="16" t="n"/>
      <c r="P38" s="16" t="n"/>
      <c r="Q38" s="16" t="n"/>
      <c r="W38" s="12">
        <f>IF(AND(K38&lt;&gt;"",L38&lt;&gt;""),ROUND((L38-K38)/30.4375,1),"")</f>
        <v/>
      </c>
      <c r="X38" s="12">
        <f>IF(OR(A38="",M38="En ejecución",L38=""),"",YEAR(L38))</f>
        <v/>
      </c>
      <c r="Y38" s="13">
        <f>IF(X38="","",IFERROR(VLOOKUP(X38,SMMLV!$A$2:$B$38,2,FALSE),""))</f>
        <v/>
      </c>
      <c r="Z38" s="17">
        <f>IF(OR(Y38="",P38=""),"",ROUND(P38/Y38,2))</f>
        <v/>
      </c>
      <c r="AA38" s="13">
        <f>IF(Z38="","",ROUND(Z38*SMMLV!$E$4,0))</f>
        <v/>
      </c>
      <c r="AB38" s="13">
        <f>IF(AND(M38="En ejecución",P38&lt;&gt;"",Q38&lt;&gt;""),MAX(P38-Q38,0),"")</f>
        <v/>
      </c>
      <c r="AC38" s="12">
        <f>IF(A38="","",IF(B38="","Falta número de contrato; ","")&amp;IF(C38="","Falta entidad; ","")&amp;IF(E38="","Falta objeto; ","")&amp;IF(F38="","Falta especialidad; ","")&amp;IF(K38="","Falta fecha de inicio (recomendada); ","")&amp;IF(AND(M38&lt;&gt;"En ejecución",L38=""),"Falta fecha de terminación; ","")&amp;IF(AND(K38&lt;&gt;"",L38&lt;&gt;"",L38&lt;K38),"Terminación anterior al inicio; ","")&amp;IF(M38="","Falta estado; ","")&amp;IF(OR(P38="",P38&lt;=0),"Falta valor del contrato; ","")&amp;IF(AND(M38="En ejecución",Q38=""),"En ejecución sin valor ejecutado; ","")&amp;IF(AND(M38="En ejecución",L38&lt;&gt;"",L38&lt;TODAY()),"Dice en ejecución pero su terminación ya pasó; ","")&amp;IF(M38="En ejecución","En ejecución: no acredita experiencia; ","")&amp;IF(AND(M38&lt;&gt;"En ejecución",L38&lt;&gt;"",X38&lt;&gt;"",Y38=""),"El año no está en la hoja SMMLV; ","")&amp;IF(AND(B38&lt;&gt;"",COUNTIFS($B$2:$B$601,B38,$C$2:$C$601,C38)&gt;1),"Posible duplicado (mismo número y entidad); ","")&amp;IF(COUNTIF(PARTICIPACIONES!$A$2:$A$601,A38)=0,"Sin participaciones; ","")&amp;IF(SUMIFS(PARTICIPACIONES!$E$2:$E$601,PARTICIPACIONES!$A$2:$A$601,A38)&gt;1.0001,"Las participaciones suman más de 100 %; ",""))</f>
        <v/>
      </c>
    </row>
    <row r="39">
      <c r="J39" s="15" t="n"/>
      <c r="K39" s="15" t="n"/>
      <c r="L39" s="15" t="n"/>
      <c r="N39" s="15" t="n"/>
      <c r="O39" s="16" t="n"/>
      <c r="P39" s="16" t="n"/>
      <c r="Q39" s="16" t="n"/>
      <c r="W39" s="12">
        <f>IF(AND(K39&lt;&gt;"",L39&lt;&gt;""),ROUND((L39-K39)/30.4375,1),"")</f>
        <v/>
      </c>
      <c r="X39" s="12">
        <f>IF(OR(A39="",M39="En ejecución",L39=""),"",YEAR(L39))</f>
        <v/>
      </c>
      <c r="Y39" s="13">
        <f>IF(X39="","",IFERROR(VLOOKUP(X39,SMMLV!$A$2:$B$38,2,FALSE),""))</f>
        <v/>
      </c>
      <c r="Z39" s="17">
        <f>IF(OR(Y39="",P39=""),"",ROUND(P39/Y39,2))</f>
        <v/>
      </c>
      <c r="AA39" s="13">
        <f>IF(Z39="","",ROUND(Z39*SMMLV!$E$4,0))</f>
        <v/>
      </c>
      <c r="AB39" s="13">
        <f>IF(AND(M39="En ejecución",P39&lt;&gt;"",Q39&lt;&gt;""),MAX(P39-Q39,0),"")</f>
        <v/>
      </c>
      <c r="AC39" s="12">
        <f>IF(A39="","",IF(B39="","Falta número de contrato; ","")&amp;IF(C39="","Falta entidad; ","")&amp;IF(E39="","Falta objeto; ","")&amp;IF(F39="","Falta especialidad; ","")&amp;IF(K39="","Falta fecha de inicio (recomendada); ","")&amp;IF(AND(M39&lt;&gt;"En ejecución",L39=""),"Falta fecha de terminación; ","")&amp;IF(AND(K39&lt;&gt;"",L39&lt;&gt;"",L39&lt;K39),"Terminación anterior al inicio; ","")&amp;IF(M39="","Falta estado; ","")&amp;IF(OR(P39="",P39&lt;=0),"Falta valor del contrato; ","")&amp;IF(AND(M39="En ejecución",Q39=""),"En ejecución sin valor ejecutado; ","")&amp;IF(AND(M39="En ejecución",L39&lt;&gt;"",L39&lt;TODAY()),"Dice en ejecución pero su terminación ya pasó; ","")&amp;IF(M39="En ejecución","En ejecución: no acredita experiencia; ","")&amp;IF(AND(M39&lt;&gt;"En ejecución",L39&lt;&gt;"",X39&lt;&gt;"",Y39=""),"El año no está en la hoja SMMLV; ","")&amp;IF(AND(B39&lt;&gt;"",COUNTIFS($B$2:$B$601,B39,$C$2:$C$601,C39)&gt;1),"Posible duplicado (mismo número y entidad); ","")&amp;IF(COUNTIF(PARTICIPACIONES!$A$2:$A$601,A39)=0,"Sin participaciones; ","")&amp;IF(SUMIFS(PARTICIPACIONES!$E$2:$E$601,PARTICIPACIONES!$A$2:$A$601,A39)&gt;1.0001,"Las participaciones suman más de 100 %; ",""))</f>
        <v/>
      </c>
    </row>
    <row r="40">
      <c r="J40" s="15" t="n"/>
      <c r="K40" s="15" t="n"/>
      <c r="L40" s="15" t="n"/>
      <c r="N40" s="15" t="n"/>
      <c r="O40" s="16" t="n"/>
      <c r="P40" s="16" t="n"/>
      <c r="Q40" s="16" t="n"/>
      <c r="W40" s="12">
        <f>IF(AND(K40&lt;&gt;"",L40&lt;&gt;""),ROUND((L40-K40)/30.4375,1),"")</f>
        <v/>
      </c>
      <c r="X40" s="12">
        <f>IF(OR(A40="",M40="En ejecución",L40=""),"",YEAR(L40))</f>
        <v/>
      </c>
      <c r="Y40" s="13">
        <f>IF(X40="","",IFERROR(VLOOKUP(X40,SMMLV!$A$2:$B$38,2,FALSE),""))</f>
        <v/>
      </c>
      <c r="Z40" s="17">
        <f>IF(OR(Y40="",P40=""),"",ROUND(P40/Y40,2))</f>
        <v/>
      </c>
      <c r="AA40" s="13">
        <f>IF(Z40="","",ROUND(Z40*SMMLV!$E$4,0))</f>
        <v/>
      </c>
      <c r="AB40" s="13">
        <f>IF(AND(M40="En ejecución",P40&lt;&gt;"",Q40&lt;&gt;""),MAX(P40-Q40,0),"")</f>
        <v/>
      </c>
      <c r="AC40" s="12">
        <f>IF(A40="","",IF(B40="","Falta número de contrato; ","")&amp;IF(C40="","Falta entidad; ","")&amp;IF(E40="","Falta objeto; ","")&amp;IF(F40="","Falta especialidad; ","")&amp;IF(K40="","Falta fecha de inicio (recomendada); ","")&amp;IF(AND(M40&lt;&gt;"En ejecución",L40=""),"Falta fecha de terminación; ","")&amp;IF(AND(K40&lt;&gt;"",L40&lt;&gt;"",L40&lt;K40),"Terminación anterior al inicio; ","")&amp;IF(M40="","Falta estado; ","")&amp;IF(OR(P40="",P40&lt;=0),"Falta valor del contrato; ","")&amp;IF(AND(M40="En ejecución",Q40=""),"En ejecución sin valor ejecutado; ","")&amp;IF(AND(M40="En ejecución",L40&lt;&gt;"",L40&lt;TODAY()),"Dice en ejecución pero su terminación ya pasó; ","")&amp;IF(M40="En ejecución","En ejecución: no acredita experiencia; ","")&amp;IF(AND(M40&lt;&gt;"En ejecución",L40&lt;&gt;"",X40&lt;&gt;"",Y40=""),"El año no está en la hoja SMMLV; ","")&amp;IF(AND(B40&lt;&gt;"",COUNTIFS($B$2:$B$601,B40,$C$2:$C$601,C40)&gt;1),"Posible duplicado (mismo número y entidad); ","")&amp;IF(COUNTIF(PARTICIPACIONES!$A$2:$A$601,A40)=0,"Sin participaciones; ","")&amp;IF(SUMIFS(PARTICIPACIONES!$E$2:$E$601,PARTICIPACIONES!$A$2:$A$601,A40)&gt;1.0001,"Las participaciones suman más de 100 %; ",""))</f>
        <v/>
      </c>
    </row>
    <row r="41">
      <c r="J41" s="15" t="n"/>
      <c r="K41" s="15" t="n"/>
      <c r="L41" s="15" t="n"/>
      <c r="N41" s="15" t="n"/>
      <c r="O41" s="16" t="n"/>
      <c r="P41" s="16" t="n"/>
      <c r="Q41" s="16" t="n"/>
      <c r="W41" s="12">
        <f>IF(AND(K41&lt;&gt;"",L41&lt;&gt;""),ROUND((L41-K41)/30.4375,1),"")</f>
        <v/>
      </c>
      <c r="X41" s="12">
        <f>IF(OR(A41="",M41="En ejecución",L41=""),"",YEAR(L41))</f>
        <v/>
      </c>
      <c r="Y41" s="13">
        <f>IF(X41="","",IFERROR(VLOOKUP(X41,SMMLV!$A$2:$B$38,2,FALSE),""))</f>
        <v/>
      </c>
      <c r="Z41" s="17">
        <f>IF(OR(Y41="",P41=""),"",ROUND(P41/Y41,2))</f>
        <v/>
      </c>
      <c r="AA41" s="13">
        <f>IF(Z41="","",ROUND(Z41*SMMLV!$E$4,0))</f>
        <v/>
      </c>
      <c r="AB41" s="13">
        <f>IF(AND(M41="En ejecución",P41&lt;&gt;"",Q41&lt;&gt;""),MAX(P41-Q41,0),"")</f>
        <v/>
      </c>
      <c r="AC41" s="12">
        <f>IF(A41="","",IF(B41="","Falta número de contrato; ","")&amp;IF(C41="","Falta entidad; ","")&amp;IF(E41="","Falta objeto; ","")&amp;IF(F41="","Falta especialidad; ","")&amp;IF(K41="","Falta fecha de inicio (recomendada); ","")&amp;IF(AND(M41&lt;&gt;"En ejecución",L41=""),"Falta fecha de terminación; ","")&amp;IF(AND(K41&lt;&gt;"",L41&lt;&gt;"",L41&lt;K41),"Terminación anterior al inicio; ","")&amp;IF(M41="","Falta estado; ","")&amp;IF(OR(P41="",P41&lt;=0),"Falta valor del contrato; ","")&amp;IF(AND(M41="En ejecución",Q41=""),"En ejecución sin valor ejecutado; ","")&amp;IF(AND(M41="En ejecución",L41&lt;&gt;"",L41&lt;TODAY()),"Dice en ejecución pero su terminación ya pasó; ","")&amp;IF(M41="En ejecución","En ejecución: no acredita experiencia; ","")&amp;IF(AND(M41&lt;&gt;"En ejecución",L41&lt;&gt;"",X41&lt;&gt;"",Y41=""),"El año no está en la hoja SMMLV; ","")&amp;IF(AND(B41&lt;&gt;"",COUNTIFS($B$2:$B$601,B41,$C$2:$C$601,C41)&gt;1),"Posible duplicado (mismo número y entidad); ","")&amp;IF(COUNTIF(PARTICIPACIONES!$A$2:$A$601,A41)=0,"Sin participaciones; ","")&amp;IF(SUMIFS(PARTICIPACIONES!$E$2:$E$601,PARTICIPACIONES!$A$2:$A$601,A41)&gt;1.0001,"Las participaciones suman más de 100 %; ",""))</f>
        <v/>
      </c>
    </row>
    <row r="42">
      <c r="J42" s="15" t="n"/>
      <c r="K42" s="15" t="n"/>
      <c r="L42" s="15" t="n"/>
      <c r="N42" s="15" t="n"/>
      <c r="O42" s="16" t="n"/>
      <c r="P42" s="16" t="n"/>
      <c r="Q42" s="16" t="n"/>
      <c r="W42" s="12">
        <f>IF(AND(K42&lt;&gt;"",L42&lt;&gt;""),ROUND((L42-K42)/30.4375,1),"")</f>
        <v/>
      </c>
      <c r="X42" s="12">
        <f>IF(OR(A42="",M42="En ejecución",L42=""),"",YEAR(L42))</f>
        <v/>
      </c>
      <c r="Y42" s="13">
        <f>IF(X42="","",IFERROR(VLOOKUP(X42,SMMLV!$A$2:$B$38,2,FALSE),""))</f>
        <v/>
      </c>
      <c r="Z42" s="17">
        <f>IF(OR(Y42="",P42=""),"",ROUND(P42/Y42,2))</f>
        <v/>
      </c>
      <c r="AA42" s="13">
        <f>IF(Z42="","",ROUND(Z42*SMMLV!$E$4,0))</f>
        <v/>
      </c>
      <c r="AB42" s="13">
        <f>IF(AND(M42="En ejecución",P42&lt;&gt;"",Q42&lt;&gt;""),MAX(P42-Q42,0),"")</f>
        <v/>
      </c>
      <c r="AC42" s="12">
        <f>IF(A42="","",IF(B42="","Falta número de contrato; ","")&amp;IF(C42="","Falta entidad; ","")&amp;IF(E42="","Falta objeto; ","")&amp;IF(F42="","Falta especialidad; ","")&amp;IF(K42="","Falta fecha de inicio (recomendada); ","")&amp;IF(AND(M42&lt;&gt;"En ejecución",L42=""),"Falta fecha de terminación; ","")&amp;IF(AND(K42&lt;&gt;"",L42&lt;&gt;"",L42&lt;K42),"Terminación anterior al inicio; ","")&amp;IF(M42="","Falta estado; ","")&amp;IF(OR(P42="",P42&lt;=0),"Falta valor del contrato; ","")&amp;IF(AND(M42="En ejecución",Q42=""),"En ejecución sin valor ejecutado; ","")&amp;IF(AND(M42="En ejecución",L42&lt;&gt;"",L42&lt;TODAY()),"Dice en ejecución pero su terminación ya pasó; ","")&amp;IF(M42="En ejecución","En ejecución: no acredita experiencia; ","")&amp;IF(AND(M42&lt;&gt;"En ejecución",L42&lt;&gt;"",X42&lt;&gt;"",Y42=""),"El año no está en la hoja SMMLV; ","")&amp;IF(AND(B42&lt;&gt;"",COUNTIFS($B$2:$B$601,B42,$C$2:$C$601,C42)&gt;1),"Posible duplicado (mismo número y entidad); ","")&amp;IF(COUNTIF(PARTICIPACIONES!$A$2:$A$601,A42)=0,"Sin participaciones; ","")&amp;IF(SUMIFS(PARTICIPACIONES!$E$2:$E$601,PARTICIPACIONES!$A$2:$A$601,A42)&gt;1.0001,"Las participaciones suman más de 100 %; ",""))</f>
        <v/>
      </c>
    </row>
    <row r="43">
      <c r="J43" s="15" t="n"/>
      <c r="K43" s="15" t="n"/>
      <c r="L43" s="15" t="n"/>
      <c r="N43" s="15" t="n"/>
      <c r="O43" s="16" t="n"/>
      <c r="P43" s="16" t="n"/>
      <c r="Q43" s="16" t="n"/>
      <c r="W43" s="12">
        <f>IF(AND(K43&lt;&gt;"",L43&lt;&gt;""),ROUND((L43-K43)/30.4375,1),"")</f>
        <v/>
      </c>
      <c r="X43" s="12">
        <f>IF(OR(A43="",M43="En ejecución",L43=""),"",YEAR(L43))</f>
        <v/>
      </c>
      <c r="Y43" s="13">
        <f>IF(X43="","",IFERROR(VLOOKUP(X43,SMMLV!$A$2:$B$38,2,FALSE),""))</f>
        <v/>
      </c>
      <c r="Z43" s="17">
        <f>IF(OR(Y43="",P43=""),"",ROUND(P43/Y43,2))</f>
        <v/>
      </c>
      <c r="AA43" s="13">
        <f>IF(Z43="","",ROUND(Z43*SMMLV!$E$4,0))</f>
        <v/>
      </c>
      <c r="AB43" s="13">
        <f>IF(AND(M43="En ejecución",P43&lt;&gt;"",Q43&lt;&gt;""),MAX(P43-Q43,0),"")</f>
        <v/>
      </c>
      <c r="AC43" s="12">
        <f>IF(A43="","",IF(B43="","Falta número de contrato; ","")&amp;IF(C43="","Falta entidad; ","")&amp;IF(E43="","Falta objeto; ","")&amp;IF(F43="","Falta especialidad; ","")&amp;IF(K43="","Falta fecha de inicio (recomendada); ","")&amp;IF(AND(M43&lt;&gt;"En ejecución",L43=""),"Falta fecha de terminación; ","")&amp;IF(AND(K43&lt;&gt;"",L43&lt;&gt;"",L43&lt;K43),"Terminación anterior al inicio; ","")&amp;IF(M43="","Falta estado; ","")&amp;IF(OR(P43="",P43&lt;=0),"Falta valor del contrato; ","")&amp;IF(AND(M43="En ejecución",Q43=""),"En ejecución sin valor ejecutado; ","")&amp;IF(AND(M43="En ejecución",L43&lt;&gt;"",L43&lt;TODAY()),"Dice en ejecución pero su terminación ya pasó; ","")&amp;IF(M43="En ejecución","En ejecución: no acredita experiencia; ","")&amp;IF(AND(M43&lt;&gt;"En ejecución",L43&lt;&gt;"",X43&lt;&gt;"",Y43=""),"El año no está en la hoja SMMLV; ","")&amp;IF(AND(B43&lt;&gt;"",COUNTIFS($B$2:$B$601,B43,$C$2:$C$601,C43)&gt;1),"Posible duplicado (mismo número y entidad); ","")&amp;IF(COUNTIF(PARTICIPACIONES!$A$2:$A$601,A43)=0,"Sin participaciones; ","")&amp;IF(SUMIFS(PARTICIPACIONES!$E$2:$E$601,PARTICIPACIONES!$A$2:$A$601,A43)&gt;1.0001,"Las participaciones suman más de 100 %; ",""))</f>
        <v/>
      </c>
    </row>
    <row r="44">
      <c r="J44" s="15" t="n"/>
      <c r="K44" s="15" t="n"/>
      <c r="L44" s="15" t="n"/>
      <c r="N44" s="15" t="n"/>
      <c r="O44" s="16" t="n"/>
      <c r="P44" s="16" t="n"/>
      <c r="Q44" s="16" t="n"/>
      <c r="W44" s="12">
        <f>IF(AND(K44&lt;&gt;"",L44&lt;&gt;""),ROUND((L44-K44)/30.4375,1),"")</f>
        <v/>
      </c>
      <c r="X44" s="12">
        <f>IF(OR(A44="",M44="En ejecución",L44=""),"",YEAR(L44))</f>
        <v/>
      </c>
      <c r="Y44" s="13">
        <f>IF(X44="","",IFERROR(VLOOKUP(X44,SMMLV!$A$2:$B$38,2,FALSE),""))</f>
        <v/>
      </c>
      <c r="Z44" s="17">
        <f>IF(OR(Y44="",P44=""),"",ROUND(P44/Y44,2))</f>
        <v/>
      </c>
      <c r="AA44" s="13">
        <f>IF(Z44="","",ROUND(Z44*SMMLV!$E$4,0))</f>
        <v/>
      </c>
      <c r="AB44" s="13">
        <f>IF(AND(M44="En ejecución",P44&lt;&gt;"",Q44&lt;&gt;""),MAX(P44-Q44,0),"")</f>
        <v/>
      </c>
      <c r="AC44" s="12">
        <f>IF(A44="","",IF(B44="","Falta número de contrato; ","")&amp;IF(C44="","Falta entidad; ","")&amp;IF(E44="","Falta objeto; ","")&amp;IF(F44="","Falta especialidad; ","")&amp;IF(K44="","Falta fecha de inicio (recomendada); ","")&amp;IF(AND(M44&lt;&gt;"En ejecución",L44=""),"Falta fecha de terminación; ","")&amp;IF(AND(K44&lt;&gt;"",L44&lt;&gt;"",L44&lt;K44),"Terminación anterior al inicio; ","")&amp;IF(M44="","Falta estado; ","")&amp;IF(OR(P44="",P44&lt;=0),"Falta valor del contrato; ","")&amp;IF(AND(M44="En ejecución",Q44=""),"En ejecución sin valor ejecutado; ","")&amp;IF(AND(M44="En ejecución",L44&lt;&gt;"",L44&lt;TODAY()),"Dice en ejecución pero su terminación ya pasó; ","")&amp;IF(M44="En ejecución","En ejecución: no acredita experiencia; ","")&amp;IF(AND(M44&lt;&gt;"En ejecución",L44&lt;&gt;"",X44&lt;&gt;"",Y44=""),"El año no está en la hoja SMMLV; ","")&amp;IF(AND(B44&lt;&gt;"",COUNTIFS($B$2:$B$601,B44,$C$2:$C$601,C44)&gt;1),"Posible duplicado (mismo número y entidad); ","")&amp;IF(COUNTIF(PARTICIPACIONES!$A$2:$A$601,A44)=0,"Sin participaciones; ","")&amp;IF(SUMIFS(PARTICIPACIONES!$E$2:$E$601,PARTICIPACIONES!$A$2:$A$601,A44)&gt;1.0001,"Las participaciones suman más de 100 %; ",""))</f>
        <v/>
      </c>
    </row>
    <row r="45">
      <c r="J45" s="15" t="n"/>
      <c r="K45" s="15" t="n"/>
      <c r="L45" s="15" t="n"/>
      <c r="N45" s="15" t="n"/>
      <c r="O45" s="16" t="n"/>
      <c r="P45" s="16" t="n"/>
      <c r="Q45" s="16" t="n"/>
      <c r="W45" s="12">
        <f>IF(AND(K45&lt;&gt;"",L45&lt;&gt;""),ROUND((L45-K45)/30.4375,1),"")</f>
        <v/>
      </c>
      <c r="X45" s="12">
        <f>IF(OR(A45="",M45="En ejecución",L45=""),"",YEAR(L45))</f>
        <v/>
      </c>
      <c r="Y45" s="13">
        <f>IF(X45="","",IFERROR(VLOOKUP(X45,SMMLV!$A$2:$B$38,2,FALSE),""))</f>
        <v/>
      </c>
      <c r="Z45" s="17">
        <f>IF(OR(Y45="",P45=""),"",ROUND(P45/Y45,2))</f>
        <v/>
      </c>
      <c r="AA45" s="13">
        <f>IF(Z45="","",ROUND(Z45*SMMLV!$E$4,0))</f>
        <v/>
      </c>
      <c r="AB45" s="13">
        <f>IF(AND(M45="En ejecución",P45&lt;&gt;"",Q45&lt;&gt;""),MAX(P45-Q45,0),"")</f>
        <v/>
      </c>
      <c r="AC45" s="12">
        <f>IF(A45="","",IF(B45="","Falta número de contrato; ","")&amp;IF(C45="","Falta entidad; ","")&amp;IF(E45="","Falta objeto; ","")&amp;IF(F45="","Falta especialidad; ","")&amp;IF(K45="","Falta fecha de inicio (recomendada); ","")&amp;IF(AND(M45&lt;&gt;"En ejecución",L45=""),"Falta fecha de terminación; ","")&amp;IF(AND(K45&lt;&gt;"",L45&lt;&gt;"",L45&lt;K45),"Terminación anterior al inicio; ","")&amp;IF(M45="","Falta estado; ","")&amp;IF(OR(P45="",P45&lt;=0),"Falta valor del contrato; ","")&amp;IF(AND(M45="En ejecución",Q45=""),"En ejecución sin valor ejecutado; ","")&amp;IF(AND(M45="En ejecución",L45&lt;&gt;"",L45&lt;TODAY()),"Dice en ejecución pero su terminación ya pasó; ","")&amp;IF(M45="En ejecución","En ejecución: no acredita experiencia; ","")&amp;IF(AND(M45&lt;&gt;"En ejecución",L45&lt;&gt;"",X45&lt;&gt;"",Y45=""),"El año no está en la hoja SMMLV; ","")&amp;IF(AND(B45&lt;&gt;"",COUNTIFS($B$2:$B$601,B45,$C$2:$C$601,C45)&gt;1),"Posible duplicado (mismo número y entidad); ","")&amp;IF(COUNTIF(PARTICIPACIONES!$A$2:$A$601,A45)=0,"Sin participaciones; ","")&amp;IF(SUMIFS(PARTICIPACIONES!$E$2:$E$601,PARTICIPACIONES!$A$2:$A$601,A45)&gt;1.0001,"Las participaciones suman más de 100 %; ",""))</f>
        <v/>
      </c>
    </row>
    <row r="46">
      <c r="J46" s="15" t="n"/>
      <c r="K46" s="15" t="n"/>
      <c r="L46" s="15" t="n"/>
      <c r="N46" s="15" t="n"/>
      <c r="O46" s="16" t="n"/>
      <c r="P46" s="16" t="n"/>
      <c r="Q46" s="16" t="n"/>
      <c r="W46" s="12">
        <f>IF(AND(K46&lt;&gt;"",L46&lt;&gt;""),ROUND((L46-K46)/30.4375,1),"")</f>
        <v/>
      </c>
      <c r="X46" s="12">
        <f>IF(OR(A46="",M46="En ejecución",L46=""),"",YEAR(L46))</f>
        <v/>
      </c>
      <c r="Y46" s="13">
        <f>IF(X46="","",IFERROR(VLOOKUP(X46,SMMLV!$A$2:$B$38,2,FALSE),""))</f>
        <v/>
      </c>
      <c r="Z46" s="17">
        <f>IF(OR(Y46="",P46=""),"",ROUND(P46/Y46,2))</f>
        <v/>
      </c>
      <c r="AA46" s="13">
        <f>IF(Z46="","",ROUND(Z46*SMMLV!$E$4,0))</f>
        <v/>
      </c>
      <c r="AB46" s="13">
        <f>IF(AND(M46="En ejecución",P46&lt;&gt;"",Q46&lt;&gt;""),MAX(P46-Q46,0),"")</f>
        <v/>
      </c>
      <c r="AC46" s="12">
        <f>IF(A46="","",IF(B46="","Falta número de contrato; ","")&amp;IF(C46="","Falta entidad; ","")&amp;IF(E46="","Falta objeto; ","")&amp;IF(F46="","Falta especialidad; ","")&amp;IF(K46="","Falta fecha de inicio (recomendada); ","")&amp;IF(AND(M46&lt;&gt;"En ejecución",L46=""),"Falta fecha de terminación; ","")&amp;IF(AND(K46&lt;&gt;"",L46&lt;&gt;"",L46&lt;K46),"Terminación anterior al inicio; ","")&amp;IF(M46="","Falta estado; ","")&amp;IF(OR(P46="",P46&lt;=0),"Falta valor del contrato; ","")&amp;IF(AND(M46="En ejecución",Q46=""),"En ejecución sin valor ejecutado; ","")&amp;IF(AND(M46="En ejecución",L46&lt;&gt;"",L46&lt;TODAY()),"Dice en ejecución pero su terminación ya pasó; ","")&amp;IF(M46="En ejecución","En ejecución: no acredita experiencia; ","")&amp;IF(AND(M46&lt;&gt;"En ejecución",L46&lt;&gt;"",X46&lt;&gt;"",Y46=""),"El año no está en la hoja SMMLV; ","")&amp;IF(AND(B46&lt;&gt;"",COUNTIFS($B$2:$B$601,B46,$C$2:$C$601,C46)&gt;1),"Posible duplicado (mismo número y entidad); ","")&amp;IF(COUNTIF(PARTICIPACIONES!$A$2:$A$601,A46)=0,"Sin participaciones; ","")&amp;IF(SUMIFS(PARTICIPACIONES!$E$2:$E$601,PARTICIPACIONES!$A$2:$A$601,A46)&gt;1.0001,"Las participaciones suman más de 100 %; ",""))</f>
        <v/>
      </c>
    </row>
    <row r="47">
      <c r="J47" s="15" t="n"/>
      <c r="K47" s="15" t="n"/>
      <c r="L47" s="15" t="n"/>
      <c r="N47" s="15" t="n"/>
      <c r="O47" s="16" t="n"/>
      <c r="P47" s="16" t="n"/>
      <c r="Q47" s="16" t="n"/>
      <c r="W47" s="12">
        <f>IF(AND(K47&lt;&gt;"",L47&lt;&gt;""),ROUND((L47-K47)/30.4375,1),"")</f>
        <v/>
      </c>
      <c r="X47" s="12">
        <f>IF(OR(A47="",M47="En ejecución",L47=""),"",YEAR(L47))</f>
        <v/>
      </c>
      <c r="Y47" s="13">
        <f>IF(X47="","",IFERROR(VLOOKUP(X47,SMMLV!$A$2:$B$38,2,FALSE),""))</f>
        <v/>
      </c>
      <c r="Z47" s="17">
        <f>IF(OR(Y47="",P47=""),"",ROUND(P47/Y47,2))</f>
        <v/>
      </c>
      <c r="AA47" s="13">
        <f>IF(Z47="","",ROUND(Z47*SMMLV!$E$4,0))</f>
        <v/>
      </c>
      <c r="AB47" s="13">
        <f>IF(AND(M47="En ejecución",P47&lt;&gt;"",Q47&lt;&gt;""),MAX(P47-Q47,0),"")</f>
        <v/>
      </c>
      <c r="AC47" s="12">
        <f>IF(A47="","",IF(B47="","Falta número de contrato; ","")&amp;IF(C47="","Falta entidad; ","")&amp;IF(E47="","Falta objeto; ","")&amp;IF(F47="","Falta especialidad; ","")&amp;IF(K47="","Falta fecha de inicio (recomendada); ","")&amp;IF(AND(M47&lt;&gt;"En ejecución",L47=""),"Falta fecha de terminación; ","")&amp;IF(AND(K47&lt;&gt;"",L47&lt;&gt;"",L47&lt;K47),"Terminación anterior al inicio; ","")&amp;IF(M47="","Falta estado; ","")&amp;IF(OR(P47="",P47&lt;=0),"Falta valor del contrato; ","")&amp;IF(AND(M47="En ejecución",Q47=""),"En ejecución sin valor ejecutado; ","")&amp;IF(AND(M47="En ejecución",L47&lt;&gt;"",L47&lt;TODAY()),"Dice en ejecución pero su terminación ya pasó; ","")&amp;IF(M47="En ejecución","En ejecución: no acredita experiencia; ","")&amp;IF(AND(M47&lt;&gt;"En ejecución",L47&lt;&gt;"",X47&lt;&gt;"",Y47=""),"El año no está en la hoja SMMLV; ","")&amp;IF(AND(B47&lt;&gt;"",COUNTIFS($B$2:$B$601,B47,$C$2:$C$601,C47)&gt;1),"Posible duplicado (mismo número y entidad); ","")&amp;IF(COUNTIF(PARTICIPACIONES!$A$2:$A$601,A47)=0,"Sin participaciones; ","")&amp;IF(SUMIFS(PARTICIPACIONES!$E$2:$E$601,PARTICIPACIONES!$A$2:$A$601,A47)&gt;1.0001,"Las participaciones suman más de 100 %; ",""))</f>
        <v/>
      </c>
    </row>
    <row r="48">
      <c r="J48" s="15" t="n"/>
      <c r="K48" s="15" t="n"/>
      <c r="L48" s="15" t="n"/>
      <c r="N48" s="15" t="n"/>
      <c r="O48" s="16" t="n"/>
      <c r="P48" s="16" t="n"/>
      <c r="Q48" s="16" t="n"/>
      <c r="W48" s="12">
        <f>IF(AND(K48&lt;&gt;"",L48&lt;&gt;""),ROUND((L48-K48)/30.4375,1),"")</f>
        <v/>
      </c>
      <c r="X48" s="12">
        <f>IF(OR(A48="",M48="En ejecución",L48=""),"",YEAR(L48))</f>
        <v/>
      </c>
      <c r="Y48" s="13">
        <f>IF(X48="","",IFERROR(VLOOKUP(X48,SMMLV!$A$2:$B$38,2,FALSE),""))</f>
        <v/>
      </c>
      <c r="Z48" s="17">
        <f>IF(OR(Y48="",P48=""),"",ROUND(P48/Y48,2))</f>
        <v/>
      </c>
      <c r="AA48" s="13">
        <f>IF(Z48="","",ROUND(Z48*SMMLV!$E$4,0))</f>
        <v/>
      </c>
      <c r="AB48" s="13">
        <f>IF(AND(M48="En ejecución",P48&lt;&gt;"",Q48&lt;&gt;""),MAX(P48-Q48,0),"")</f>
        <v/>
      </c>
      <c r="AC48" s="12">
        <f>IF(A48="","",IF(B48="","Falta número de contrato; ","")&amp;IF(C48="","Falta entidad; ","")&amp;IF(E48="","Falta objeto; ","")&amp;IF(F48="","Falta especialidad; ","")&amp;IF(K48="","Falta fecha de inicio (recomendada); ","")&amp;IF(AND(M48&lt;&gt;"En ejecución",L48=""),"Falta fecha de terminación; ","")&amp;IF(AND(K48&lt;&gt;"",L48&lt;&gt;"",L48&lt;K48),"Terminación anterior al inicio; ","")&amp;IF(M48="","Falta estado; ","")&amp;IF(OR(P48="",P48&lt;=0),"Falta valor del contrato; ","")&amp;IF(AND(M48="En ejecución",Q48=""),"En ejecución sin valor ejecutado; ","")&amp;IF(AND(M48="En ejecución",L48&lt;&gt;"",L48&lt;TODAY()),"Dice en ejecución pero su terminación ya pasó; ","")&amp;IF(M48="En ejecución","En ejecución: no acredita experiencia; ","")&amp;IF(AND(M48&lt;&gt;"En ejecución",L48&lt;&gt;"",X48&lt;&gt;"",Y48=""),"El año no está en la hoja SMMLV; ","")&amp;IF(AND(B48&lt;&gt;"",COUNTIFS($B$2:$B$601,B48,$C$2:$C$601,C48)&gt;1),"Posible duplicado (mismo número y entidad); ","")&amp;IF(COUNTIF(PARTICIPACIONES!$A$2:$A$601,A48)=0,"Sin participaciones; ","")&amp;IF(SUMIFS(PARTICIPACIONES!$E$2:$E$601,PARTICIPACIONES!$A$2:$A$601,A48)&gt;1.0001,"Las participaciones suman más de 100 %; ",""))</f>
        <v/>
      </c>
    </row>
    <row r="49">
      <c r="J49" s="15" t="n"/>
      <c r="K49" s="15" t="n"/>
      <c r="L49" s="15" t="n"/>
      <c r="N49" s="15" t="n"/>
      <c r="O49" s="16" t="n"/>
      <c r="P49" s="16" t="n"/>
      <c r="Q49" s="16" t="n"/>
      <c r="W49" s="12">
        <f>IF(AND(K49&lt;&gt;"",L49&lt;&gt;""),ROUND((L49-K49)/30.4375,1),"")</f>
        <v/>
      </c>
      <c r="X49" s="12">
        <f>IF(OR(A49="",M49="En ejecución",L49=""),"",YEAR(L49))</f>
        <v/>
      </c>
      <c r="Y49" s="13">
        <f>IF(X49="","",IFERROR(VLOOKUP(X49,SMMLV!$A$2:$B$38,2,FALSE),""))</f>
        <v/>
      </c>
      <c r="Z49" s="17">
        <f>IF(OR(Y49="",P49=""),"",ROUND(P49/Y49,2))</f>
        <v/>
      </c>
      <c r="AA49" s="13">
        <f>IF(Z49="","",ROUND(Z49*SMMLV!$E$4,0))</f>
        <v/>
      </c>
      <c r="AB49" s="13">
        <f>IF(AND(M49="En ejecución",P49&lt;&gt;"",Q49&lt;&gt;""),MAX(P49-Q49,0),"")</f>
        <v/>
      </c>
      <c r="AC49" s="12">
        <f>IF(A49="","",IF(B49="","Falta número de contrato; ","")&amp;IF(C49="","Falta entidad; ","")&amp;IF(E49="","Falta objeto; ","")&amp;IF(F49="","Falta especialidad; ","")&amp;IF(K49="","Falta fecha de inicio (recomendada); ","")&amp;IF(AND(M49&lt;&gt;"En ejecución",L49=""),"Falta fecha de terminación; ","")&amp;IF(AND(K49&lt;&gt;"",L49&lt;&gt;"",L49&lt;K49),"Terminación anterior al inicio; ","")&amp;IF(M49="","Falta estado; ","")&amp;IF(OR(P49="",P49&lt;=0),"Falta valor del contrato; ","")&amp;IF(AND(M49="En ejecución",Q49=""),"En ejecución sin valor ejecutado; ","")&amp;IF(AND(M49="En ejecución",L49&lt;&gt;"",L49&lt;TODAY()),"Dice en ejecución pero su terminación ya pasó; ","")&amp;IF(M49="En ejecución","En ejecución: no acredita experiencia; ","")&amp;IF(AND(M49&lt;&gt;"En ejecución",L49&lt;&gt;"",X49&lt;&gt;"",Y49=""),"El año no está en la hoja SMMLV; ","")&amp;IF(AND(B49&lt;&gt;"",COUNTIFS($B$2:$B$601,B49,$C$2:$C$601,C49)&gt;1),"Posible duplicado (mismo número y entidad); ","")&amp;IF(COUNTIF(PARTICIPACIONES!$A$2:$A$601,A49)=0,"Sin participaciones; ","")&amp;IF(SUMIFS(PARTICIPACIONES!$E$2:$E$601,PARTICIPACIONES!$A$2:$A$601,A49)&gt;1.0001,"Las participaciones suman más de 100 %; ",""))</f>
        <v/>
      </c>
    </row>
    <row r="50">
      <c r="J50" s="15" t="n"/>
      <c r="K50" s="15" t="n"/>
      <c r="L50" s="15" t="n"/>
      <c r="N50" s="15" t="n"/>
      <c r="O50" s="16" t="n"/>
      <c r="P50" s="16" t="n"/>
      <c r="Q50" s="16" t="n"/>
      <c r="W50" s="12">
        <f>IF(AND(K50&lt;&gt;"",L50&lt;&gt;""),ROUND((L50-K50)/30.4375,1),"")</f>
        <v/>
      </c>
      <c r="X50" s="12">
        <f>IF(OR(A50="",M50="En ejecución",L50=""),"",YEAR(L50))</f>
        <v/>
      </c>
      <c r="Y50" s="13">
        <f>IF(X50="","",IFERROR(VLOOKUP(X50,SMMLV!$A$2:$B$38,2,FALSE),""))</f>
        <v/>
      </c>
      <c r="Z50" s="17">
        <f>IF(OR(Y50="",P50=""),"",ROUND(P50/Y50,2))</f>
        <v/>
      </c>
      <c r="AA50" s="13">
        <f>IF(Z50="","",ROUND(Z50*SMMLV!$E$4,0))</f>
        <v/>
      </c>
      <c r="AB50" s="13">
        <f>IF(AND(M50="En ejecución",P50&lt;&gt;"",Q50&lt;&gt;""),MAX(P50-Q50,0),"")</f>
        <v/>
      </c>
      <c r="AC50" s="12">
        <f>IF(A50="","",IF(B50="","Falta número de contrato; ","")&amp;IF(C50="","Falta entidad; ","")&amp;IF(E50="","Falta objeto; ","")&amp;IF(F50="","Falta especialidad; ","")&amp;IF(K50="","Falta fecha de inicio (recomendada); ","")&amp;IF(AND(M50&lt;&gt;"En ejecución",L50=""),"Falta fecha de terminación; ","")&amp;IF(AND(K50&lt;&gt;"",L50&lt;&gt;"",L50&lt;K50),"Terminación anterior al inicio; ","")&amp;IF(M50="","Falta estado; ","")&amp;IF(OR(P50="",P50&lt;=0),"Falta valor del contrato; ","")&amp;IF(AND(M50="En ejecución",Q50=""),"En ejecución sin valor ejecutado; ","")&amp;IF(AND(M50="En ejecución",L50&lt;&gt;"",L50&lt;TODAY()),"Dice en ejecución pero su terminación ya pasó; ","")&amp;IF(M50="En ejecución","En ejecución: no acredita experiencia; ","")&amp;IF(AND(M50&lt;&gt;"En ejecución",L50&lt;&gt;"",X50&lt;&gt;"",Y50=""),"El año no está en la hoja SMMLV; ","")&amp;IF(AND(B50&lt;&gt;"",COUNTIFS($B$2:$B$601,B50,$C$2:$C$601,C50)&gt;1),"Posible duplicado (mismo número y entidad); ","")&amp;IF(COUNTIF(PARTICIPACIONES!$A$2:$A$601,A50)=0,"Sin participaciones; ","")&amp;IF(SUMIFS(PARTICIPACIONES!$E$2:$E$601,PARTICIPACIONES!$A$2:$A$601,A50)&gt;1.0001,"Las participaciones suman más de 100 %; ",""))</f>
        <v/>
      </c>
    </row>
    <row r="51">
      <c r="J51" s="15" t="n"/>
      <c r="K51" s="15" t="n"/>
      <c r="L51" s="15" t="n"/>
      <c r="N51" s="15" t="n"/>
      <c r="O51" s="16" t="n"/>
      <c r="P51" s="16" t="n"/>
      <c r="Q51" s="16" t="n"/>
      <c r="W51" s="12">
        <f>IF(AND(K51&lt;&gt;"",L51&lt;&gt;""),ROUND((L51-K51)/30.4375,1),"")</f>
        <v/>
      </c>
      <c r="X51" s="12">
        <f>IF(OR(A51="",M51="En ejecución",L51=""),"",YEAR(L51))</f>
        <v/>
      </c>
      <c r="Y51" s="13">
        <f>IF(X51="","",IFERROR(VLOOKUP(X51,SMMLV!$A$2:$B$38,2,FALSE),""))</f>
        <v/>
      </c>
      <c r="Z51" s="17">
        <f>IF(OR(Y51="",P51=""),"",ROUND(P51/Y51,2))</f>
        <v/>
      </c>
      <c r="AA51" s="13">
        <f>IF(Z51="","",ROUND(Z51*SMMLV!$E$4,0))</f>
        <v/>
      </c>
      <c r="AB51" s="13">
        <f>IF(AND(M51="En ejecución",P51&lt;&gt;"",Q51&lt;&gt;""),MAX(P51-Q51,0),"")</f>
        <v/>
      </c>
      <c r="AC51" s="12">
        <f>IF(A51="","",IF(B51="","Falta número de contrato; ","")&amp;IF(C51="","Falta entidad; ","")&amp;IF(E51="","Falta objeto; ","")&amp;IF(F51="","Falta especialidad; ","")&amp;IF(K51="","Falta fecha de inicio (recomendada); ","")&amp;IF(AND(M51&lt;&gt;"En ejecución",L51=""),"Falta fecha de terminación; ","")&amp;IF(AND(K51&lt;&gt;"",L51&lt;&gt;"",L51&lt;K51),"Terminación anterior al inicio; ","")&amp;IF(M51="","Falta estado; ","")&amp;IF(OR(P51="",P51&lt;=0),"Falta valor del contrato; ","")&amp;IF(AND(M51="En ejecución",Q51=""),"En ejecución sin valor ejecutado; ","")&amp;IF(AND(M51="En ejecución",L51&lt;&gt;"",L51&lt;TODAY()),"Dice en ejecución pero su terminación ya pasó; ","")&amp;IF(M51="En ejecución","En ejecución: no acredita experiencia; ","")&amp;IF(AND(M51&lt;&gt;"En ejecución",L51&lt;&gt;"",X51&lt;&gt;"",Y51=""),"El año no está en la hoja SMMLV; ","")&amp;IF(AND(B51&lt;&gt;"",COUNTIFS($B$2:$B$601,B51,$C$2:$C$601,C51)&gt;1),"Posible duplicado (mismo número y entidad); ","")&amp;IF(COUNTIF(PARTICIPACIONES!$A$2:$A$601,A51)=0,"Sin participaciones; ","")&amp;IF(SUMIFS(PARTICIPACIONES!$E$2:$E$601,PARTICIPACIONES!$A$2:$A$601,A51)&gt;1.0001,"Las participaciones suman más de 100 %; ",""))</f>
        <v/>
      </c>
    </row>
    <row r="52">
      <c r="J52" s="15" t="n"/>
      <c r="K52" s="15" t="n"/>
      <c r="L52" s="15" t="n"/>
      <c r="N52" s="15" t="n"/>
      <c r="O52" s="16" t="n"/>
      <c r="P52" s="16" t="n"/>
      <c r="Q52" s="16" t="n"/>
      <c r="W52" s="12">
        <f>IF(AND(K52&lt;&gt;"",L52&lt;&gt;""),ROUND((L52-K52)/30.4375,1),"")</f>
        <v/>
      </c>
      <c r="X52" s="12">
        <f>IF(OR(A52="",M52="En ejecución",L52=""),"",YEAR(L52))</f>
        <v/>
      </c>
      <c r="Y52" s="13">
        <f>IF(X52="","",IFERROR(VLOOKUP(X52,SMMLV!$A$2:$B$38,2,FALSE),""))</f>
        <v/>
      </c>
      <c r="Z52" s="17">
        <f>IF(OR(Y52="",P52=""),"",ROUND(P52/Y52,2))</f>
        <v/>
      </c>
      <c r="AA52" s="13">
        <f>IF(Z52="","",ROUND(Z52*SMMLV!$E$4,0))</f>
        <v/>
      </c>
      <c r="AB52" s="13">
        <f>IF(AND(M52="En ejecución",P52&lt;&gt;"",Q52&lt;&gt;""),MAX(P52-Q52,0),"")</f>
        <v/>
      </c>
      <c r="AC52" s="12">
        <f>IF(A52="","",IF(B52="","Falta número de contrato; ","")&amp;IF(C52="","Falta entidad; ","")&amp;IF(E52="","Falta objeto; ","")&amp;IF(F52="","Falta especialidad; ","")&amp;IF(K52="","Falta fecha de inicio (recomendada); ","")&amp;IF(AND(M52&lt;&gt;"En ejecución",L52=""),"Falta fecha de terminación; ","")&amp;IF(AND(K52&lt;&gt;"",L52&lt;&gt;"",L52&lt;K52),"Terminación anterior al inicio; ","")&amp;IF(M52="","Falta estado; ","")&amp;IF(OR(P52="",P52&lt;=0),"Falta valor del contrato; ","")&amp;IF(AND(M52="En ejecución",Q52=""),"En ejecución sin valor ejecutado; ","")&amp;IF(AND(M52="En ejecución",L52&lt;&gt;"",L52&lt;TODAY()),"Dice en ejecución pero su terminación ya pasó; ","")&amp;IF(M52="En ejecución","En ejecución: no acredita experiencia; ","")&amp;IF(AND(M52&lt;&gt;"En ejecución",L52&lt;&gt;"",X52&lt;&gt;"",Y52=""),"El año no está en la hoja SMMLV; ","")&amp;IF(AND(B52&lt;&gt;"",COUNTIFS($B$2:$B$601,B52,$C$2:$C$601,C52)&gt;1),"Posible duplicado (mismo número y entidad); ","")&amp;IF(COUNTIF(PARTICIPACIONES!$A$2:$A$601,A52)=0,"Sin participaciones; ","")&amp;IF(SUMIFS(PARTICIPACIONES!$E$2:$E$601,PARTICIPACIONES!$A$2:$A$601,A52)&gt;1.0001,"Las participaciones suman más de 100 %; ",""))</f>
        <v/>
      </c>
    </row>
    <row r="53">
      <c r="J53" s="15" t="n"/>
      <c r="K53" s="15" t="n"/>
      <c r="L53" s="15" t="n"/>
      <c r="N53" s="15" t="n"/>
      <c r="O53" s="16" t="n"/>
      <c r="P53" s="16" t="n"/>
      <c r="Q53" s="16" t="n"/>
      <c r="W53" s="12">
        <f>IF(AND(K53&lt;&gt;"",L53&lt;&gt;""),ROUND((L53-K53)/30.4375,1),"")</f>
        <v/>
      </c>
      <c r="X53" s="12">
        <f>IF(OR(A53="",M53="En ejecución",L53=""),"",YEAR(L53))</f>
        <v/>
      </c>
      <c r="Y53" s="13">
        <f>IF(X53="","",IFERROR(VLOOKUP(X53,SMMLV!$A$2:$B$38,2,FALSE),""))</f>
        <v/>
      </c>
      <c r="Z53" s="17">
        <f>IF(OR(Y53="",P53=""),"",ROUND(P53/Y53,2))</f>
        <v/>
      </c>
      <c r="AA53" s="13">
        <f>IF(Z53="","",ROUND(Z53*SMMLV!$E$4,0))</f>
        <v/>
      </c>
      <c r="AB53" s="13">
        <f>IF(AND(M53="En ejecución",P53&lt;&gt;"",Q53&lt;&gt;""),MAX(P53-Q53,0),"")</f>
        <v/>
      </c>
      <c r="AC53" s="12">
        <f>IF(A53="","",IF(B53="","Falta número de contrato; ","")&amp;IF(C53="","Falta entidad; ","")&amp;IF(E53="","Falta objeto; ","")&amp;IF(F53="","Falta especialidad; ","")&amp;IF(K53="","Falta fecha de inicio (recomendada); ","")&amp;IF(AND(M53&lt;&gt;"En ejecución",L53=""),"Falta fecha de terminación; ","")&amp;IF(AND(K53&lt;&gt;"",L53&lt;&gt;"",L53&lt;K53),"Terminación anterior al inicio; ","")&amp;IF(M53="","Falta estado; ","")&amp;IF(OR(P53="",P53&lt;=0),"Falta valor del contrato; ","")&amp;IF(AND(M53="En ejecución",Q53=""),"En ejecución sin valor ejecutado; ","")&amp;IF(AND(M53="En ejecución",L53&lt;&gt;"",L53&lt;TODAY()),"Dice en ejecución pero su terminación ya pasó; ","")&amp;IF(M53="En ejecución","En ejecución: no acredita experiencia; ","")&amp;IF(AND(M53&lt;&gt;"En ejecución",L53&lt;&gt;"",X53&lt;&gt;"",Y53=""),"El año no está en la hoja SMMLV; ","")&amp;IF(AND(B53&lt;&gt;"",COUNTIFS($B$2:$B$601,B53,$C$2:$C$601,C53)&gt;1),"Posible duplicado (mismo número y entidad); ","")&amp;IF(COUNTIF(PARTICIPACIONES!$A$2:$A$601,A53)=0,"Sin participaciones; ","")&amp;IF(SUMIFS(PARTICIPACIONES!$E$2:$E$601,PARTICIPACIONES!$A$2:$A$601,A53)&gt;1.0001,"Las participaciones suman más de 100 %; ",""))</f>
        <v/>
      </c>
    </row>
    <row r="54">
      <c r="J54" s="15" t="n"/>
      <c r="K54" s="15" t="n"/>
      <c r="L54" s="15" t="n"/>
      <c r="N54" s="15" t="n"/>
      <c r="O54" s="16" t="n"/>
      <c r="P54" s="16" t="n"/>
      <c r="Q54" s="16" t="n"/>
      <c r="W54" s="12">
        <f>IF(AND(K54&lt;&gt;"",L54&lt;&gt;""),ROUND((L54-K54)/30.4375,1),"")</f>
        <v/>
      </c>
      <c r="X54" s="12">
        <f>IF(OR(A54="",M54="En ejecución",L54=""),"",YEAR(L54))</f>
        <v/>
      </c>
      <c r="Y54" s="13">
        <f>IF(X54="","",IFERROR(VLOOKUP(X54,SMMLV!$A$2:$B$38,2,FALSE),""))</f>
        <v/>
      </c>
      <c r="Z54" s="17">
        <f>IF(OR(Y54="",P54=""),"",ROUND(P54/Y54,2))</f>
        <v/>
      </c>
      <c r="AA54" s="13">
        <f>IF(Z54="","",ROUND(Z54*SMMLV!$E$4,0))</f>
        <v/>
      </c>
      <c r="AB54" s="13">
        <f>IF(AND(M54="En ejecución",P54&lt;&gt;"",Q54&lt;&gt;""),MAX(P54-Q54,0),"")</f>
        <v/>
      </c>
      <c r="AC54" s="12">
        <f>IF(A54="","",IF(B54="","Falta número de contrato; ","")&amp;IF(C54="","Falta entidad; ","")&amp;IF(E54="","Falta objeto; ","")&amp;IF(F54="","Falta especialidad; ","")&amp;IF(K54="","Falta fecha de inicio (recomendada); ","")&amp;IF(AND(M54&lt;&gt;"En ejecución",L54=""),"Falta fecha de terminación; ","")&amp;IF(AND(K54&lt;&gt;"",L54&lt;&gt;"",L54&lt;K54),"Terminación anterior al inicio; ","")&amp;IF(M54="","Falta estado; ","")&amp;IF(OR(P54="",P54&lt;=0),"Falta valor del contrato; ","")&amp;IF(AND(M54="En ejecución",Q54=""),"En ejecución sin valor ejecutado; ","")&amp;IF(AND(M54="En ejecución",L54&lt;&gt;"",L54&lt;TODAY()),"Dice en ejecución pero su terminación ya pasó; ","")&amp;IF(M54="En ejecución","En ejecución: no acredita experiencia; ","")&amp;IF(AND(M54&lt;&gt;"En ejecución",L54&lt;&gt;"",X54&lt;&gt;"",Y54=""),"El año no está en la hoja SMMLV; ","")&amp;IF(AND(B54&lt;&gt;"",COUNTIFS($B$2:$B$601,B54,$C$2:$C$601,C54)&gt;1),"Posible duplicado (mismo número y entidad); ","")&amp;IF(COUNTIF(PARTICIPACIONES!$A$2:$A$601,A54)=0,"Sin participaciones; ","")&amp;IF(SUMIFS(PARTICIPACIONES!$E$2:$E$601,PARTICIPACIONES!$A$2:$A$601,A54)&gt;1.0001,"Las participaciones suman más de 100 %; ",""))</f>
        <v/>
      </c>
    </row>
    <row r="55">
      <c r="J55" s="15" t="n"/>
      <c r="K55" s="15" t="n"/>
      <c r="L55" s="15" t="n"/>
      <c r="N55" s="15" t="n"/>
      <c r="O55" s="16" t="n"/>
      <c r="P55" s="16" t="n"/>
      <c r="Q55" s="16" t="n"/>
      <c r="W55" s="12">
        <f>IF(AND(K55&lt;&gt;"",L55&lt;&gt;""),ROUND((L55-K55)/30.4375,1),"")</f>
        <v/>
      </c>
      <c r="X55" s="12">
        <f>IF(OR(A55="",M55="En ejecución",L55=""),"",YEAR(L55))</f>
        <v/>
      </c>
      <c r="Y55" s="13">
        <f>IF(X55="","",IFERROR(VLOOKUP(X55,SMMLV!$A$2:$B$38,2,FALSE),""))</f>
        <v/>
      </c>
      <c r="Z55" s="17">
        <f>IF(OR(Y55="",P55=""),"",ROUND(P55/Y55,2))</f>
        <v/>
      </c>
      <c r="AA55" s="13">
        <f>IF(Z55="","",ROUND(Z55*SMMLV!$E$4,0))</f>
        <v/>
      </c>
      <c r="AB55" s="13">
        <f>IF(AND(M55="En ejecución",P55&lt;&gt;"",Q55&lt;&gt;""),MAX(P55-Q55,0),"")</f>
        <v/>
      </c>
      <c r="AC55" s="12">
        <f>IF(A55="","",IF(B55="","Falta número de contrato; ","")&amp;IF(C55="","Falta entidad; ","")&amp;IF(E55="","Falta objeto; ","")&amp;IF(F55="","Falta especialidad; ","")&amp;IF(K55="","Falta fecha de inicio (recomendada); ","")&amp;IF(AND(M55&lt;&gt;"En ejecución",L55=""),"Falta fecha de terminación; ","")&amp;IF(AND(K55&lt;&gt;"",L55&lt;&gt;"",L55&lt;K55),"Terminación anterior al inicio; ","")&amp;IF(M55="","Falta estado; ","")&amp;IF(OR(P55="",P55&lt;=0),"Falta valor del contrato; ","")&amp;IF(AND(M55="En ejecución",Q55=""),"En ejecución sin valor ejecutado; ","")&amp;IF(AND(M55="En ejecución",L55&lt;&gt;"",L55&lt;TODAY()),"Dice en ejecución pero su terminación ya pasó; ","")&amp;IF(M55="En ejecución","En ejecución: no acredita experiencia; ","")&amp;IF(AND(M55&lt;&gt;"En ejecución",L55&lt;&gt;"",X55&lt;&gt;"",Y55=""),"El año no está en la hoja SMMLV; ","")&amp;IF(AND(B55&lt;&gt;"",COUNTIFS($B$2:$B$601,B55,$C$2:$C$601,C55)&gt;1),"Posible duplicado (mismo número y entidad); ","")&amp;IF(COUNTIF(PARTICIPACIONES!$A$2:$A$601,A55)=0,"Sin participaciones; ","")&amp;IF(SUMIFS(PARTICIPACIONES!$E$2:$E$601,PARTICIPACIONES!$A$2:$A$601,A55)&gt;1.0001,"Las participaciones suman más de 100 %; ",""))</f>
        <v/>
      </c>
    </row>
    <row r="56">
      <c r="J56" s="15" t="n"/>
      <c r="K56" s="15" t="n"/>
      <c r="L56" s="15" t="n"/>
      <c r="N56" s="15" t="n"/>
      <c r="O56" s="16" t="n"/>
      <c r="P56" s="16" t="n"/>
      <c r="Q56" s="16" t="n"/>
      <c r="W56" s="12">
        <f>IF(AND(K56&lt;&gt;"",L56&lt;&gt;""),ROUND((L56-K56)/30.4375,1),"")</f>
        <v/>
      </c>
      <c r="X56" s="12">
        <f>IF(OR(A56="",M56="En ejecución",L56=""),"",YEAR(L56))</f>
        <v/>
      </c>
      <c r="Y56" s="13">
        <f>IF(X56="","",IFERROR(VLOOKUP(X56,SMMLV!$A$2:$B$38,2,FALSE),""))</f>
        <v/>
      </c>
      <c r="Z56" s="17">
        <f>IF(OR(Y56="",P56=""),"",ROUND(P56/Y56,2))</f>
        <v/>
      </c>
      <c r="AA56" s="13">
        <f>IF(Z56="","",ROUND(Z56*SMMLV!$E$4,0))</f>
        <v/>
      </c>
      <c r="AB56" s="13">
        <f>IF(AND(M56="En ejecución",P56&lt;&gt;"",Q56&lt;&gt;""),MAX(P56-Q56,0),"")</f>
        <v/>
      </c>
      <c r="AC56" s="12">
        <f>IF(A56="","",IF(B56="","Falta número de contrato; ","")&amp;IF(C56="","Falta entidad; ","")&amp;IF(E56="","Falta objeto; ","")&amp;IF(F56="","Falta especialidad; ","")&amp;IF(K56="","Falta fecha de inicio (recomendada); ","")&amp;IF(AND(M56&lt;&gt;"En ejecución",L56=""),"Falta fecha de terminación; ","")&amp;IF(AND(K56&lt;&gt;"",L56&lt;&gt;"",L56&lt;K56),"Terminación anterior al inicio; ","")&amp;IF(M56="","Falta estado; ","")&amp;IF(OR(P56="",P56&lt;=0),"Falta valor del contrato; ","")&amp;IF(AND(M56="En ejecución",Q56=""),"En ejecución sin valor ejecutado; ","")&amp;IF(AND(M56="En ejecución",L56&lt;&gt;"",L56&lt;TODAY()),"Dice en ejecución pero su terminación ya pasó; ","")&amp;IF(M56="En ejecución","En ejecución: no acredita experiencia; ","")&amp;IF(AND(M56&lt;&gt;"En ejecución",L56&lt;&gt;"",X56&lt;&gt;"",Y56=""),"El año no está en la hoja SMMLV; ","")&amp;IF(AND(B56&lt;&gt;"",COUNTIFS($B$2:$B$601,B56,$C$2:$C$601,C56)&gt;1),"Posible duplicado (mismo número y entidad); ","")&amp;IF(COUNTIF(PARTICIPACIONES!$A$2:$A$601,A56)=0,"Sin participaciones; ","")&amp;IF(SUMIFS(PARTICIPACIONES!$E$2:$E$601,PARTICIPACIONES!$A$2:$A$601,A56)&gt;1.0001,"Las participaciones suman más de 100 %; ",""))</f>
        <v/>
      </c>
    </row>
    <row r="57">
      <c r="J57" s="15" t="n"/>
      <c r="K57" s="15" t="n"/>
      <c r="L57" s="15" t="n"/>
      <c r="N57" s="15" t="n"/>
      <c r="O57" s="16" t="n"/>
      <c r="P57" s="16" t="n"/>
      <c r="Q57" s="16" t="n"/>
      <c r="W57" s="12">
        <f>IF(AND(K57&lt;&gt;"",L57&lt;&gt;""),ROUND((L57-K57)/30.4375,1),"")</f>
        <v/>
      </c>
      <c r="X57" s="12">
        <f>IF(OR(A57="",M57="En ejecución",L57=""),"",YEAR(L57))</f>
        <v/>
      </c>
      <c r="Y57" s="13">
        <f>IF(X57="","",IFERROR(VLOOKUP(X57,SMMLV!$A$2:$B$38,2,FALSE),""))</f>
        <v/>
      </c>
      <c r="Z57" s="17">
        <f>IF(OR(Y57="",P57=""),"",ROUND(P57/Y57,2))</f>
        <v/>
      </c>
      <c r="AA57" s="13">
        <f>IF(Z57="","",ROUND(Z57*SMMLV!$E$4,0))</f>
        <v/>
      </c>
      <c r="AB57" s="13">
        <f>IF(AND(M57="En ejecución",P57&lt;&gt;"",Q57&lt;&gt;""),MAX(P57-Q57,0),"")</f>
        <v/>
      </c>
      <c r="AC57" s="12">
        <f>IF(A57="","",IF(B57="","Falta número de contrato; ","")&amp;IF(C57="","Falta entidad; ","")&amp;IF(E57="","Falta objeto; ","")&amp;IF(F57="","Falta especialidad; ","")&amp;IF(K57="","Falta fecha de inicio (recomendada); ","")&amp;IF(AND(M57&lt;&gt;"En ejecución",L57=""),"Falta fecha de terminación; ","")&amp;IF(AND(K57&lt;&gt;"",L57&lt;&gt;"",L57&lt;K57),"Terminación anterior al inicio; ","")&amp;IF(M57="","Falta estado; ","")&amp;IF(OR(P57="",P57&lt;=0),"Falta valor del contrato; ","")&amp;IF(AND(M57="En ejecución",Q57=""),"En ejecución sin valor ejecutado; ","")&amp;IF(AND(M57="En ejecución",L57&lt;&gt;"",L57&lt;TODAY()),"Dice en ejecución pero su terminación ya pasó; ","")&amp;IF(M57="En ejecución","En ejecución: no acredita experiencia; ","")&amp;IF(AND(M57&lt;&gt;"En ejecución",L57&lt;&gt;"",X57&lt;&gt;"",Y57=""),"El año no está en la hoja SMMLV; ","")&amp;IF(AND(B57&lt;&gt;"",COUNTIFS($B$2:$B$601,B57,$C$2:$C$601,C57)&gt;1),"Posible duplicado (mismo número y entidad); ","")&amp;IF(COUNTIF(PARTICIPACIONES!$A$2:$A$601,A57)=0,"Sin participaciones; ","")&amp;IF(SUMIFS(PARTICIPACIONES!$E$2:$E$601,PARTICIPACIONES!$A$2:$A$601,A57)&gt;1.0001,"Las participaciones suman más de 100 %; ",""))</f>
        <v/>
      </c>
    </row>
    <row r="58">
      <c r="J58" s="15" t="n"/>
      <c r="K58" s="15" t="n"/>
      <c r="L58" s="15" t="n"/>
      <c r="N58" s="15" t="n"/>
      <c r="O58" s="16" t="n"/>
      <c r="P58" s="16" t="n"/>
      <c r="Q58" s="16" t="n"/>
      <c r="W58" s="12">
        <f>IF(AND(K58&lt;&gt;"",L58&lt;&gt;""),ROUND((L58-K58)/30.4375,1),"")</f>
        <v/>
      </c>
      <c r="X58" s="12">
        <f>IF(OR(A58="",M58="En ejecución",L58=""),"",YEAR(L58))</f>
        <v/>
      </c>
      <c r="Y58" s="13">
        <f>IF(X58="","",IFERROR(VLOOKUP(X58,SMMLV!$A$2:$B$38,2,FALSE),""))</f>
        <v/>
      </c>
      <c r="Z58" s="17">
        <f>IF(OR(Y58="",P58=""),"",ROUND(P58/Y58,2))</f>
        <v/>
      </c>
      <c r="AA58" s="13">
        <f>IF(Z58="","",ROUND(Z58*SMMLV!$E$4,0))</f>
        <v/>
      </c>
      <c r="AB58" s="13">
        <f>IF(AND(M58="En ejecución",P58&lt;&gt;"",Q58&lt;&gt;""),MAX(P58-Q58,0),"")</f>
        <v/>
      </c>
      <c r="AC58" s="12">
        <f>IF(A58="","",IF(B58="","Falta número de contrato; ","")&amp;IF(C58="","Falta entidad; ","")&amp;IF(E58="","Falta objeto; ","")&amp;IF(F58="","Falta especialidad; ","")&amp;IF(K58="","Falta fecha de inicio (recomendada); ","")&amp;IF(AND(M58&lt;&gt;"En ejecución",L58=""),"Falta fecha de terminación; ","")&amp;IF(AND(K58&lt;&gt;"",L58&lt;&gt;"",L58&lt;K58),"Terminación anterior al inicio; ","")&amp;IF(M58="","Falta estado; ","")&amp;IF(OR(P58="",P58&lt;=0),"Falta valor del contrato; ","")&amp;IF(AND(M58="En ejecución",Q58=""),"En ejecución sin valor ejecutado; ","")&amp;IF(AND(M58="En ejecución",L58&lt;&gt;"",L58&lt;TODAY()),"Dice en ejecución pero su terminación ya pasó; ","")&amp;IF(M58="En ejecución","En ejecución: no acredita experiencia; ","")&amp;IF(AND(M58&lt;&gt;"En ejecución",L58&lt;&gt;"",X58&lt;&gt;"",Y58=""),"El año no está en la hoja SMMLV; ","")&amp;IF(AND(B58&lt;&gt;"",COUNTIFS($B$2:$B$601,B58,$C$2:$C$601,C58)&gt;1),"Posible duplicado (mismo número y entidad); ","")&amp;IF(COUNTIF(PARTICIPACIONES!$A$2:$A$601,A58)=0,"Sin participaciones; ","")&amp;IF(SUMIFS(PARTICIPACIONES!$E$2:$E$601,PARTICIPACIONES!$A$2:$A$601,A58)&gt;1.0001,"Las participaciones suman más de 100 %; ",""))</f>
        <v/>
      </c>
    </row>
    <row r="59">
      <c r="J59" s="15" t="n"/>
      <c r="K59" s="15" t="n"/>
      <c r="L59" s="15" t="n"/>
      <c r="N59" s="15" t="n"/>
      <c r="O59" s="16" t="n"/>
      <c r="P59" s="16" t="n"/>
      <c r="Q59" s="16" t="n"/>
      <c r="W59" s="12">
        <f>IF(AND(K59&lt;&gt;"",L59&lt;&gt;""),ROUND((L59-K59)/30.4375,1),"")</f>
        <v/>
      </c>
      <c r="X59" s="12">
        <f>IF(OR(A59="",M59="En ejecución",L59=""),"",YEAR(L59))</f>
        <v/>
      </c>
      <c r="Y59" s="13">
        <f>IF(X59="","",IFERROR(VLOOKUP(X59,SMMLV!$A$2:$B$38,2,FALSE),""))</f>
        <v/>
      </c>
      <c r="Z59" s="17">
        <f>IF(OR(Y59="",P59=""),"",ROUND(P59/Y59,2))</f>
        <v/>
      </c>
      <c r="AA59" s="13">
        <f>IF(Z59="","",ROUND(Z59*SMMLV!$E$4,0))</f>
        <v/>
      </c>
      <c r="AB59" s="13">
        <f>IF(AND(M59="En ejecución",P59&lt;&gt;"",Q59&lt;&gt;""),MAX(P59-Q59,0),"")</f>
        <v/>
      </c>
      <c r="AC59" s="12">
        <f>IF(A59="","",IF(B59="","Falta número de contrato; ","")&amp;IF(C59="","Falta entidad; ","")&amp;IF(E59="","Falta objeto; ","")&amp;IF(F59="","Falta especialidad; ","")&amp;IF(K59="","Falta fecha de inicio (recomendada); ","")&amp;IF(AND(M59&lt;&gt;"En ejecución",L59=""),"Falta fecha de terminación; ","")&amp;IF(AND(K59&lt;&gt;"",L59&lt;&gt;"",L59&lt;K59),"Terminación anterior al inicio; ","")&amp;IF(M59="","Falta estado; ","")&amp;IF(OR(P59="",P59&lt;=0),"Falta valor del contrato; ","")&amp;IF(AND(M59="En ejecución",Q59=""),"En ejecución sin valor ejecutado; ","")&amp;IF(AND(M59="En ejecución",L59&lt;&gt;"",L59&lt;TODAY()),"Dice en ejecución pero su terminación ya pasó; ","")&amp;IF(M59="En ejecución","En ejecución: no acredita experiencia; ","")&amp;IF(AND(M59&lt;&gt;"En ejecución",L59&lt;&gt;"",X59&lt;&gt;"",Y59=""),"El año no está en la hoja SMMLV; ","")&amp;IF(AND(B59&lt;&gt;"",COUNTIFS($B$2:$B$601,B59,$C$2:$C$601,C59)&gt;1),"Posible duplicado (mismo número y entidad); ","")&amp;IF(COUNTIF(PARTICIPACIONES!$A$2:$A$601,A59)=0,"Sin participaciones; ","")&amp;IF(SUMIFS(PARTICIPACIONES!$E$2:$E$601,PARTICIPACIONES!$A$2:$A$601,A59)&gt;1.0001,"Las participaciones suman más de 100 %; ",""))</f>
        <v/>
      </c>
    </row>
    <row r="60">
      <c r="J60" s="15" t="n"/>
      <c r="K60" s="15" t="n"/>
      <c r="L60" s="15" t="n"/>
      <c r="N60" s="15" t="n"/>
      <c r="O60" s="16" t="n"/>
      <c r="P60" s="16" t="n"/>
      <c r="Q60" s="16" t="n"/>
      <c r="W60" s="12">
        <f>IF(AND(K60&lt;&gt;"",L60&lt;&gt;""),ROUND((L60-K60)/30.4375,1),"")</f>
        <v/>
      </c>
      <c r="X60" s="12">
        <f>IF(OR(A60="",M60="En ejecución",L60=""),"",YEAR(L60))</f>
        <v/>
      </c>
      <c r="Y60" s="13">
        <f>IF(X60="","",IFERROR(VLOOKUP(X60,SMMLV!$A$2:$B$38,2,FALSE),""))</f>
        <v/>
      </c>
      <c r="Z60" s="17">
        <f>IF(OR(Y60="",P60=""),"",ROUND(P60/Y60,2))</f>
        <v/>
      </c>
      <c r="AA60" s="13">
        <f>IF(Z60="","",ROUND(Z60*SMMLV!$E$4,0))</f>
        <v/>
      </c>
      <c r="AB60" s="13">
        <f>IF(AND(M60="En ejecución",P60&lt;&gt;"",Q60&lt;&gt;""),MAX(P60-Q60,0),"")</f>
        <v/>
      </c>
      <c r="AC60" s="12">
        <f>IF(A60="","",IF(B60="","Falta número de contrato; ","")&amp;IF(C60="","Falta entidad; ","")&amp;IF(E60="","Falta objeto; ","")&amp;IF(F60="","Falta especialidad; ","")&amp;IF(K60="","Falta fecha de inicio (recomendada); ","")&amp;IF(AND(M60&lt;&gt;"En ejecución",L60=""),"Falta fecha de terminación; ","")&amp;IF(AND(K60&lt;&gt;"",L60&lt;&gt;"",L60&lt;K60),"Terminación anterior al inicio; ","")&amp;IF(M60="","Falta estado; ","")&amp;IF(OR(P60="",P60&lt;=0),"Falta valor del contrato; ","")&amp;IF(AND(M60="En ejecución",Q60=""),"En ejecución sin valor ejecutado; ","")&amp;IF(AND(M60="En ejecución",L60&lt;&gt;"",L60&lt;TODAY()),"Dice en ejecución pero su terminación ya pasó; ","")&amp;IF(M60="En ejecución","En ejecución: no acredita experiencia; ","")&amp;IF(AND(M60&lt;&gt;"En ejecución",L60&lt;&gt;"",X60&lt;&gt;"",Y60=""),"El año no está en la hoja SMMLV; ","")&amp;IF(AND(B60&lt;&gt;"",COUNTIFS($B$2:$B$601,B60,$C$2:$C$601,C60)&gt;1),"Posible duplicado (mismo número y entidad); ","")&amp;IF(COUNTIF(PARTICIPACIONES!$A$2:$A$601,A60)=0,"Sin participaciones; ","")&amp;IF(SUMIFS(PARTICIPACIONES!$E$2:$E$601,PARTICIPACIONES!$A$2:$A$601,A60)&gt;1.0001,"Las participaciones suman más de 100 %; ",""))</f>
        <v/>
      </c>
    </row>
    <row r="61">
      <c r="J61" s="15" t="n"/>
      <c r="K61" s="15" t="n"/>
      <c r="L61" s="15" t="n"/>
      <c r="N61" s="15" t="n"/>
      <c r="O61" s="16" t="n"/>
      <c r="P61" s="16" t="n"/>
      <c r="Q61" s="16" t="n"/>
      <c r="W61" s="12">
        <f>IF(AND(K61&lt;&gt;"",L61&lt;&gt;""),ROUND((L61-K61)/30.4375,1),"")</f>
        <v/>
      </c>
      <c r="X61" s="12">
        <f>IF(OR(A61="",M61="En ejecución",L61=""),"",YEAR(L61))</f>
        <v/>
      </c>
      <c r="Y61" s="13">
        <f>IF(X61="","",IFERROR(VLOOKUP(X61,SMMLV!$A$2:$B$38,2,FALSE),""))</f>
        <v/>
      </c>
      <c r="Z61" s="17">
        <f>IF(OR(Y61="",P61=""),"",ROUND(P61/Y61,2))</f>
        <v/>
      </c>
      <c r="AA61" s="13">
        <f>IF(Z61="","",ROUND(Z61*SMMLV!$E$4,0))</f>
        <v/>
      </c>
      <c r="AB61" s="13">
        <f>IF(AND(M61="En ejecución",P61&lt;&gt;"",Q61&lt;&gt;""),MAX(P61-Q61,0),"")</f>
        <v/>
      </c>
      <c r="AC61" s="12">
        <f>IF(A61="","",IF(B61="","Falta número de contrato; ","")&amp;IF(C61="","Falta entidad; ","")&amp;IF(E61="","Falta objeto; ","")&amp;IF(F61="","Falta especialidad; ","")&amp;IF(K61="","Falta fecha de inicio (recomendada); ","")&amp;IF(AND(M61&lt;&gt;"En ejecución",L61=""),"Falta fecha de terminación; ","")&amp;IF(AND(K61&lt;&gt;"",L61&lt;&gt;"",L61&lt;K61),"Terminación anterior al inicio; ","")&amp;IF(M61="","Falta estado; ","")&amp;IF(OR(P61="",P61&lt;=0),"Falta valor del contrato; ","")&amp;IF(AND(M61="En ejecución",Q61=""),"En ejecución sin valor ejecutado; ","")&amp;IF(AND(M61="En ejecución",L61&lt;&gt;"",L61&lt;TODAY()),"Dice en ejecución pero su terminación ya pasó; ","")&amp;IF(M61="En ejecución","En ejecución: no acredita experiencia; ","")&amp;IF(AND(M61&lt;&gt;"En ejecución",L61&lt;&gt;"",X61&lt;&gt;"",Y61=""),"El año no está en la hoja SMMLV; ","")&amp;IF(AND(B61&lt;&gt;"",COUNTIFS($B$2:$B$601,B61,$C$2:$C$601,C61)&gt;1),"Posible duplicado (mismo número y entidad); ","")&amp;IF(COUNTIF(PARTICIPACIONES!$A$2:$A$601,A61)=0,"Sin participaciones; ","")&amp;IF(SUMIFS(PARTICIPACIONES!$E$2:$E$601,PARTICIPACIONES!$A$2:$A$601,A61)&gt;1.0001,"Las participaciones suman más de 100 %; ",""))</f>
        <v/>
      </c>
    </row>
    <row r="62">
      <c r="J62" s="15" t="n"/>
      <c r="K62" s="15" t="n"/>
      <c r="L62" s="15" t="n"/>
      <c r="N62" s="15" t="n"/>
      <c r="O62" s="16" t="n"/>
      <c r="P62" s="16" t="n"/>
      <c r="Q62" s="16" t="n"/>
      <c r="W62" s="12">
        <f>IF(AND(K62&lt;&gt;"",L62&lt;&gt;""),ROUND((L62-K62)/30.4375,1),"")</f>
        <v/>
      </c>
      <c r="X62" s="12">
        <f>IF(OR(A62="",M62="En ejecución",L62=""),"",YEAR(L62))</f>
        <v/>
      </c>
      <c r="Y62" s="13">
        <f>IF(X62="","",IFERROR(VLOOKUP(X62,SMMLV!$A$2:$B$38,2,FALSE),""))</f>
        <v/>
      </c>
      <c r="Z62" s="17">
        <f>IF(OR(Y62="",P62=""),"",ROUND(P62/Y62,2))</f>
        <v/>
      </c>
      <c r="AA62" s="13">
        <f>IF(Z62="","",ROUND(Z62*SMMLV!$E$4,0))</f>
        <v/>
      </c>
      <c r="AB62" s="13">
        <f>IF(AND(M62="En ejecución",P62&lt;&gt;"",Q62&lt;&gt;""),MAX(P62-Q62,0),"")</f>
        <v/>
      </c>
      <c r="AC62" s="12">
        <f>IF(A62="","",IF(B62="","Falta número de contrato; ","")&amp;IF(C62="","Falta entidad; ","")&amp;IF(E62="","Falta objeto; ","")&amp;IF(F62="","Falta especialidad; ","")&amp;IF(K62="","Falta fecha de inicio (recomendada); ","")&amp;IF(AND(M62&lt;&gt;"En ejecución",L62=""),"Falta fecha de terminación; ","")&amp;IF(AND(K62&lt;&gt;"",L62&lt;&gt;"",L62&lt;K62),"Terminación anterior al inicio; ","")&amp;IF(M62="","Falta estado; ","")&amp;IF(OR(P62="",P62&lt;=0),"Falta valor del contrato; ","")&amp;IF(AND(M62="En ejecución",Q62=""),"En ejecución sin valor ejecutado; ","")&amp;IF(AND(M62="En ejecución",L62&lt;&gt;"",L62&lt;TODAY()),"Dice en ejecución pero su terminación ya pasó; ","")&amp;IF(M62="En ejecución","En ejecución: no acredita experiencia; ","")&amp;IF(AND(M62&lt;&gt;"En ejecución",L62&lt;&gt;"",X62&lt;&gt;"",Y62=""),"El año no está en la hoja SMMLV; ","")&amp;IF(AND(B62&lt;&gt;"",COUNTIFS($B$2:$B$601,B62,$C$2:$C$601,C62)&gt;1),"Posible duplicado (mismo número y entidad); ","")&amp;IF(COUNTIF(PARTICIPACIONES!$A$2:$A$601,A62)=0,"Sin participaciones; ","")&amp;IF(SUMIFS(PARTICIPACIONES!$E$2:$E$601,PARTICIPACIONES!$A$2:$A$601,A62)&gt;1.0001,"Las participaciones suman más de 100 %; ",""))</f>
        <v/>
      </c>
    </row>
    <row r="63">
      <c r="J63" s="15" t="n"/>
      <c r="K63" s="15" t="n"/>
      <c r="L63" s="15" t="n"/>
      <c r="N63" s="15" t="n"/>
      <c r="O63" s="16" t="n"/>
      <c r="P63" s="16" t="n"/>
      <c r="Q63" s="16" t="n"/>
      <c r="W63" s="12">
        <f>IF(AND(K63&lt;&gt;"",L63&lt;&gt;""),ROUND((L63-K63)/30.4375,1),"")</f>
        <v/>
      </c>
      <c r="X63" s="12">
        <f>IF(OR(A63="",M63="En ejecución",L63=""),"",YEAR(L63))</f>
        <v/>
      </c>
      <c r="Y63" s="13">
        <f>IF(X63="","",IFERROR(VLOOKUP(X63,SMMLV!$A$2:$B$38,2,FALSE),""))</f>
        <v/>
      </c>
      <c r="Z63" s="17">
        <f>IF(OR(Y63="",P63=""),"",ROUND(P63/Y63,2))</f>
        <v/>
      </c>
      <c r="AA63" s="13">
        <f>IF(Z63="","",ROUND(Z63*SMMLV!$E$4,0))</f>
        <v/>
      </c>
      <c r="AB63" s="13">
        <f>IF(AND(M63="En ejecución",P63&lt;&gt;"",Q63&lt;&gt;""),MAX(P63-Q63,0),"")</f>
        <v/>
      </c>
      <c r="AC63" s="12">
        <f>IF(A63="","",IF(B63="","Falta número de contrato; ","")&amp;IF(C63="","Falta entidad; ","")&amp;IF(E63="","Falta objeto; ","")&amp;IF(F63="","Falta especialidad; ","")&amp;IF(K63="","Falta fecha de inicio (recomendada); ","")&amp;IF(AND(M63&lt;&gt;"En ejecución",L63=""),"Falta fecha de terminación; ","")&amp;IF(AND(K63&lt;&gt;"",L63&lt;&gt;"",L63&lt;K63),"Terminación anterior al inicio; ","")&amp;IF(M63="","Falta estado; ","")&amp;IF(OR(P63="",P63&lt;=0),"Falta valor del contrato; ","")&amp;IF(AND(M63="En ejecución",Q63=""),"En ejecución sin valor ejecutado; ","")&amp;IF(AND(M63="En ejecución",L63&lt;&gt;"",L63&lt;TODAY()),"Dice en ejecución pero su terminación ya pasó; ","")&amp;IF(M63="En ejecución","En ejecución: no acredita experiencia; ","")&amp;IF(AND(M63&lt;&gt;"En ejecución",L63&lt;&gt;"",X63&lt;&gt;"",Y63=""),"El año no está en la hoja SMMLV; ","")&amp;IF(AND(B63&lt;&gt;"",COUNTIFS($B$2:$B$601,B63,$C$2:$C$601,C63)&gt;1),"Posible duplicado (mismo número y entidad); ","")&amp;IF(COUNTIF(PARTICIPACIONES!$A$2:$A$601,A63)=0,"Sin participaciones; ","")&amp;IF(SUMIFS(PARTICIPACIONES!$E$2:$E$601,PARTICIPACIONES!$A$2:$A$601,A63)&gt;1.0001,"Las participaciones suman más de 100 %; ",""))</f>
        <v/>
      </c>
    </row>
    <row r="64">
      <c r="J64" s="15" t="n"/>
      <c r="K64" s="15" t="n"/>
      <c r="L64" s="15" t="n"/>
      <c r="N64" s="15" t="n"/>
      <c r="O64" s="16" t="n"/>
      <c r="P64" s="16" t="n"/>
      <c r="Q64" s="16" t="n"/>
      <c r="W64" s="12">
        <f>IF(AND(K64&lt;&gt;"",L64&lt;&gt;""),ROUND((L64-K64)/30.4375,1),"")</f>
        <v/>
      </c>
      <c r="X64" s="12">
        <f>IF(OR(A64="",M64="En ejecución",L64=""),"",YEAR(L64))</f>
        <v/>
      </c>
      <c r="Y64" s="13">
        <f>IF(X64="","",IFERROR(VLOOKUP(X64,SMMLV!$A$2:$B$38,2,FALSE),""))</f>
        <v/>
      </c>
      <c r="Z64" s="17">
        <f>IF(OR(Y64="",P64=""),"",ROUND(P64/Y64,2))</f>
        <v/>
      </c>
      <c r="AA64" s="13">
        <f>IF(Z64="","",ROUND(Z64*SMMLV!$E$4,0))</f>
        <v/>
      </c>
      <c r="AB64" s="13">
        <f>IF(AND(M64="En ejecución",P64&lt;&gt;"",Q64&lt;&gt;""),MAX(P64-Q64,0),"")</f>
        <v/>
      </c>
      <c r="AC64" s="12">
        <f>IF(A64="","",IF(B64="","Falta número de contrato; ","")&amp;IF(C64="","Falta entidad; ","")&amp;IF(E64="","Falta objeto; ","")&amp;IF(F64="","Falta especialidad; ","")&amp;IF(K64="","Falta fecha de inicio (recomendada); ","")&amp;IF(AND(M64&lt;&gt;"En ejecución",L64=""),"Falta fecha de terminación; ","")&amp;IF(AND(K64&lt;&gt;"",L64&lt;&gt;"",L64&lt;K64),"Terminación anterior al inicio; ","")&amp;IF(M64="","Falta estado; ","")&amp;IF(OR(P64="",P64&lt;=0),"Falta valor del contrato; ","")&amp;IF(AND(M64="En ejecución",Q64=""),"En ejecución sin valor ejecutado; ","")&amp;IF(AND(M64="En ejecución",L64&lt;&gt;"",L64&lt;TODAY()),"Dice en ejecución pero su terminación ya pasó; ","")&amp;IF(M64="En ejecución","En ejecución: no acredita experiencia; ","")&amp;IF(AND(M64&lt;&gt;"En ejecución",L64&lt;&gt;"",X64&lt;&gt;"",Y64=""),"El año no está en la hoja SMMLV; ","")&amp;IF(AND(B64&lt;&gt;"",COUNTIFS($B$2:$B$601,B64,$C$2:$C$601,C64)&gt;1),"Posible duplicado (mismo número y entidad); ","")&amp;IF(COUNTIF(PARTICIPACIONES!$A$2:$A$601,A64)=0,"Sin participaciones; ","")&amp;IF(SUMIFS(PARTICIPACIONES!$E$2:$E$601,PARTICIPACIONES!$A$2:$A$601,A64)&gt;1.0001,"Las participaciones suman más de 100 %; ",""))</f>
        <v/>
      </c>
    </row>
    <row r="65">
      <c r="J65" s="15" t="n"/>
      <c r="K65" s="15" t="n"/>
      <c r="L65" s="15" t="n"/>
      <c r="N65" s="15" t="n"/>
      <c r="O65" s="16" t="n"/>
      <c r="P65" s="16" t="n"/>
      <c r="Q65" s="16" t="n"/>
      <c r="W65" s="12">
        <f>IF(AND(K65&lt;&gt;"",L65&lt;&gt;""),ROUND((L65-K65)/30.4375,1),"")</f>
        <v/>
      </c>
      <c r="X65" s="12">
        <f>IF(OR(A65="",M65="En ejecución",L65=""),"",YEAR(L65))</f>
        <v/>
      </c>
      <c r="Y65" s="13">
        <f>IF(X65="","",IFERROR(VLOOKUP(X65,SMMLV!$A$2:$B$38,2,FALSE),""))</f>
        <v/>
      </c>
      <c r="Z65" s="17">
        <f>IF(OR(Y65="",P65=""),"",ROUND(P65/Y65,2))</f>
        <v/>
      </c>
      <c r="AA65" s="13">
        <f>IF(Z65="","",ROUND(Z65*SMMLV!$E$4,0))</f>
        <v/>
      </c>
      <c r="AB65" s="13">
        <f>IF(AND(M65="En ejecución",P65&lt;&gt;"",Q65&lt;&gt;""),MAX(P65-Q65,0),"")</f>
        <v/>
      </c>
      <c r="AC65" s="12">
        <f>IF(A65="","",IF(B65="","Falta número de contrato; ","")&amp;IF(C65="","Falta entidad; ","")&amp;IF(E65="","Falta objeto; ","")&amp;IF(F65="","Falta especialidad; ","")&amp;IF(K65="","Falta fecha de inicio (recomendada); ","")&amp;IF(AND(M65&lt;&gt;"En ejecución",L65=""),"Falta fecha de terminación; ","")&amp;IF(AND(K65&lt;&gt;"",L65&lt;&gt;"",L65&lt;K65),"Terminación anterior al inicio; ","")&amp;IF(M65="","Falta estado; ","")&amp;IF(OR(P65="",P65&lt;=0),"Falta valor del contrato; ","")&amp;IF(AND(M65="En ejecución",Q65=""),"En ejecución sin valor ejecutado; ","")&amp;IF(AND(M65="En ejecución",L65&lt;&gt;"",L65&lt;TODAY()),"Dice en ejecución pero su terminación ya pasó; ","")&amp;IF(M65="En ejecución","En ejecución: no acredita experiencia; ","")&amp;IF(AND(M65&lt;&gt;"En ejecución",L65&lt;&gt;"",X65&lt;&gt;"",Y65=""),"El año no está en la hoja SMMLV; ","")&amp;IF(AND(B65&lt;&gt;"",COUNTIFS($B$2:$B$601,B65,$C$2:$C$601,C65)&gt;1),"Posible duplicado (mismo número y entidad); ","")&amp;IF(COUNTIF(PARTICIPACIONES!$A$2:$A$601,A65)=0,"Sin participaciones; ","")&amp;IF(SUMIFS(PARTICIPACIONES!$E$2:$E$601,PARTICIPACIONES!$A$2:$A$601,A65)&gt;1.0001,"Las participaciones suman más de 100 %; ",""))</f>
        <v/>
      </c>
    </row>
    <row r="66">
      <c r="J66" s="15" t="n"/>
      <c r="K66" s="15" t="n"/>
      <c r="L66" s="15" t="n"/>
      <c r="N66" s="15" t="n"/>
      <c r="O66" s="16" t="n"/>
      <c r="P66" s="16" t="n"/>
      <c r="Q66" s="16" t="n"/>
      <c r="W66" s="12">
        <f>IF(AND(K66&lt;&gt;"",L66&lt;&gt;""),ROUND((L66-K66)/30.4375,1),"")</f>
        <v/>
      </c>
      <c r="X66" s="12">
        <f>IF(OR(A66="",M66="En ejecución",L66=""),"",YEAR(L66))</f>
        <v/>
      </c>
      <c r="Y66" s="13">
        <f>IF(X66="","",IFERROR(VLOOKUP(X66,SMMLV!$A$2:$B$38,2,FALSE),""))</f>
        <v/>
      </c>
      <c r="Z66" s="17">
        <f>IF(OR(Y66="",P66=""),"",ROUND(P66/Y66,2))</f>
        <v/>
      </c>
      <c r="AA66" s="13">
        <f>IF(Z66="","",ROUND(Z66*SMMLV!$E$4,0))</f>
        <v/>
      </c>
      <c r="AB66" s="13">
        <f>IF(AND(M66="En ejecución",P66&lt;&gt;"",Q66&lt;&gt;""),MAX(P66-Q66,0),"")</f>
        <v/>
      </c>
      <c r="AC66" s="12">
        <f>IF(A66="","",IF(B66="","Falta número de contrato; ","")&amp;IF(C66="","Falta entidad; ","")&amp;IF(E66="","Falta objeto; ","")&amp;IF(F66="","Falta especialidad; ","")&amp;IF(K66="","Falta fecha de inicio (recomendada); ","")&amp;IF(AND(M66&lt;&gt;"En ejecución",L66=""),"Falta fecha de terminación; ","")&amp;IF(AND(K66&lt;&gt;"",L66&lt;&gt;"",L66&lt;K66),"Terminación anterior al inicio; ","")&amp;IF(M66="","Falta estado; ","")&amp;IF(OR(P66="",P66&lt;=0),"Falta valor del contrato; ","")&amp;IF(AND(M66="En ejecución",Q66=""),"En ejecución sin valor ejecutado; ","")&amp;IF(AND(M66="En ejecución",L66&lt;&gt;"",L66&lt;TODAY()),"Dice en ejecución pero su terminación ya pasó; ","")&amp;IF(M66="En ejecución","En ejecución: no acredita experiencia; ","")&amp;IF(AND(M66&lt;&gt;"En ejecución",L66&lt;&gt;"",X66&lt;&gt;"",Y66=""),"El año no está en la hoja SMMLV; ","")&amp;IF(AND(B66&lt;&gt;"",COUNTIFS($B$2:$B$601,B66,$C$2:$C$601,C66)&gt;1),"Posible duplicado (mismo número y entidad); ","")&amp;IF(COUNTIF(PARTICIPACIONES!$A$2:$A$601,A66)=0,"Sin participaciones; ","")&amp;IF(SUMIFS(PARTICIPACIONES!$E$2:$E$601,PARTICIPACIONES!$A$2:$A$601,A66)&gt;1.0001,"Las participaciones suman más de 100 %; ",""))</f>
        <v/>
      </c>
    </row>
    <row r="67">
      <c r="J67" s="15" t="n"/>
      <c r="K67" s="15" t="n"/>
      <c r="L67" s="15" t="n"/>
      <c r="N67" s="15" t="n"/>
      <c r="O67" s="16" t="n"/>
      <c r="P67" s="16" t="n"/>
      <c r="Q67" s="16" t="n"/>
      <c r="W67" s="12">
        <f>IF(AND(K67&lt;&gt;"",L67&lt;&gt;""),ROUND((L67-K67)/30.4375,1),"")</f>
        <v/>
      </c>
      <c r="X67" s="12">
        <f>IF(OR(A67="",M67="En ejecución",L67=""),"",YEAR(L67))</f>
        <v/>
      </c>
      <c r="Y67" s="13">
        <f>IF(X67="","",IFERROR(VLOOKUP(X67,SMMLV!$A$2:$B$38,2,FALSE),""))</f>
        <v/>
      </c>
      <c r="Z67" s="17">
        <f>IF(OR(Y67="",P67=""),"",ROUND(P67/Y67,2))</f>
        <v/>
      </c>
      <c r="AA67" s="13">
        <f>IF(Z67="","",ROUND(Z67*SMMLV!$E$4,0))</f>
        <v/>
      </c>
      <c r="AB67" s="13">
        <f>IF(AND(M67="En ejecución",P67&lt;&gt;"",Q67&lt;&gt;""),MAX(P67-Q67,0),"")</f>
        <v/>
      </c>
      <c r="AC67" s="12">
        <f>IF(A67="","",IF(B67="","Falta número de contrato; ","")&amp;IF(C67="","Falta entidad; ","")&amp;IF(E67="","Falta objeto; ","")&amp;IF(F67="","Falta especialidad; ","")&amp;IF(K67="","Falta fecha de inicio (recomendada); ","")&amp;IF(AND(M67&lt;&gt;"En ejecución",L67=""),"Falta fecha de terminación; ","")&amp;IF(AND(K67&lt;&gt;"",L67&lt;&gt;"",L67&lt;K67),"Terminación anterior al inicio; ","")&amp;IF(M67="","Falta estado; ","")&amp;IF(OR(P67="",P67&lt;=0),"Falta valor del contrato; ","")&amp;IF(AND(M67="En ejecución",Q67=""),"En ejecución sin valor ejecutado; ","")&amp;IF(AND(M67="En ejecución",L67&lt;&gt;"",L67&lt;TODAY()),"Dice en ejecución pero su terminación ya pasó; ","")&amp;IF(M67="En ejecución","En ejecución: no acredita experiencia; ","")&amp;IF(AND(M67&lt;&gt;"En ejecución",L67&lt;&gt;"",X67&lt;&gt;"",Y67=""),"El año no está en la hoja SMMLV; ","")&amp;IF(AND(B67&lt;&gt;"",COUNTIFS($B$2:$B$601,B67,$C$2:$C$601,C67)&gt;1),"Posible duplicado (mismo número y entidad); ","")&amp;IF(COUNTIF(PARTICIPACIONES!$A$2:$A$601,A67)=0,"Sin participaciones; ","")&amp;IF(SUMIFS(PARTICIPACIONES!$E$2:$E$601,PARTICIPACIONES!$A$2:$A$601,A67)&gt;1.0001,"Las participaciones suman más de 100 %; ",""))</f>
        <v/>
      </c>
    </row>
    <row r="68">
      <c r="J68" s="15" t="n"/>
      <c r="K68" s="15" t="n"/>
      <c r="L68" s="15" t="n"/>
      <c r="N68" s="15" t="n"/>
      <c r="O68" s="16" t="n"/>
      <c r="P68" s="16" t="n"/>
      <c r="Q68" s="16" t="n"/>
      <c r="W68" s="12">
        <f>IF(AND(K68&lt;&gt;"",L68&lt;&gt;""),ROUND((L68-K68)/30.4375,1),"")</f>
        <v/>
      </c>
      <c r="X68" s="12">
        <f>IF(OR(A68="",M68="En ejecución",L68=""),"",YEAR(L68))</f>
        <v/>
      </c>
      <c r="Y68" s="13">
        <f>IF(X68="","",IFERROR(VLOOKUP(X68,SMMLV!$A$2:$B$38,2,FALSE),""))</f>
        <v/>
      </c>
      <c r="Z68" s="17">
        <f>IF(OR(Y68="",P68=""),"",ROUND(P68/Y68,2))</f>
        <v/>
      </c>
      <c r="AA68" s="13">
        <f>IF(Z68="","",ROUND(Z68*SMMLV!$E$4,0))</f>
        <v/>
      </c>
      <c r="AB68" s="13">
        <f>IF(AND(M68="En ejecución",P68&lt;&gt;"",Q68&lt;&gt;""),MAX(P68-Q68,0),"")</f>
        <v/>
      </c>
      <c r="AC68" s="12">
        <f>IF(A68="","",IF(B68="","Falta número de contrato; ","")&amp;IF(C68="","Falta entidad; ","")&amp;IF(E68="","Falta objeto; ","")&amp;IF(F68="","Falta especialidad; ","")&amp;IF(K68="","Falta fecha de inicio (recomendada); ","")&amp;IF(AND(M68&lt;&gt;"En ejecución",L68=""),"Falta fecha de terminación; ","")&amp;IF(AND(K68&lt;&gt;"",L68&lt;&gt;"",L68&lt;K68),"Terminación anterior al inicio; ","")&amp;IF(M68="","Falta estado; ","")&amp;IF(OR(P68="",P68&lt;=0),"Falta valor del contrato; ","")&amp;IF(AND(M68="En ejecución",Q68=""),"En ejecución sin valor ejecutado; ","")&amp;IF(AND(M68="En ejecución",L68&lt;&gt;"",L68&lt;TODAY()),"Dice en ejecución pero su terminación ya pasó; ","")&amp;IF(M68="En ejecución","En ejecución: no acredita experiencia; ","")&amp;IF(AND(M68&lt;&gt;"En ejecución",L68&lt;&gt;"",X68&lt;&gt;"",Y68=""),"El año no está en la hoja SMMLV; ","")&amp;IF(AND(B68&lt;&gt;"",COUNTIFS($B$2:$B$601,B68,$C$2:$C$601,C68)&gt;1),"Posible duplicado (mismo número y entidad); ","")&amp;IF(COUNTIF(PARTICIPACIONES!$A$2:$A$601,A68)=0,"Sin participaciones; ","")&amp;IF(SUMIFS(PARTICIPACIONES!$E$2:$E$601,PARTICIPACIONES!$A$2:$A$601,A68)&gt;1.0001,"Las participaciones suman más de 100 %; ",""))</f>
        <v/>
      </c>
    </row>
    <row r="69">
      <c r="J69" s="15" t="n"/>
      <c r="K69" s="15" t="n"/>
      <c r="L69" s="15" t="n"/>
      <c r="N69" s="15" t="n"/>
      <c r="O69" s="16" t="n"/>
      <c r="P69" s="16" t="n"/>
      <c r="Q69" s="16" t="n"/>
      <c r="W69" s="12">
        <f>IF(AND(K69&lt;&gt;"",L69&lt;&gt;""),ROUND((L69-K69)/30.4375,1),"")</f>
        <v/>
      </c>
      <c r="X69" s="12">
        <f>IF(OR(A69="",M69="En ejecución",L69=""),"",YEAR(L69))</f>
        <v/>
      </c>
      <c r="Y69" s="13">
        <f>IF(X69="","",IFERROR(VLOOKUP(X69,SMMLV!$A$2:$B$38,2,FALSE),""))</f>
        <v/>
      </c>
      <c r="Z69" s="17">
        <f>IF(OR(Y69="",P69=""),"",ROUND(P69/Y69,2))</f>
        <v/>
      </c>
      <c r="AA69" s="13">
        <f>IF(Z69="","",ROUND(Z69*SMMLV!$E$4,0))</f>
        <v/>
      </c>
      <c r="AB69" s="13">
        <f>IF(AND(M69="En ejecución",P69&lt;&gt;"",Q69&lt;&gt;""),MAX(P69-Q69,0),"")</f>
        <v/>
      </c>
      <c r="AC69" s="12">
        <f>IF(A69="","",IF(B69="","Falta número de contrato; ","")&amp;IF(C69="","Falta entidad; ","")&amp;IF(E69="","Falta objeto; ","")&amp;IF(F69="","Falta especialidad; ","")&amp;IF(K69="","Falta fecha de inicio (recomendada); ","")&amp;IF(AND(M69&lt;&gt;"En ejecución",L69=""),"Falta fecha de terminación; ","")&amp;IF(AND(K69&lt;&gt;"",L69&lt;&gt;"",L69&lt;K69),"Terminación anterior al inicio; ","")&amp;IF(M69="","Falta estado; ","")&amp;IF(OR(P69="",P69&lt;=0),"Falta valor del contrato; ","")&amp;IF(AND(M69="En ejecución",Q69=""),"En ejecución sin valor ejecutado; ","")&amp;IF(AND(M69="En ejecución",L69&lt;&gt;"",L69&lt;TODAY()),"Dice en ejecución pero su terminación ya pasó; ","")&amp;IF(M69="En ejecución","En ejecución: no acredita experiencia; ","")&amp;IF(AND(M69&lt;&gt;"En ejecución",L69&lt;&gt;"",X69&lt;&gt;"",Y69=""),"El año no está en la hoja SMMLV; ","")&amp;IF(AND(B69&lt;&gt;"",COUNTIFS($B$2:$B$601,B69,$C$2:$C$601,C69)&gt;1),"Posible duplicado (mismo número y entidad); ","")&amp;IF(COUNTIF(PARTICIPACIONES!$A$2:$A$601,A69)=0,"Sin participaciones; ","")&amp;IF(SUMIFS(PARTICIPACIONES!$E$2:$E$601,PARTICIPACIONES!$A$2:$A$601,A69)&gt;1.0001,"Las participaciones suman más de 100 %; ",""))</f>
        <v/>
      </c>
    </row>
    <row r="70">
      <c r="J70" s="15" t="n"/>
      <c r="K70" s="15" t="n"/>
      <c r="L70" s="15" t="n"/>
      <c r="N70" s="15" t="n"/>
      <c r="O70" s="16" t="n"/>
      <c r="P70" s="16" t="n"/>
      <c r="Q70" s="16" t="n"/>
      <c r="W70" s="12">
        <f>IF(AND(K70&lt;&gt;"",L70&lt;&gt;""),ROUND((L70-K70)/30.4375,1),"")</f>
        <v/>
      </c>
      <c r="X70" s="12">
        <f>IF(OR(A70="",M70="En ejecución",L70=""),"",YEAR(L70))</f>
        <v/>
      </c>
      <c r="Y70" s="13">
        <f>IF(X70="","",IFERROR(VLOOKUP(X70,SMMLV!$A$2:$B$38,2,FALSE),""))</f>
        <v/>
      </c>
      <c r="Z70" s="17">
        <f>IF(OR(Y70="",P70=""),"",ROUND(P70/Y70,2))</f>
        <v/>
      </c>
      <c r="AA70" s="13">
        <f>IF(Z70="","",ROUND(Z70*SMMLV!$E$4,0))</f>
        <v/>
      </c>
      <c r="AB70" s="13">
        <f>IF(AND(M70="En ejecución",P70&lt;&gt;"",Q70&lt;&gt;""),MAX(P70-Q70,0),"")</f>
        <v/>
      </c>
      <c r="AC70" s="12">
        <f>IF(A70="","",IF(B70="","Falta número de contrato; ","")&amp;IF(C70="","Falta entidad; ","")&amp;IF(E70="","Falta objeto; ","")&amp;IF(F70="","Falta especialidad; ","")&amp;IF(K70="","Falta fecha de inicio (recomendada); ","")&amp;IF(AND(M70&lt;&gt;"En ejecución",L70=""),"Falta fecha de terminación; ","")&amp;IF(AND(K70&lt;&gt;"",L70&lt;&gt;"",L70&lt;K70),"Terminación anterior al inicio; ","")&amp;IF(M70="","Falta estado; ","")&amp;IF(OR(P70="",P70&lt;=0),"Falta valor del contrato; ","")&amp;IF(AND(M70="En ejecución",Q70=""),"En ejecución sin valor ejecutado; ","")&amp;IF(AND(M70="En ejecución",L70&lt;&gt;"",L70&lt;TODAY()),"Dice en ejecución pero su terminación ya pasó; ","")&amp;IF(M70="En ejecución","En ejecución: no acredita experiencia; ","")&amp;IF(AND(M70&lt;&gt;"En ejecución",L70&lt;&gt;"",X70&lt;&gt;"",Y70=""),"El año no está en la hoja SMMLV; ","")&amp;IF(AND(B70&lt;&gt;"",COUNTIFS($B$2:$B$601,B70,$C$2:$C$601,C70)&gt;1),"Posible duplicado (mismo número y entidad); ","")&amp;IF(COUNTIF(PARTICIPACIONES!$A$2:$A$601,A70)=0,"Sin participaciones; ","")&amp;IF(SUMIFS(PARTICIPACIONES!$E$2:$E$601,PARTICIPACIONES!$A$2:$A$601,A70)&gt;1.0001,"Las participaciones suman más de 100 %; ",""))</f>
        <v/>
      </c>
    </row>
    <row r="71">
      <c r="J71" s="15" t="n"/>
      <c r="K71" s="15" t="n"/>
      <c r="L71" s="15" t="n"/>
      <c r="N71" s="15" t="n"/>
      <c r="O71" s="16" t="n"/>
      <c r="P71" s="16" t="n"/>
      <c r="Q71" s="16" t="n"/>
      <c r="W71" s="12">
        <f>IF(AND(K71&lt;&gt;"",L71&lt;&gt;""),ROUND((L71-K71)/30.4375,1),"")</f>
        <v/>
      </c>
      <c r="X71" s="12">
        <f>IF(OR(A71="",M71="En ejecución",L71=""),"",YEAR(L71))</f>
        <v/>
      </c>
      <c r="Y71" s="13">
        <f>IF(X71="","",IFERROR(VLOOKUP(X71,SMMLV!$A$2:$B$38,2,FALSE),""))</f>
        <v/>
      </c>
      <c r="Z71" s="17">
        <f>IF(OR(Y71="",P71=""),"",ROUND(P71/Y71,2))</f>
        <v/>
      </c>
      <c r="AA71" s="13">
        <f>IF(Z71="","",ROUND(Z71*SMMLV!$E$4,0))</f>
        <v/>
      </c>
      <c r="AB71" s="13">
        <f>IF(AND(M71="En ejecución",P71&lt;&gt;"",Q71&lt;&gt;""),MAX(P71-Q71,0),"")</f>
        <v/>
      </c>
      <c r="AC71" s="12">
        <f>IF(A71="","",IF(B71="","Falta número de contrato; ","")&amp;IF(C71="","Falta entidad; ","")&amp;IF(E71="","Falta objeto; ","")&amp;IF(F71="","Falta especialidad; ","")&amp;IF(K71="","Falta fecha de inicio (recomendada); ","")&amp;IF(AND(M71&lt;&gt;"En ejecución",L71=""),"Falta fecha de terminación; ","")&amp;IF(AND(K71&lt;&gt;"",L71&lt;&gt;"",L71&lt;K71),"Terminación anterior al inicio; ","")&amp;IF(M71="","Falta estado; ","")&amp;IF(OR(P71="",P71&lt;=0),"Falta valor del contrato; ","")&amp;IF(AND(M71="En ejecución",Q71=""),"En ejecución sin valor ejecutado; ","")&amp;IF(AND(M71="En ejecución",L71&lt;&gt;"",L71&lt;TODAY()),"Dice en ejecución pero su terminación ya pasó; ","")&amp;IF(M71="En ejecución","En ejecución: no acredita experiencia; ","")&amp;IF(AND(M71&lt;&gt;"En ejecución",L71&lt;&gt;"",X71&lt;&gt;"",Y71=""),"El año no está en la hoja SMMLV; ","")&amp;IF(AND(B71&lt;&gt;"",COUNTIFS($B$2:$B$601,B71,$C$2:$C$601,C71)&gt;1),"Posible duplicado (mismo número y entidad); ","")&amp;IF(COUNTIF(PARTICIPACIONES!$A$2:$A$601,A71)=0,"Sin participaciones; ","")&amp;IF(SUMIFS(PARTICIPACIONES!$E$2:$E$601,PARTICIPACIONES!$A$2:$A$601,A71)&gt;1.0001,"Las participaciones suman más de 100 %; ",""))</f>
        <v/>
      </c>
    </row>
    <row r="72">
      <c r="J72" s="15" t="n"/>
      <c r="K72" s="15" t="n"/>
      <c r="L72" s="15" t="n"/>
      <c r="N72" s="15" t="n"/>
      <c r="O72" s="16" t="n"/>
      <c r="P72" s="16" t="n"/>
      <c r="Q72" s="16" t="n"/>
      <c r="W72" s="12">
        <f>IF(AND(K72&lt;&gt;"",L72&lt;&gt;""),ROUND((L72-K72)/30.4375,1),"")</f>
        <v/>
      </c>
      <c r="X72" s="12">
        <f>IF(OR(A72="",M72="En ejecución",L72=""),"",YEAR(L72))</f>
        <v/>
      </c>
      <c r="Y72" s="13">
        <f>IF(X72="","",IFERROR(VLOOKUP(X72,SMMLV!$A$2:$B$38,2,FALSE),""))</f>
        <v/>
      </c>
      <c r="Z72" s="17">
        <f>IF(OR(Y72="",P72=""),"",ROUND(P72/Y72,2))</f>
        <v/>
      </c>
      <c r="AA72" s="13">
        <f>IF(Z72="","",ROUND(Z72*SMMLV!$E$4,0))</f>
        <v/>
      </c>
      <c r="AB72" s="13">
        <f>IF(AND(M72="En ejecución",P72&lt;&gt;"",Q72&lt;&gt;""),MAX(P72-Q72,0),"")</f>
        <v/>
      </c>
      <c r="AC72" s="12">
        <f>IF(A72="","",IF(B72="","Falta número de contrato; ","")&amp;IF(C72="","Falta entidad; ","")&amp;IF(E72="","Falta objeto; ","")&amp;IF(F72="","Falta especialidad; ","")&amp;IF(K72="","Falta fecha de inicio (recomendada); ","")&amp;IF(AND(M72&lt;&gt;"En ejecución",L72=""),"Falta fecha de terminación; ","")&amp;IF(AND(K72&lt;&gt;"",L72&lt;&gt;"",L72&lt;K72),"Terminación anterior al inicio; ","")&amp;IF(M72="","Falta estado; ","")&amp;IF(OR(P72="",P72&lt;=0),"Falta valor del contrato; ","")&amp;IF(AND(M72="En ejecución",Q72=""),"En ejecución sin valor ejecutado; ","")&amp;IF(AND(M72="En ejecución",L72&lt;&gt;"",L72&lt;TODAY()),"Dice en ejecución pero su terminación ya pasó; ","")&amp;IF(M72="En ejecución","En ejecución: no acredita experiencia; ","")&amp;IF(AND(M72&lt;&gt;"En ejecución",L72&lt;&gt;"",X72&lt;&gt;"",Y72=""),"El año no está en la hoja SMMLV; ","")&amp;IF(AND(B72&lt;&gt;"",COUNTIFS($B$2:$B$601,B72,$C$2:$C$601,C72)&gt;1),"Posible duplicado (mismo número y entidad); ","")&amp;IF(COUNTIF(PARTICIPACIONES!$A$2:$A$601,A72)=0,"Sin participaciones; ","")&amp;IF(SUMIFS(PARTICIPACIONES!$E$2:$E$601,PARTICIPACIONES!$A$2:$A$601,A72)&gt;1.0001,"Las participaciones suman más de 100 %; ",""))</f>
        <v/>
      </c>
    </row>
    <row r="73">
      <c r="J73" s="15" t="n"/>
      <c r="K73" s="15" t="n"/>
      <c r="L73" s="15" t="n"/>
      <c r="N73" s="15" t="n"/>
      <c r="O73" s="16" t="n"/>
      <c r="P73" s="16" t="n"/>
      <c r="Q73" s="16" t="n"/>
      <c r="W73" s="12">
        <f>IF(AND(K73&lt;&gt;"",L73&lt;&gt;""),ROUND((L73-K73)/30.4375,1),"")</f>
        <v/>
      </c>
      <c r="X73" s="12">
        <f>IF(OR(A73="",M73="En ejecución",L73=""),"",YEAR(L73))</f>
        <v/>
      </c>
      <c r="Y73" s="13">
        <f>IF(X73="","",IFERROR(VLOOKUP(X73,SMMLV!$A$2:$B$38,2,FALSE),""))</f>
        <v/>
      </c>
      <c r="Z73" s="17">
        <f>IF(OR(Y73="",P73=""),"",ROUND(P73/Y73,2))</f>
        <v/>
      </c>
      <c r="AA73" s="13">
        <f>IF(Z73="","",ROUND(Z73*SMMLV!$E$4,0))</f>
        <v/>
      </c>
      <c r="AB73" s="13">
        <f>IF(AND(M73="En ejecución",P73&lt;&gt;"",Q73&lt;&gt;""),MAX(P73-Q73,0),"")</f>
        <v/>
      </c>
      <c r="AC73" s="12">
        <f>IF(A73="","",IF(B73="","Falta número de contrato; ","")&amp;IF(C73="","Falta entidad; ","")&amp;IF(E73="","Falta objeto; ","")&amp;IF(F73="","Falta especialidad; ","")&amp;IF(K73="","Falta fecha de inicio (recomendada); ","")&amp;IF(AND(M73&lt;&gt;"En ejecución",L73=""),"Falta fecha de terminación; ","")&amp;IF(AND(K73&lt;&gt;"",L73&lt;&gt;"",L73&lt;K73),"Terminación anterior al inicio; ","")&amp;IF(M73="","Falta estado; ","")&amp;IF(OR(P73="",P73&lt;=0),"Falta valor del contrato; ","")&amp;IF(AND(M73="En ejecución",Q73=""),"En ejecución sin valor ejecutado; ","")&amp;IF(AND(M73="En ejecución",L73&lt;&gt;"",L73&lt;TODAY()),"Dice en ejecución pero su terminación ya pasó; ","")&amp;IF(M73="En ejecución","En ejecución: no acredita experiencia; ","")&amp;IF(AND(M73&lt;&gt;"En ejecución",L73&lt;&gt;"",X73&lt;&gt;"",Y73=""),"El año no está en la hoja SMMLV; ","")&amp;IF(AND(B73&lt;&gt;"",COUNTIFS($B$2:$B$601,B73,$C$2:$C$601,C73)&gt;1),"Posible duplicado (mismo número y entidad); ","")&amp;IF(COUNTIF(PARTICIPACIONES!$A$2:$A$601,A73)=0,"Sin participaciones; ","")&amp;IF(SUMIFS(PARTICIPACIONES!$E$2:$E$601,PARTICIPACIONES!$A$2:$A$601,A73)&gt;1.0001,"Las participaciones suman más de 100 %; ",""))</f>
        <v/>
      </c>
    </row>
    <row r="74">
      <c r="J74" s="15" t="n"/>
      <c r="K74" s="15" t="n"/>
      <c r="L74" s="15" t="n"/>
      <c r="N74" s="15" t="n"/>
      <c r="O74" s="16" t="n"/>
      <c r="P74" s="16" t="n"/>
      <c r="Q74" s="16" t="n"/>
      <c r="W74" s="12">
        <f>IF(AND(K74&lt;&gt;"",L74&lt;&gt;""),ROUND((L74-K74)/30.4375,1),"")</f>
        <v/>
      </c>
      <c r="X74" s="12">
        <f>IF(OR(A74="",M74="En ejecución",L74=""),"",YEAR(L74))</f>
        <v/>
      </c>
      <c r="Y74" s="13">
        <f>IF(X74="","",IFERROR(VLOOKUP(X74,SMMLV!$A$2:$B$38,2,FALSE),""))</f>
        <v/>
      </c>
      <c r="Z74" s="17">
        <f>IF(OR(Y74="",P74=""),"",ROUND(P74/Y74,2))</f>
        <v/>
      </c>
      <c r="AA74" s="13">
        <f>IF(Z74="","",ROUND(Z74*SMMLV!$E$4,0))</f>
        <v/>
      </c>
      <c r="AB74" s="13">
        <f>IF(AND(M74="En ejecución",P74&lt;&gt;"",Q74&lt;&gt;""),MAX(P74-Q74,0),"")</f>
        <v/>
      </c>
      <c r="AC74" s="12">
        <f>IF(A74="","",IF(B74="","Falta número de contrato; ","")&amp;IF(C74="","Falta entidad; ","")&amp;IF(E74="","Falta objeto; ","")&amp;IF(F74="","Falta especialidad; ","")&amp;IF(K74="","Falta fecha de inicio (recomendada); ","")&amp;IF(AND(M74&lt;&gt;"En ejecución",L74=""),"Falta fecha de terminación; ","")&amp;IF(AND(K74&lt;&gt;"",L74&lt;&gt;"",L74&lt;K74),"Terminación anterior al inicio; ","")&amp;IF(M74="","Falta estado; ","")&amp;IF(OR(P74="",P74&lt;=0),"Falta valor del contrato; ","")&amp;IF(AND(M74="En ejecución",Q74=""),"En ejecución sin valor ejecutado; ","")&amp;IF(AND(M74="En ejecución",L74&lt;&gt;"",L74&lt;TODAY()),"Dice en ejecución pero su terminación ya pasó; ","")&amp;IF(M74="En ejecución","En ejecución: no acredita experiencia; ","")&amp;IF(AND(M74&lt;&gt;"En ejecución",L74&lt;&gt;"",X74&lt;&gt;"",Y74=""),"El año no está en la hoja SMMLV; ","")&amp;IF(AND(B74&lt;&gt;"",COUNTIFS($B$2:$B$601,B74,$C$2:$C$601,C74)&gt;1),"Posible duplicado (mismo número y entidad); ","")&amp;IF(COUNTIF(PARTICIPACIONES!$A$2:$A$601,A74)=0,"Sin participaciones; ","")&amp;IF(SUMIFS(PARTICIPACIONES!$E$2:$E$601,PARTICIPACIONES!$A$2:$A$601,A74)&gt;1.0001,"Las participaciones suman más de 100 %; ",""))</f>
        <v/>
      </c>
    </row>
    <row r="75">
      <c r="J75" s="15" t="n"/>
      <c r="K75" s="15" t="n"/>
      <c r="L75" s="15" t="n"/>
      <c r="N75" s="15" t="n"/>
      <c r="O75" s="16" t="n"/>
      <c r="P75" s="16" t="n"/>
      <c r="Q75" s="16" t="n"/>
      <c r="W75" s="12">
        <f>IF(AND(K75&lt;&gt;"",L75&lt;&gt;""),ROUND((L75-K75)/30.4375,1),"")</f>
        <v/>
      </c>
      <c r="X75" s="12">
        <f>IF(OR(A75="",M75="En ejecución",L75=""),"",YEAR(L75))</f>
        <v/>
      </c>
      <c r="Y75" s="13">
        <f>IF(X75="","",IFERROR(VLOOKUP(X75,SMMLV!$A$2:$B$38,2,FALSE),""))</f>
        <v/>
      </c>
      <c r="Z75" s="17">
        <f>IF(OR(Y75="",P75=""),"",ROUND(P75/Y75,2))</f>
        <v/>
      </c>
      <c r="AA75" s="13">
        <f>IF(Z75="","",ROUND(Z75*SMMLV!$E$4,0))</f>
        <v/>
      </c>
      <c r="AB75" s="13">
        <f>IF(AND(M75="En ejecución",P75&lt;&gt;"",Q75&lt;&gt;""),MAX(P75-Q75,0),"")</f>
        <v/>
      </c>
      <c r="AC75" s="12">
        <f>IF(A75="","",IF(B75="","Falta número de contrato; ","")&amp;IF(C75="","Falta entidad; ","")&amp;IF(E75="","Falta objeto; ","")&amp;IF(F75="","Falta especialidad; ","")&amp;IF(K75="","Falta fecha de inicio (recomendada); ","")&amp;IF(AND(M75&lt;&gt;"En ejecución",L75=""),"Falta fecha de terminación; ","")&amp;IF(AND(K75&lt;&gt;"",L75&lt;&gt;"",L75&lt;K75),"Terminación anterior al inicio; ","")&amp;IF(M75="","Falta estado; ","")&amp;IF(OR(P75="",P75&lt;=0),"Falta valor del contrato; ","")&amp;IF(AND(M75="En ejecución",Q75=""),"En ejecución sin valor ejecutado; ","")&amp;IF(AND(M75="En ejecución",L75&lt;&gt;"",L75&lt;TODAY()),"Dice en ejecución pero su terminación ya pasó; ","")&amp;IF(M75="En ejecución","En ejecución: no acredita experiencia; ","")&amp;IF(AND(M75&lt;&gt;"En ejecución",L75&lt;&gt;"",X75&lt;&gt;"",Y75=""),"El año no está en la hoja SMMLV; ","")&amp;IF(AND(B75&lt;&gt;"",COUNTIFS($B$2:$B$601,B75,$C$2:$C$601,C75)&gt;1),"Posible duplicado (mismo número y entidad); ","")&amp;IF(COUNTIF(PARTICIPACIONES!$A$2:$A$601,A75)=0,"Sin participaciones; ","")&amp;IF(SUMIFS(PARTICIPACIONES!$E$2:$E$601,PARTICIPACIONES!$A$2:$A$601,A75)&gt;1.0001,"Las participaciones suman más de 100 %; ",""))</f>
        <v/>
      </c>
    </row>
    <row r="76">
      <c r="J76" s="15" t="n"/>
      <c r="K76" s="15" t="n"/>
      <c r="L76" s="15" t="n"/>
      <c r="N76" s="15" t="n"/>
      <c r="O76" s="16" t="n"/>
      <c r="P76" s="16" t="n"/>
      <c r="Q76" s="16" t="n"/>
      <c r="W76" s="12">
        <f>IF(AND(K76&lt;&gt;"",L76&lt;&gt;""),ROUND((L76-K76)/30.4375,1),"")</f>
        <v/>
      </c>
      <c r="X76" s="12">
        <f>IF(OR(A76="",M76="En ejecución",L76=""),"",YEAR(L76))</f>
        <v/>
      </c>
      <c r="Y76" s="13">
        <f>IF(X76="","",IFERROR(VLOOKUP(X76,SMMLV!$A$2:$B$38,2,FALSE),""))</f>
        <v/>
      </c>
      <c r="Z76" s="17">
        <f>IF(OR(Y76="",P76=""),"",ROUND(P76/Y76,2))</f>
        <v/>
      </c>
      <c r="AA76" s="13">
        <f>IF(Z76="","",ROUND(Z76*SMMLV!$E$4,0))</f>
        <v/>
      </c>
      <c r="AB76" s="13">
        <f>IF(AND(M76="En ejecución",P76&lt;&gt;"",Q76&lt;&gt;""),MAX(P76-Q76,0),"")</f>
        <v/>
      </c>
      <c r="AC76" s="12">
        <f>IF(A76="","",IF(B76="","Falta número de contrato; ","")&amp;IF(C76="","Falta entidad; ","")&amp;IF(E76="","Falta objeto; ","")&amp;IF(F76="","Falta especialidad; ","")&amp;IF(K76="","Falta fecha de inicio (recomendada); ","")&amp;IF(AND(M76&lt;&gt;"En ejecución",L76=""),"Falta fecha de terminación; ","")&amp;IF(AND(K76&lt;&gt;"",L76&lt;&gt;"",L76&lt;K76),"Terminación anterior al inicio; ","")&amp;IF(M76="","Falta estado; ","")&amp;IF(OR(P76="",P76&lt;=0),"Falta valor del contrato; ","")&amp;IF(AND(M76="En ejecución",Q76=""),"En ejecución sin valor ejecutado; ","")&amp;IF(AND(M76="En ejecución",L76&lt;&gt;"",L76&lt;TODAY()),"Dice en ejecución pero su terminación ya pasó; ","")&amp;IF(M76="En ejecución","En ejecución: no acredita experiencia; ","")&amp;IF(AND(M76&lt;&gt;"En ejecución",L76&lt;&gt;"",X76&lt;&gt;"",Y76=""),"El año no está en la hoja SMMLV; ","")&amp;IF(AND(B76&lt;&gt;"",COUNTIFS($B$2:$B$601,B76,$C$2:$C$601,C76)&gt;1),"Posible duplicado (mismo número y entidad); ","")&amp;IF(COUNTIF(PARTICIPACIONES!$A$2:$A$601,A76)=0,"Sin participaciones; ","")&amp;IF(SUMIFS(PARTICIPACIONES!$E$2:$E$601,PARTICIPACIONES!$A$2:$A$601,A76)&gt;1.0001,"Las participaciones suman más de 100 %; ",""))</f>
        <v/>
      </c>
    </row>
    <row r="77">
      <c r="J77" s="15" t="n"/>
      <c r="K77" s="15" t="n"/>
      <c r="L77" s="15" t="n"/>
      <c r="N77" s="15" t="n"/>
      <c r="O77" s="16" t="n"/>
      <c r="P77" s="16" t="n"/>
      <c r="Q77" s="16" t="n"/>
      <c r="W77" s="12">
        <f>IF(AND(K77&lt;&gt;"",L77&lt;&gt;""),ROUND((L77-K77)/30.4375,1),"")</f>
        <v/>
      </c>
      <c r="X77" s="12">
        <f>IF(OR(A77="",M77="En ejecución",L77=""),"",YEAR(L77))</f>
        <v/>
      </c>
      <c r="Y77" s="13">
        <f>IF(X77="","",IFERROR(VLOOKUP(X77,SMMLV!$A$2:$B$38,2,FALSE),""))</f>
        <v/>
      </c>
      <c r="Z77" s="17">
        <f>IF(OR(Y77="",P77=""),"",ROUND(P77/Y77,2))</f>
        <v/>
      </c>
      <c r="AA77" s="13">
        <f>IF(Z77="","",ROUND(Z77*SMMLV!$E$4,0))</f>
        <v/>
      </c>
      <c r="AB77" s="13">
        <f>IF(AND(M77="En ejecución",P77&lt;&gt;"",Q77&lt;&gt;""),MAX(P77-Q77,0),"")</f>
        <v/>
      </c>
      <c r="AC77" s="12">
        <f>IF(A77="","",IF(B77="","Falta número de contrato; ","")&amp;IF(C77="","Falta entidad; ","")&amp;IF(E77="","Falta objeto; ","")&amp;IF(F77="","Falta especialidad; ","")&amp;IF(K77="","Falta fecha de inicio (recomendada); ","")&amp;IF(AND(M77&lt;&gt;"En ejecución",L77=""),"Falta fecha de terminación; ","")&amp;IF(AND(K77&lt;&gt;"",L77&lt;&gt;"",L77&lt;K77),"Terminación anterior al inicio; ","")&amp;IF(M77="","Falta estado; ","")&amp;IF(OR(P77="",P77&lt;=0),"Falta valor del contrato; ","")&amp;IF(AND(M77="En ejecución",Q77=""),"En ejecución sin valor ejecutado; ","")&amp;IF(AND(M77="En ejecución",L77&lt;&gt;"",L77&lt;TODAY()),"Dice en ejecución pero su terminación ya pasó; ","")&amp;IF(M77="En ejecución","En ejecución: no acredita experiencia; ","")&amp;IF(AND(M77&lt;&gt;"En ejecución",L77&lt;&gt;"",X77&lt;&gt;"",Y77=""),"El año no está en la hoja SMMLV; ","")&amp;IF(AND(B77&lt;&gt;"",COUNTIFS($B$2:$B$601,B77,$C$2:$C$601,C77)&gt;1),"Posible duplicado (mismo número y entidad); ","")&amp;IF(COUNTIF(PARTICIPACIONES!$A$2:$A$601,A77)=0,"Sin participaciones; ","")&amp;IF(SUMIFS(PARTICIPACIONES!$E$2:$E$601,PARTICIPACIONES!$A$2:$A$601,A77)&gt;1.0001,"Las participaciones suman más de 100 %; ",""))</f>
        <v/>
      </c>
    </row>
    <row r="78">
      <c r="J78" s="15" t="n"/>
      <c r="K78" s="15" t="n"/>
      <c r="L78" s="15" t="n"/>
      <c r="N78" s="15" t="n"/>
      <c r="O78" s="16" t="n"/>
      <c r="P78" s="16" t="n"/>
      <c r="Q78" s="16" t="n"/>
      <c r="W78" s="12">
        <f>IF(AND(K78&lt;&gt;"",L78&lt;&gt;""),ROUND((L78-K78)/30.4375,1),"")</f>
        <v/>
      </c>
      <c r="X78" s="12">
        <f>IF(OR(A78="",M78="En ejecución",L78=""),"",YEAR(L78))</f>
        <v/>
      </c>
      <c r="Y78" s="13">
        <f>IF(X78="","",IFERROR(VLOOKUP(X78,SMMLV!$A$2:$B$38,2,FALSE),""))</f>
        <v/>
      </c>
      <c r="Z78" s="17">
        <f>IF(OR(Y78="",P78=""),"",ROUND(P78/Y78,2))</f>
        <v/>
      </c>
      <c r="AA78" s="13">
        <f>IF(Z78="","",ROUND(Z78*SMMLV!$E$4,0))</f>
        <v/>
      </c>
      <c r="AB78" s="13">
        <f>IF(AND(M78="En ejecución",P78&lt;&gt;"",Q78&lt;&gt;""),MAX(P78-Q78,0),"")</f>
        <v/>
      </c>
      <c r="AC78" s="12">
        <f>IF(A78="","",IF(B78="","Falta número de contrato; ","")&amp;IF(C78="","Falta entidad; ","")&amp;IF(E78="","Falta objeto; ","")&amp;IF(F78="","Falta especialidad; ","")&amp;IF(K78="","Falta fecha de inicio (recomendada); ","")&amp;IF(AND(M78&lt;&gt;"En ejecución",L78=""),"Falta fecha de terminación; ","")&amp;IF(AND(K78&lt;&gt;"",L78&lt;&gt;"",L78&lt;K78),"Terminación anterior al inicio; ","")&amp;IF(M78="","Falta estado; ","")&amp;IF(OR(P78="",P78&lt;=0),"Falta valor del contrato; ","")&amp;IF(AND(M78="En ejecución",Q78=""),"En ejecución sin valor ejecutado; ","")&amp;IF(AND(M78="En ejecución",L78&lt;&gt;"",L78&lt;TODAY()),"Dice en ejecución pero su terminación ya pasó; ","")&amp;IF(M78="En ejecución","En ejecución: no acredita experiencia; ","")&amp;IF(AND(M78&lt;&gt;"En ejecución",L78&lt;&gt;"",X78&lt;&gt;"",Y78=""),"El año no está en la hoja SMMLV; ","")&amp;IF(AND(B78&lt;&gt;"",COUNTIFS($B$2:$B$601,B78,$C$2:$C$601,C78)&gt;1),"Posible duplicado (mismo número y entidad); ","")&amp;IF(COUNTIF(PARTICIPACIONES!$A$2:$A$601,A78)=0,"Sin participaciones; ","")&amp;IF(SUMIFS(PARTICIPACIONES!$E$2:$E$601,PARTICIPACIONES!$A$2:$A$601,A78)&gt;1.0001,"Las participaciones suman más de 100 %; ",""))</f>
        <v/>
      </c>
    </row>
    <row r="79">
      <c r="J79" s="15" t="n"/>
      <c r="K79" s="15" t="n"/>
      <c r="L79" s="15" t="n"/>
      <c r="N79" s="15" t="n"/>
      <c r="O79" s="16" t="n"/>
      <c r="P79" s="16" t="n"/>
      <c r="Q79" s="16" t="n"/>
      <c r="W79" s="12">
        <f>IF(AND(K79&lt;&gt;"",L79&lt;&gt;""),ROUND((L79-K79)/30.4375,1),"")</f>
        <v/>
      </c>
      <c r="X79" s="12">
        <f>IF(OR(A79="",M79="En ejecución",L79=""),"",YEAR(L79))</f>
        <v/>
      </c>
      <c r="Y79" s="13">
        <f>IF(X79="","",IFERROR(VLOOKUP(X79,SMMLV!$A$2:$B$38,2,FALSE),""))</f>
        <v/>
      </c>
      <c r="Z79" s="17">
        <f>IF(OR(Y79="",P79=""),"",ROUND(P79/Y79,2))</f>
        <v/>
      </c>
      <c r="AA79" s="13">
        <f>IF(Z79="","",ROUND(Z79*SMMLV!$E$4,0))</f>
        <v/>
      </c>
      <c r="AB79" s="13">
        <f>IF(AND(M79="En ejecución",P79&lt;&gt;"",Q79&lt;&gt;""),MAX(P79-Q79,0),"")</f>
        <v/>
      </c>
      <c r="AC79" s="12">
        <f>IF(A79="","",IF(B79="","Falta número de contrato; ","")&amp;IF(C79="","Falta entidad; ","")&amp;IF(E79="","Falta objeto; ","")&amp;IF(F79="","Falta especialidad; ","")&amp;IF(K79="","Falta fecha de inicio (recomendada); ","")&amp;IF(AND(M79&lt;&gt;"En ejecución",L79=""),"Falta fecha de terminación; ","")&amp;IF(AND(K79&lt;&gt;"",L79&lt;&gt;"",L79&lt;K79),"Terminación anterior al inicio; ","")&amp;IF(M79="","Falta estado; ","")&amp;IF(OR(P79="",P79&lt;=0),"Falta valor del contrato; ","")&amp;IF(AND(M79="En ejecución",Q79=""),"En ejecución sin valor ejecutado; ","")&amp;IF(AND(M79="En ejecución",L79&lt;&gt;"",L79&lt;TODAY()),"Dice en ejecución pero su terminación ya pasó; ","")&amp;IF(M79="En ejecución","En ejecución: no acredita experiencia; ","")&amp;IF(AND(M79&lt;&gt;"En ejecución",L79&lt;&gt;"",X79&lt;&gt;"",Y79=""),"El año no está en la hoja SMMLV; ","")&amp;IF(AND(B79&lt;&gt;"",COUNTIFS($B$2:$B$601,B79,$C$2:$C$601,C79)&gt;1),"Posible duplicado (mismo número y entidad); ","")&amp;IF(COUNTIF(PARTICIPACIONES!$A$2:$A$601,A79)=0,"Sin participaciones; ","")&amp;IF(SUMIFS(PARTICIPACIONES!$E$2:$E$601,PARTICIPACIONES!$A$2:$A$601,A79)&gt;1.0001,"Las participaciones suman más de 100 %; ",""))</f>
        <v/>
      </c>
    </row>
    <row r="80">
      <c r="J80" s="15" t="n"/>
      <c r="K80" s="15" t="n"/>
      <c r="L80" s="15" t="n"/>
      <c r="N80" s="15" t="n"/>
      <c r="O80" s="16" t="n"/>
      <c r="P80" s="16" t="n"/>
      <c r="Q80" s="16" t="n"/>
      <c r="W80" s="12">
        <f>IF(AND(K80&lt;&gt;"",L80&lt;&gt;""),ROUND((L80-K80)/30.4375,1),"")</f>
        <v/>
      </c>
      <c r="X80" s="12">
        <f>IF(OR(A80="",M80="En ejecución",L80=""),"",YEAR(L80))</f>
        <v/>
      </c>
      <c r="Y80" s="13">
        <f>IF(X80="","",IFERROR(VLOOKUP(X80,SMMLV!$A$2:$B$38,2,FALSE),""))</f>
        <v/>
      </c>
      <c r="Z80" s="17">
        <f>IF(OR(Y80="",P80=""),"",ROUND(P80/Y80,2))</f>
        <v/>
      </c>
      <c r="AA80" s="13">
        <f>IF(Z80="","",ROUND(Z80*SMMLV!$E$4,0))</f>
        <v/>
      </c>
      <c r="AB80" s="13">
        <f>IF(AND(M80="En ejecución",P80&lt;&gt;"",Q80&lt;&gt;""),MAX(P80-Q80,0),"")</f>
        <v/>
      </c>
      <c r="AC80" s="12">
        <f>IF(A80="","",IF(B80="","Falta número de contrato; ","")&amp;IF(C80="","Falta entidad; ","")&amp;IF(E80="","Falta objeto; ","")&amp;IF(F80="","Falta especialidad; ","")&amp;IF(K80="","Falta fecha de inicio (recomendada); ","")&amp;IF(AND(M80&lt;&gt;"En ejecución",L80=""),"Falta fecha de terminación; ","")&amp;IF(AND(K80&lt;&gt;"",L80&lt;&gt;"",L80&lt;K80),"Terminación anterior al inicio; ","")&amp;IF(M80="","Falta estado; ","")&amp;IF(OR(P80="",P80&lt;=0),"Falta valor del contrato; ","")&amp;IF(AND(M80="En ejecución",Q80=""),"En ejecución sin valor ejecutado; ","")&amp;IF(AND(M80="En ejecución",L80&lt;&gt;"",L80&lt;TODAY()),"Dice en ejecución pero su terminación ya pasó; ","")&amp;IF(M80="En ejecución","En ejecución: no acredita experiencia; ","")&amp;IF(AND(M80&lt;&gt;"En ejecución",L80&lt;&gt;"",X80&lt;&gt;"",Y80=""),"El año no está en la hoja SMMLV; ","")&amp;IF(AND(B80&lt;&gt;"",COUNTIFS($B$2:$B$601,B80,$C$2:$C$601,C80)&gt;1),"Posible duplicado (mismo número y entidad); ","")&amp;IF(COUNTIF(PARTICIPACIONES!$A$2:$A$601,A80)=0,"Sin participaciones; ","")&amp;IF(SUMIFS(PARTICIPACIONES!$E$2:$E$601,PARTICIPACIONES!$A$2:$A$601,A80)&gt;1.0001,"Las participaciones suman más de 100 %; ",""))</f>
        <v/>
      </c>
    </row>
    <row r="81">
      <c r="J81" s="15" t="n"/>
      <c r="K81" s="15" t="n"/>
      <c r="L81" s="15" t="n"/>
      <c r="N81" s="15" t="n"/>
      <c r="O81" s="16" t="n"/>
      <c r="P81" s="16" t="n"/>
      <c r="Q81" s="16" t="n"/>
      <c r="W81" s="12">
        <f>IF(AND(K81&lt;&gt;"",L81&lt;&gt;""),ROUND((L81-K81)/30.4375,1),"")</f>
        <v/>
      </c>
      <c r="X81" s="12">
        <f>IF(OR(A81="",M81="En ejecución",L81=""),"",YEAR(L81))</f>
        <v/>
      </c>
      <c r="Y81" s="13">
        <f>IF(X81="","",IFERROR(VLOOKUP(X81,SMMLV!$A$2:$B$38,2,FALSE),""))</f>
        <v/>
      </c>
      <c r="Z81" s="17">
        <f>IF(OR(Y81="",P81=""),"",ROUND(P81/Y81,2))</f>
        <v/>
      </c>
      <c r="AA81" s="13">
        <f>IF(Z81="","",ROUND(Z81*SMMLV!$E$4,0))</f>
        <v/>
      </c>
      <c r="AB81" s="13">
        <f>IF(AND(M81="En ejecución",P81&lt;&gt;"",Q81&lt;&gt;""),MAX(P81-Q81,0),"")</f>
        <v/>
      </c>
      <c r="AC81" s="12">
        <f>IF(A81="","",IF(B81="","Falta número de contrato; ","")&amp;IF(C81="","Falta entidad; ","")&amp;IF(E81="","Falta objeto; ","")&amp;IF(F81="","Falta especialidad; ","")&amp;IF(K81="","Falta fecha de inicio (recomendada); ","")&amp;IF(AND(M81&lt;&gt;"En ejecución",L81=""),"Falta fecha de terminación; ","")&amp;IF(AND(K81&lt;&gt;"",L81&lt;&gt;"",L81&lt;K81),"Terminación anterior al inicio; ","")&amp;IF(M81="","Falta estado; ","")&amp;IF(OR(P81="",P81&lt;=0),"Falta valor del contrato; ","")&amp;IF(AND(M81="En ejecución",Q81=""),"En ejecución sin valor ejecutado; ","")&amp;IF(AND(M81="En ejecución",L81&lt;&gt;"",L81&lt;TODAY()),"Dice en ejecución pero su terminación ya pasó; ","")&amp;IF(M81="En ejecución","En ejecución: no acredita experiencia; ","")&amp;IF(AND(M81&lt;&gt;"En ejecución",L81&lt;&gt;"",X81&lt;&gt;"",Y81=""),"El año no está en la hoja SMMLV; ","")&amp;IF(AND(B81&lt;&gt;"",COUNTIFS($B$2:$B$601,B81,$C$2:$C$601,C81)&gt;1),"Posible duplicado (mismo número y entidad); ","")&amp;IF(COUNTIF(PARTICIPACIONES!$A$2:$A$601,A81)=0,"Sin participaciones; ","")&amp;IF(SUMIFS(PARTICIPACIONES!$E$2:$E$601,PARTICIPACIONES!$A$2:$A$601,A81)&gt;1.0001,"Las participaciones suman más de 100 %; ",""))</f>
        <v/>
      </c>
    </row>
    <row r="82">
      <c r="J82" s="15" t="n"/>
      <c r="K82" s="15" t="n"/>
      <c r="L82" s="15" t="n"/>
      <c r="N82" s="15" t="n"/>
      <c r="O82" s="16" t="n"/>
      <c r="P82" s="16" t="n"/>
      <c r="Q82" s="16" t="n"/>
      <c r="W82" s="12">
        <f>IF(AND(K82&lt;&gt;"",L82&lt;&gt;""),ROUND((L82-K82)/30.4375,1),"")</f>
        <v/>
      </c>
      <c r="X82" s="12">
        <f>IF(OR(A82="",M82="En ejecución",L82=""),"",YEAR(L82))</f>
        <v/>
      </c>
      <c r="Y82" s="13">
        <f>IF(X82="","",IFERROR(VLOOKUP(X82,SMMLV!$A$2:$B$38,2,FALSE),""))</f>
        <v/>
      </c>
      <c r="Z82" s="17">
        <f>IF(OR(Y82="",P82=""),"",ROUND(P82/Y82,2))</f>
        <v/>
      </c>
      <c r="AA82" s="13">
        <f>IF(Z82="","",ROUND(Z82*SMMLV!$E$4,0))</f>
        <v/>
      </c>
      <c r="AB82" s="13">
        <f>IF(AND(M82="En ejecución",P82&lt;&gt;"",Q82&lt;&gt;""),MAX(P82-Q82,0),"")</f>
        <v/>
      </c>
      <c r="AC82" s="12">
        <f>IF(A82="","",IF(B82="","Falta número de contrato; ","")&amp;IF(C82="","Falta entidad; ","")&amp;IF(E82="","Falta objeto; ","")&amp;IF(F82="","Falta especialidad; ","")&amp;IF(K82="","Falta fecha de inicio (recomendada); ","")&amp;IF(AND(M82&lt;&gt;"En ejecución",L82=""),"Falta fecha de terminación; ","")&amp;IF(AND(K82&lt;&gt;"",L82&lt;&gt;"",L82&lt;K82),"Terminación anterior al inicio; ","")&amp;IF(M82="","Falta estado; ","")&amp;IF(OR(P82="",P82&lt;=0),"Falta valor del contrato; ","")&amp;IF(AND(M82="En ejecución",Q82=""),"En ejecución sin valor ejecutado; ","")&amp;IF(AND(M82="En ejecución",L82&lt;&gt;"",L82&lt;TODAY()),"Dice en ejecución pero su terminación ya pasó; ","")&amp;IF(M82="En ejecución","En ejecución: no acredita experiencia; ","")&amp;IF(AND(M82&lt;&gt;"En ejecución",L82&lt;&gt;"",X82&lt;&gt;"",Y82=""),"El año no está en la hoja SMMLV; ","")&amp;IF(AND(B82&lt;&gt;"",COUNTIFS($B$2:$B$601,B82,$C$2:$C$601,C82)&gt;1),"Posible duplicado (mismo número y entidad); ","")&amp;IF(COUNTIF(PARTICIPACIONES!$A$2:$A$601,A82)=0,"Sin participaciones; ","")&amp;IF(SUMIFS(PARTICIPACIONES!$E$2:$E$601,PARTICIPACIONES!$A$2:$A$601,A82)&gt;1.0001,"Las participaciones suman más de 100 %; ",""))</f>
        <v/>
      </c>
    </row>
    <row r="83">
      <c r="J83" s="15" t="n"/>
      <c r="K83" s="15" t="n"/>
      <c r="L83" s="15" t="n"/>
      <c r="N83" s="15" t="n"/>
      <c r="O83" s="16" t="n"/>
      <c r="P83" s="16" t="n"/>
      <c r="Q83" s="16" t="n"/>
      <c r="W83" s="12">
        <f>IF(AND(K83&lt;&gt;"",L83&lt;&gt;""),ROUND((L83-K83)/30.4375,1),"")</f>
        <v/>
      </c>
      <c r="X83" s="12">
        <f>IF(OR(A83="",M83="En ejecución",L83=""),"",YEAR(L83))</f>
        <v/>
      </c>
      <c r="Y83" s="13">
        <f>IF(X83="","",IFERROR(VLOOKUP(X83,SMMLV!$A$2:$B$38,2,FALSE),""))</f>
        <v/>
      </c>
      <c r="Z83" s="17">
        <f>IF(OR(Y83="",P83=""),"",ROUND(P83/Y83,2))</f>
        <v/>
      </c>
      <c r="AA83" s="13">
        <f>IF(Z83="","",ROUND(Z83*SMMLV!$E$4,0))</f>
        <v/>
      </c>
      <c r="AB83" s="13">
        <f>IF(AND(M83="En ejecución",P83&lt;&gt;"",Q83&lt;&gt;""),MAX(P83-Q83,0),"")</f>
        <v/>
      </c>
      <c r="AC83" s="12">
        <f>IF(A83="","",IF(B83="","Falta número de contrato; ","")&amp;IF(C83="","Falta entidad; ","")&amp;IF(E83="","Falta objeto; ","")&amp;IF(F83="","Falta especialidad; ","")&amp;IF(K83="","Falta fecha de inicio (recomendada); ","")&amp;IF(AND(M83&lt;&gt;"En ejecución",L83=""),"Falta fecha de terminación; ","")&amp;IF(AND(K83&lt;&gt;"",L83&lt;&gt;"",L83&lt;K83),"Terminación anterior al inicio; ","")&amp;IF(M83="","Falta estado; ","")&amp;IF(OR(P83="",P83&lt;=0),"Falta valor del contrato; ","")&amp;IF(AND(M83="En ejecución",Q83=""),"En ejecución sin valor ejecutado; ","")&amp;IF(AND(M83="En ejecución",L83&lt;&gt;"",L83&lt;TODAY()),"Dice en ejecución pero su terminación ya pasó; ","")&amp;IF(M83="En ejecución","En ejecución: no acredita experiencia; ","")&amp;IF(AND(M83&lt;&gt;"En ejecución",L83&lt;&gt;"",X83&lt;&gt;"",Y83=""),"El año no está en la hoja SMMLV; ","")&amp;IF(AND(B83&lt;&gt;"",COUNTIFS($B$2:$B$601,B83,$C$2:$C$601,C83)&gt;1),"Posible duplicado (mismo número y entidad); ","")&amp;IF(COUNTIF(PARTICIPACIONES!$A$2:$A$601,A83)=0,"Sin participaciones; ","")&amp;IF(SUMIFS(PARTICIPACIONES!$E$2:$E$601,PARTICIPACIONES!$A$2:$A$601,A83)&gt;1.0001,"Las participaciones suman más de 100 %; ",""))</f>
        <v/>
      </c>
    </row>
    <row r="84">
      <c r="J84" s="15" t="n"/>
      <c r="K84" s="15" t="n"/>
      <c r="L84" s="15" t="n"/>
      <c r="N84" s="15" t="n"/>
      <c r="O84" s="16" t="n"/>
      <c r="P84" s="16" t="n"/>
      <c r="Q84" s="16" t="n"/>
      <c r="W84" s="12">
        <f>IF(AND(K84&lt;&gt;"",L84&lt;&gt;""),ROUND((L84-K84)/30.4375,1),"")</f>
        <v/>
      </c>
      <c r="X84" s="12">
        <f>IF(OR(A84="",M84="En ejecución",L84=""),"",YEAR(L84))</f>
        <v/>
      </c>
      <c r="Y84" s="13">
        <f>IF(X84="","",IFERROR(VLOOKUP(X84,SMMLV!$A$2:$B$38,2,FALSE),""))</f>
        <v/>
      </c>
      <c r="Z84" s="17">
        <f>IF(OR(Y84="",P84=""),"",ROUND(P84/Y84,2))</f>
        <v/>
      </c>
      <c r="AA84" s="13">
        <f>IF(Z84="","",ROUND(Z84*SMMLV!$E$4,0))</f>
        <v/>
      </c>
      <c r="AB84" s="13">
        <f>IF(AND(M84="En ejecución",P84&lt;&gt;"",Q84&lt;&gt;""),MAX(P84-Q84,0),"")</f>
        <v/>
      </c>
      <c r="AC84" s="12">
        <f>IF(A84="","",IF(B84="","Falta número de contrato; ","")&amp;IF(C84="","Falta entidad; ","")&amp;IF(E84="","Falta objeto; ","")&amp;IF(F84="","Falta especialidad; ","")&amp;IF(K84="","Falta fecha de inicio (recomendada); ","")&amp;IF(AND(M84&lt;&gt;"En ejecución",L84=""),"Falta fecha de terminación; ","")&amp;IF(AND(K84&lt;&gt;"",L84&lt;&gt;"",L84&lt;K84),"Terminación anterior al inicio; ","")&amp;IF(M84="","Falta estado; ","")&amp;IF(OR(P84="",P84&lt;=0),"Falta valor del contrato; ","")&amp;IF(AND(M84="En ejecución",Q84=""),"En ejecución sin valor ejecutado; ","")&amp;IF(AND(M84="En ejecución",L84&lt;&gt;"",L84&lt;TODAY()),"Dice en ejecución pero su terminación ya pasó; ","")&amp;IF(M84="En ejecución","En ejecución: no acredita experiencia; ","")&amp;IF(AND(M84&lt;&gt;"En ejecución",L84&lt;&gt;"",X84&lt;&gt;"",Y84=""),"El año no está en la hoja SMMLV; ","")&amp;IF(AND(B84&lt;&gt;"",COUNTIFS($B$2:$B$601,B84,$C$2:$C$601,C84)&gt;1),"Posible duplicado (mismo número y entidad); ","")&amp;IF(COUNTIF(PARTICIPACIONES!$A$2:$A$601,A84)=0,"Sin participaciones; ","")&amp;IF(SUMIFS(PARTICIPACIONES!$E$2:$E$601,PARTICIPACIONES!$A$2:$A$601,A84)&gt;1.0001,"Las participaciones suman más de 100 %; ",""))</f>
        <v/>
      </c>
    </row>
    <row r="85">
      <c r="J85" s="15" t="n"/>
      <c r="K85" s="15" t="n"/>
      <c r="L85" s="15" t="n"/>
      <c r="N85" s="15" t="n"/>
      <c r="O85" s="16" t="n"/>
      <c r="P85" s="16" t="n"/>
      <c r="Q85" s="16" t="n"/>
      <c r="W85" s="12">
        <f>IF(AND(K85&lt;&gt;"",L85&lt;&gt;""),ROUND((L85-K85)/30.4375,1),"")</f>
        <v/>
      </c>
      <c r="X85" s="12">
        <f>IF(OR(A85="",M85="En ejecución",L85=""),"",YEAR(L85))</f>
        <v/>
      </c>
      <c r="Y85" s="13">
        <f>IF(X85="","",IFERROR(VLOOKUP(X85,SMMLV!$A$2:$B$38,2,FALSE),""))</f>
        <v/>
      </c>
      <c r="Z85" s="17">
        <f>IF(OR(Y85="",P85=""),"",ROUND(P85/Y85,2))</f>
        <v/>
      </c>
      <c r="AA85" s="13">
        <f>IF(Z85="","",ROUND(Z85*SMMLV!$E$4,0))</f>
        <v/>
      </c>
      <c r="AB85" s="13">
        <f>IF(AND(M85="En ejecución",P85&lt;&gt;"",Q85&lt;&gt;""),MAX(P85-Q85,0),"")</f>
        <v/>
      </c>
      <c r="AC85" s="12">
        <f>IF(A85="","",IF(B85="","Falta número de contrato; ","")&amp;IF(C85="","Falta entidad; ","")&amp;IF(E85="","Falta objeto; ","")&amp;IF(F85="","Falta especialidad; ","")&amp;IF(K85="","Falta fecha de inicio (recomendada); ","")&amp;IF(AND(M85&lt;&gt;"En ejecución",L85=""),"Falta fecha de terminación; ","")&amp;IF(AND(K85&lt;&gt;"",L85&lt;&gt;"",L85&lt;K85),"Terminación anterior al inicio; ","")&amp;IF(M85="","Falta estado; ","")&amp;IF(OR(P85="",P85&lt;=0),"Falta valor del contrato; ","")&amp;IF(AND(M85="En ejecución",Q85=""),"En ejecución sin valor ejecutado; ","")&amp;IF(AND(M85="En ejecución",L85&lt;&gt;"",L85&lt;TODAY()),"Dice en ejecución pero su terminación ya pasó; ","")&amp;IF(M85="En ejecución","En ejecución: no acredita experiencia; ","")&amp;IF(AND(M85&lt;&gt;"En ejecución",L85&lt;&gt;"",X85&lt;&gt;"",Y85=""),"El año no está en la hoja SMMLV; ","")&amp;IF(AND(B85&lt;&gt;"",COUNTIFS($B$2:$B$601,B85,$C$2:$C$601,C85)&gt;1),"Posible duplicado (mismo número y entidad); ","")&amp;IF(COUNTIF(PARTICIPACIONES!$A$2:$A$601,A85)=0,"Sin participaciones; ","")&amp;IF(SUMIFS(PARTICIPACIONES!$E$2:$E$601,PARTICIPACIONES!$A$2:$A$601,A85)&gt;1.0001,"Las participaciones suman más de 100 %; ",""))</f>
        <v/>
      </c>
    </row>
    <row r="86">
      <c r="J86" s="15" t="n"/>
      <c r="K86" s="15" t="n"/>
      <c r="L86" s="15" t="n"/>
      <c r="N86" s="15" t="n"/>
      <c r="O86" s="16" t="n"/>
      <c r="P86" s="16" t="n"/>
      <c r="Q86" s="16" t="n"/>
      <c r="W86" s="12">
        <f>IF(AND(K86&lt;&gt;"",L86&lt;&gt;""),ROUND((L86-K86)/30.4375,1),"")</f>
        <v/>
      </c>
      <c r="X86" s="12">
        <f>IF(OR(A86="",M86="En ejecución",L86=""),"",YEAR(L86))</f>
        <v/>
      </c>
      <c r="Y86" s="13">
        <f>IF(X86="","",IFERROR(VLOOKUP(X86,SMMLV!$A$2:$B$38,2,FALSE),""))</f>
        <v/>
      </c>
      <c r="Z86" s="17">
        <f>IF(OR(Y86="",P86=""),"",ROUND(P86/Y86,2))</f>
        <v/>
      </c>
      <c r="AA86" s="13">
        <f>IF(Z86="","",ROUND(Z86*SMMLV!$E$4,0))</f>
        <v/>
      </c>
      <c r="AB86" s="13">
        <f>IF(AND(M86="En ejecución",P86&lt;&gt;"",Q86&lt;&gt;""),MAX(P86-Q86,0),"")</f>
        <v/>
      </c>
      <c r="AC86" s="12">
        <f>IF(A86="","",IF(B86="","Falta número de contrato; ","")&amp;IF(C86="","Falta entidad; ","")&amp;IF(E86="","Falta objeto; ","")&amp;IF(F86="","Falta especialidad; ","")&amp;IF(K86="","Falta fecha de inicio (recomendada); ","")&amp;IF(AND(M86&lt;&gt;"En ejecución",L86=""),"Falta fecha de terminación; ","")&amp;IF(AND(K86&lt;&gt;"",L86&lt;&gt;"",L86&lt;K86),"Terminación anterior al inicio; ","")&amp;IF(M86="","Falta estado; ","")&amp;IF(OR(P86="",P86&lt;=0),"Falta valor del contrato; ","")&amp;IF(AND(M86="En ejecución",Q86=""),"En ejecución sin valor ejecutado; ","")&amp;IF(AND(M86="En ejecución",L86&lt;&gt;"",L86&lt;TODAY()),"Dice en ejecución pero su terminación ya pasó; ","")&amp;IF(M86="En ejecución","En ejecución: no acredita experiencia; ","")&amp;IF(AND(M86&lt;&gt;"En ejecución",L86&lt;&gt;"",X86&lt;&gt;"",Y86=""),"El año no está en la hoja SMMLV; ","")&amp;IF(AND(B86&lt;&gt;"",COUNTIFS($B$2:$B$601,B86,$C$2:$C$601,C86)&gt;1),"Posible duplicado (mismo número y entidad); ","")&amp;IF(COUNTIF(PARTICIPACIONES!$A$2:$A$601,A86)=0,"Sin participaciones; ","")&amp;IF(SUMIFS(PARTICIPACIONES!$E$2:$E$601,PARTICIPACIONES!$A$2:$A$601,A86)&gt;1.0001,"Las participaciones suman más de 100 %; ",""))</f>
        <v/>
      </c>
    </row>
    <row r="87">
      <c r="J87" s="15" t="n"/>
      <c r="K87" s="15" t="n"/>
      <c r="L87" s="15" t="n"/>
      <c r="N87" s="15" t="n"/>
      <c r="O87" s="16" t="n"/>
      <c r="P87" s="16" t="n"/>
      <c r="Q87" s="16" t="n"/>
      <c r="W87" s="12">
        <f>IF(AND(K87&lt;&gt;"",L87&lt;&gt;""),ROUND((L87-K87)/30.4375,1),"")</f>
        <v/>
      </c>
      <c r="X87" s="12">
        <f>IF(OR(A87="",M87="En ejecución",L87=""),"",YEAR(L87))</f>
        <v/>
      </c>
      <c r="Y87" s="13">
        <f>IF(X87="","",IFERROR(VLOOKUP(X87,SMMLV!$A$2:$B$38,2,FALSE),""))</f>
        <v/>
      </c>
      <c r="Z87" s="17">
        <f>IF(OR(Y87="",P87=""),"",ROUND(P87/Y87,2))</f>
        <v/>
      </c>
      <c r="AA87" s="13">
        <f>IF(Z87="","",ROUND(Z87*SMMLV!$E$4,0))</f>
        <v/>
      </c>
      <c r="AB87" s="13">
        <f>IF(AND(M87="En ejecución",P87&lt;&gt;"",Q87&lt;&gt;""),MAX(P87-Q87,0),"")</f>
        <v/>
      </c>
      <c r="AC87" s="12">
        <f>IF(A87="","",IF(B87="","Falta número de contrato; ","")&amp;IF(C87="","Falta entidad; ","")&amp;IF(E87="","Falta objeto; ","")&amp;IF(F87="","Falta especialidad; ","")&amp;IF(K87="","Falta fecha de inicio (recomendada); ","")&amp;IF(AND(M87&lt;&gt;"En ejecución",L87=""),"Falta fecha de terminación; ","")&amp;IF(AND(K87&lt;&gt;"",L87&lt;&gt;"",L87&lt;K87),"Terminación anterior al inicio; ","")&amp;IF(M87="","Falta estado; ","")&amp;IF(OR(P87="",P87&lt;=0),"Falta valor del contrato; ","")&amp;IF(AND(M87="En ejecución",Q87=""),"En ejecución sin valor ejecutado; ","")&amp;IF(AND(M87="En ejecución",L87&lt;&gt;"",L87&lt;TODAY()),"Dice en ejecución pero su terminación ya pasó; ","")&amp;IF(M87="En ejecución","En ejecución: no acredita experiencia; ","")&amp;IF(AND(M87&lt;&gt;"En ejecución",L87&lt;&gt;"",X87&lt;&gt;"",Y87=""),"El año no está en la hoja SMMLV; ","")&amp;IF(AND(B87&lt;&gt;"",COUNTIFS($B$2:$B$601,B87,$C$2:$C$601,C87)&gt;1),"Posible duplicado (mismo número y entidad); ","")&amp;IF(COUNTIF(PARTICIPACIONES!$A$2:$A$601,A87)=0,"Sin participaciones; ","")&amp;IF(SUMIFS(PARTICIPACIONES!$E$2:$E$601,PARTICIPACIONES!$A$2:$A$601,A87)&gt;1.0001,"Las participaciones suman más de 100 %; ",""))</f>
        <v/>
      </c>
    </row>
    <row r="88">
      <c r="J88" s="15" t="n"/>
      <c r="K88" s="15" t="n"/>
      <c r="L88" s="15" t="n"/>
      <c r="N88" s="15" t="n"/>
      <c r="O88" s="16" t="n"/>
      <c r="P88" s="16" t="n"/>
      <c r="Q88" s="16" t="n"/>
      <c r="W88" s="12">
        <f>IF(AND(K88&lt;&gt;"",L88&lt;&gt;""),ROUND((L88-K88)/30.4375,1),"")</f>
        <v/>
      </c>
      <c r="X88" s="12">
        <f>IF(OR(A88="",M88="En ejecución",L88=""),"",YEAR(L88))</f>
        <v/>
      </c>
      <c r="Y88" s="13">
        <f>IF(X88="","",IFERROR(VLOOKUP(X88,SMMLV!$A$2:$B$38,2,FALSE),""))</f>
        <v/>
      </c>
      <c r="Z88" s="17">
        <f>IF(OR(Y88="",P88=""),"",ROUND(P88/Y88,2))</f>
        <v/>
      </c>
      <c r="AA88" s="13">
        <f>IF(Z88="","",ROUND(Z88*SMMLV!$E$4,0))</f>
        <v/>
      </c>
      <c r="AB88" s="13">
        <f>IF(AND(M88="En ejecución",P88&lt;&gt;"",Q88&lt;&gt;""),MAX(P88-Q88,0),"")</f>
        <v/>
      </c>
      <c r="AC88" s="12">
        <f>IF(A88="","",IF(B88="","Falta número de contrato; ","")&amp;IF(C88="","Falta entidad; ","")&amp;IF(E88="","Falta objeto; ","")&amp;IF(F88="","Falta especialidad; ","")&amp;IF(K88="","Falta fecha de inicio (recomendada); ","")&amp;IF(AND(M88&lt;&gt;"En ejecución",L88=""),"Falta fecha de terminación; ","")&amp;IF(AND(K88&lt;&gt;"",L88&lt;&gt;"",L88&lt;K88),"Terminación anterior al inicio; ","")&amp;IF(M88="","Falta estado; ","")&amp;IF(OR(P88="",P88&lt;=0),"Falta valor del contrato; ","")&amp;IF(AND(M88="En ejecución",Q88=""),"En ejecución sin valor ejecutado; ","")&amp;IF(AND(M88="En ejecución",L88&lt;&gt;"",L88&lt;TODAY()),"Dice en ejecución pero su terminación ya pasó; ","")&amp;IF(M88="En ejecución","En ejecución: no acredita experiencia; ","")&amp;IF(AND(M88&lt;&gt;"En ejecución",L88&lt;&gt;"",X88&lt;&gt;"",Y88=""),"El año no está en la hoja SMMLV; ","")&amp;IF(AND(B88&lt;&gt;"",COUNTIFS($B$2:$B$601,B88,$C$2:$C$601,C88)&gt;1),"Posible duplicado (mismo número y entidad); ","")&amp;IF(COUNTIF(PARTICIPACIONES!$A$2:$A$601,A88)=0,"Sin participaciones; ","")&amp;IF(SUMIFS(PARTICIPACIONES!$E$2:$E$601,PARTICIPACIONES!$A$2:$A$601,A88)&gt;1.0001,"Las participaciones suman más de 100 %; ",""))</f>
        <v/>
      </c>
    </row>
    <row r="89">
      <c r="J89" s="15" t="n"/>
      <c r="K89" s="15" t="n"/>
      <c r="L89" s="15" t="n"/>
      <c r="N89" s="15" t="n"/>
      <c r="O89" s="16" t="n"/>
      <c r="P89" s="16" t="n"/>
      <c r="Q89" s="16" t="n"/>
      <c r="W89" s="12">
        <f>IF(AND(K89&lt;&gt;"",L89&lt;&gt;""),ROUND((L89-K89)/30.4375,1),"")</f>
        <v/>
      </c>
      <c r="X89" s="12">
        <f>IF(OR(A89="",M89="En ejecución",L89=""),"",YEAR(L89))</f>
        <v/>
      </c>
      <c r="Y89" s="13">
        <f>IF(X89="","",IFERROR(VLOOKUP(X89,SMMLV!$A$2:$B$38,2,FALSE),""))</f>
        <v/>
      </c>
      <c r="Z89" s="17">
        <f>IF(OR(Y89="",P89=""),"",ROUND(P89/Y89,2))</f>
        <v/>
      </c>
      <c r="AA89" s="13">
        <f>IF(Z89="","",ROUND(Z89*SMMLV!$E$4,0))</f>
        <v/>
      </c>
      <c r="AB89" s="13">
        <f>IF(AND(M89="En ejecución",P89&lt;&gt;"",Q89&lt;&gt;""),MAX(P89-Q89,0),"")</f>
        <v/>
      </c>
      <c r="AC89" s="12">
        <f>IF(A89="","",IF(B89="","Falta número de contrato; ","")&amp;IF(C89="","Falta entidad; ","")&amp;IF(E89="","Falta objeto; ","")&amp;IF(F89="","Falta especialidad; ","")&amp;IF(K89="","Falta fecha de inicio (recomendada); ","")&amp;IF(AND(M89&lt;&gt;"En ejecución",L89=""),"Falta fecha de terminación; ","")&amp;IF(AND(K89&lt;&gt;"",L89&lt;&gt;"",L89&lt;K89),"Terminación anterior al inicio; ","")&amp;IF(M89="","Falta estado; ","")&amp;IF(OR(P89="",P89&lt;=0),"Falta valor del contrato; ","")&amp;IF(AND(M89="En ejecución",Q89=""),"En ejecución sin valor ejecutado; ","")&amp;IF(AND(M89="En ejecución",L89&lt;&gt;"",L89&lt;TODAY()),"Dice en ejecución pero su terminación ya pasó; ","")&amp;IF(M89="En ejecución","En ejecución: no acredita experiencia; ","")&amp;IF(AND(M89&lt;&gt;"En ejecución",L89&lt;&gt;"",X89&lt;&gt;"",Y89=""),"El año no está en la hoja SMMLV; ","")&amp;IF(AND(B89&lt;&gt;"",COUNTIFS($B$2:$B$601,B89,$C$2:$C$601,C89)&gt;1),"Posible duplicado (mismo número y entidad); ","")&amp;IF(COUNTIF(PARTICIPACIONES!$A$2:$A$601,A89)=0,"Sin participaciones; ","")&amp;IF(SUMIFS(PARTICIPACIONES!$E$2:$E$601,PARTICIPACIONES!$A$2:$A$601,A89)&gt;1.0001,"Las participaciones suman más de 100 %; ",""))</f>
        <v/>
      </c>
    </row>
    <row r="90">
      <c r="J90" s="15" t="n"/>
      <c r="K90" s="15" t="n"/>
      <c r="L90" s="15" t="n"/>
      <c r="N90" s="15" t="n"/>
      <c r="O90" s="16" t="n"/>
      <c r="P90" s="16" t="n"/>
      <c r="Q90" s="16" t="n"/>
      <c r="W90" s="12">
        <f>IF(AND(K90&lt;&gt;"",L90&lt;&gt;""),ROUND((L90-K90)/30.4375,1),"")</f>
        <v/>
      </c>
      <c r="X90" s="12">
        <f>IF(OR(A90="",M90="En ejecución",L90=""),"",YEAR(L90))</f>
        <v/>
      </c>
      <c r="Y90" s="13">
        <f>IF(X90="","",IFERROR(VLOOKUP(X90,SMMLV!$A$2:$B$38,2,FALSE),""))</f>
        <v/>
      </c>
      <c r="Z90" s="17">
        <f>IF(OR(Y90="",P90=""),"",ROUND(P90/Y90,2))</f>
        <v/>
      </c>
      <c r="AA90" s="13">
        <f>IF(Z90="","",ROUND(Z90*SMMLV!$E$4,0))</f>
        <v/>
      </c>
      <c r="AB90" s="13">
        <f>IF(AND(M90="En ejecución",P90&lt;&gt;"",Q90&lt;&gt;""),MAX(P90-Q90,0),"")</f>
        <v/>
      </c>
      <c r="AC90" s="12">
        <f>IF(A90="","",IF(B90="","Falta número de contrato; ","")&amp;IF(C90="","Falta entidad; ","")&amp;IF(E90="","Falta objeto; ","")&amp;IF(F90="","Falta especialidad; ","")&amp;IF(K90="","Falta fecha de inicio (recomendada); ","")&amp;IF(AND(M90&lt;&gt;"En ejecución",L90=""),"Falta fecha de terminación; ","")&amp;IF(AND(K90&lt;&gt;"",L90&lt;&gt;"",L90&lt;K90),"Terminación anterior al inicio; ","")&amp;IF(M90="","Falta estado; ","")&amp;IF(OR(P90="",P90&lt;=0),"Falta valor del contrato; ","")&amp;IF(AND(M90="En ejecución",Q90=""),"En ejecución sin valor ejecutado; ","")&amp;IF(AND(M90="En ejecución",L90&lt;&gt;"",L90&lt;TODAY()),"Dice en ejecución pero su terminación ya pasó; ","")&amp;IF(M90="En ejecución","En ejecución: no acredita experiencia; ","")&amp;IF(AND(M90&lt;&gt;"En ejecución",L90&lt;&gt;"",X90&lt;&gt;"",Y90=""),"El año no está en la hoja SMMLV; ","")&amp;IF(AND(B90&lt;&gt;"",COUNTIFS($B$2:$B$601,B90,$C$2:$C$601,C90)&gt;1),"Posible duplicado (mismo número y entidad); ","")&amp;IF(COUNTIF(PARTICIPACIONES!$A$2:$A$601,A90)=0,"Sin participaciones; ","")&amp;IF(SUMIFS(PARTICIPACIONES!$E$2:$E$601,PARTICIPACIONES!$A$2:$A$601,A90)&gt;1.0001,"Las participaciones suman más de 100 %; ",""))</f>
        <v/>
      </c>
    </row>
    <row r="91">
      <c r="J91" s="15" t="n"/>
      <c r="K91" s="15" t="n"/>
      <c r="L91" s="15" t="n"/>
      <c r="N91" s="15" t="n"/>
      <c r="O91" s="16" t="n"/>
      <c r="P91" s="16" t="n"/>
      <c r="Q91" s="16" t="n"/>
      <c r="W91" s="12">
        <f>IF(AND(K91&lt;&gt;"",L91&lt;&gt;""),ROUND((L91-K91)/30.4375,1),"")</f>
        <v/>
      </c>
      <c r="X91" s="12">
        <f>IF(OR(A91="",M91="En ejecución",L91=""),"",YEAR(L91))</f>
        <v/>
      </c>
      <c r="Y91" s="13">
        <f>IF(X91="","",IFERROR(VLOOKUP(X91,SMMLV!$A$2:$B$38,2,FALSE),""))</f>
        <v/>
      </c>
      <c r="Z91" s="17">
        <f>IF(OR(Y91="",P91=""),"",ROUND(P91/Y91,2))</f>
        <v/>
      </c>
      <c r="AA91" s="13">
        <f>IF(Z91="","",ROUND(Z91*SMMLV!$E$4,0))</f>
        <v/>
      </c>
      <c r="AB91" s="13">
        <f>IF(AND(M91="En ejecución",P91&lt;&gt;"",Q91&lt;&gt;""),MAX(P91-Q91,0),"")</f>
        <v/>
      </c>
      <c r="AC91" s="12">
        <f>IF(A91="","",IF(B91="","Falta número de contrato; ","")&amp;IF(C91="","Falta entidad; ","")&amp;IF(E91="","Falta objeto; ","")&amp;IF(F91="","Falta especialidad; ","")&amp;IF(K91="","Falta fecha de inicio (recomendada); ","")&amp;IF(AND(M91&lt;&gt;"En ejecución",L91=""),"Falta fecha de terminación; ","")&amp;IF(AND(K91&lt;&gt;"",L91&lt;&gt;"",L91&lt;K91),"Terminación anterior al inicio; ","")&amp;IF(M91="","Falta estado; ","")&amp;IF(OR(P91="",P91&lt;=0),"Falta valor del contrato; ","")&amp;IF(AND(M91="En ejecución",Q91=""),"En ejecución sin valor ejecutado; ","")&amp;IF(AND(M91="En ejecución",L91&lt;&gt;"",L91&lt;TODAY()),"Dice en ejecución pero su terminación ya pasó; ","")&amp;IF(M91="En ejecución","En ejecución: no acredita experiencia; ","")&amp;IF(AND(M91&lt;&gt;"En ejecución",L91&lt;&gt;"",X91&lt;&gt;"",Y91=""),"El año no está en la hoja SMMLV; ","")&amp;IF(AND(B91&lt;&gt;"",COUNTIFS($B$2:$B$601,B91,$C$2:$C$601,C91)&gt;1),"Posible duplicado (mismo número y entidad); ","")&amp;IF(COUNTIF(PARTICIPACIONES!$A$2:$A$601,A91)=0,"Sin participaciones; ","")&amp;IF(SUMIFS(PARTICIPACIONES!$E$2:$E$601,PARTICIPACIONES!$A$2:$A$601,A91)&gt;1.0001,"Las participaciones suman más de 100 %; ",""))</f>
        <v/>
      </c>
    </row>
    <row r="92">
      <c r="J92" s="15" t="n"/>
      <c r="K92" s="15" t="n"/>
      <c r="L92" s="15" t="n"/>
      <c r="N92" s="15" t="n"/>
      <c r="O92" s="16" t="n"/>
      <c r="P92" s="16" t="n"/>
      <c r="Q92" s="16" t="n"/>
      <c r="W92" s="12">
        <f>IF(AND(K92&lt;&gt;"",L92&lt;&gt;""),ROUND((L92-K92)/30.4375,1),"")</f>
        <v/>
      </c>
      <c r="X92" s="12">
        <f>IF(OR(A92="",M92="En ejecución",L92=""),"",YEAR(L92))</f>
        <v/>
      </c>
      <c r="Y92" s="13">
        <f>IF(X92="","",IFERROR(VLOOKUP(X92,SMMLV!$A$2:$B$38,2,FALSE),""))</f>
        <v/>
      </c>
      <c r="Z92" s="17">
        <f>IF(OR(Y92="",P92=""),"",ROUND(P92/Y92,2))</f>
        <v/>
      </c>
      <c r="AA92" s="13">
        <f>IF(Z92="","",ROUND(Z92*SMMLV!$E$4,0))</f>
        <v/>
      </c>
      <c r="AB92" s="13">
        <f>IF(AND(M92="En ejecución",P92&lt;&gt;"",Q92&lt;&gt;""),MAX(P92-Q92,0),"")</f>
        <v/>
      </c>
      <c r="AC92" s="12">
        <f>IF(A92="","",IF(B92="","Falta número de contrato; ","")&amp;IF(C92="","Falta entidad; ","")&amp;IF(E92="","Falta objeto; ","")&amp;IF(F92="","Falta especialidad; ","")&amp;IF(K92="","Falta fecha de inicio (recomendada); ","")&amp;IF(AND(M92&lt;&gt;"En ejecución",L92=""),"Falta fecha de terminación; ","")&amp;IF(AND(K92&lt;&gt;"",L92&lt;&gt;"",L92&lt;K92),"Terminación anterior al inicio; ","")&amp;IF(M92="","Falta estado; ","")&amp;IF(OR(P92="",P92&lt;=0),"Falta valor del contrato; ","")&amp;IF(AND(M92="En ejecución",Q92=""),"En ejecución sin valor ejecutado; ","")&amp;IF(AND(M92="En ejecución",L92&lt;&gt;"",L92&lt;TODAY()),"Dice en ejecución pero su terminación ya pasó; ","")&amp;IF(M92="En ejecución","En ejecución: no acredita experiencia; ","")&amp;IF(AND(M92&lt;&gt;"En ejecución",L92&lt;&gt;"",X92&lt;&gt;"",Y92=""),"El año no está en la hoja SMMLV; ","")&amp;IF(AND(B92&lt;&gt;"",COUNTIFS($B$2:$B$601,B92,$C$2:$C$601,C92)&gt;1),"Posible duplicado (mismo número y entidad); ","")&amp;IF(COUNTIF(PARTICIPACIONES!$A$2:$A$601,A92)=0,"Sin participaciones; ","")&amp;IF(SUMIFS(PARTICIPACIONES!$E$2:$E$601,PARTICIPACIONES!$A$2:$A$601,A92)&gt;1.0001,"Las participaciones suman más de 100 %; ",""))</f>
        <v/>
      </c>
    </row>
    <row r="93">
      <c r="J93" s="15" t="n"/>
      <c r="K93" s="15" t="n"/>
      <c r="L93" s="15" t="n"/>
      <c r="N93" s="15" t="n"/>
      <c r="O93" s="16" t="n"/>
      <c r="P93" s="16" t="n"/>
      <c r="Q93" s="16" t="n"/>
      <c r="W93" s="12">
        <f>IF(AND(K93&lt;&gt;"",L93&lt;&gt;""),ROUND((L93-K93)/30.4375,1),"")</f>
        <v/>
      </c>
      <c r="X93" s="12">
        <f>IF(OR(A93="",M93="En ejecución",L93=""),"",YEAR(L93))</f>
        <v/>
      </c>
      <c r="Y93" s="13">
        <f>IF(X93="","",IFERROR(VLOOKUP(X93,SMMLV!$A$2:$B$38,2,FALSE),""))</f>
        <v/>
      </c>
      <c r="Z93" s="17">
        <f>IF(OR(Y93="",P93=""),"",ROUND(P93/Y93,2))</f>
        <v/>
      </c>
      <c r="AA93" s="13">
        <f>IF(Z93="","",ROUND(Z93*SMMLV!$E$4,0))</f>
        <v/>
      </c>
      <c r="AB93" s="13">
        <f>IF(AND(M93="En ejecución",P93&lt;&gt;"",Q93&lt;&gt;""),MAX(P93-Q93,0),"")</f>
        <v/>
      </c>
      <c r="AC93" s="12">
        <f>IF(A93="","",IF(B93="","Falta número de contrato; ","")&amp;IF(C93="","Falta entidad; ","")&amp;IF(E93="","Falta objeto; ","")&amp;IF(F93="","Falta especialidad; ","")&amp;IF(K93="","Falta fecha de inicio (recomendada); ","")&amp;IF(AND(M93&lt;&gt;"En ejecución",L93=""),"Falta fecha de terminación; ","")&amp;IF(AND(K93&lt;&gt;"",L93&lt;&gt;"",L93&lt;K93),"Terminación anterior al inicio; ","")&amp;IF(M93="","Falta estado; ","")&amp;IF(OR(P93="",P93&lt;=0),"Falta valor del contrato; ","")&amp;IF(AND(M93="En ejecución",Q93=""),"En ejecución sin valor ejecutado; ","")&amp;IF(AND(M93="En ejecución",L93&lt;&gt;"",L93&lt;TODAY()),"Dice en ejecución pero su terminación ya pasó; ","")&amp;IF(M93="En ejecución","En ejecución: no acredita experiencia; ","")&amp;IF(AND(M93&lt;&gt;"En ejecución",L93&lt;&gt;"",X93&lt;&gt;"",Y93=""),"El año no está en la hoja SMMLV; ","")&amp;IF(AND(B93&lt;&gt;"",COUNTIFS($B$2:$B$601,B93,$C$2:$C$601,C93)&gt;1),"Posible duplicado (mismo número y entidad); ","")&amp;IF(COUNTIF(PARTICIPACIONES!$A$2:$A$601,A93)=0,"Sin participaciones; ","")&amp;IF(SUMIFS(PARTICIPACIONES!$E$2:$E$601,PARTICIPACIONES!$A$2:$A$601,A93)&gt;1.0001,"Las participaciones suman más de 100 %; ",""))</f>
        <v/>
      </c>
    </row>
    <row r="94">
      <c r="J94" s="15" t="n"/>
      <c r="K94" s="15" t="n"/>
      <c r="L94" s="15" t="n"/>
      <c r="N94" s="15" t="n"/>
      <c r="O94" s="16" t="n"/>
      <c r="P94" s="16" t="n"/>
      <c r="Q94" s="16" t="n"/>
      <c r="W94" s="12">
        <f>IF(AND(K94&lt;&gt;"",L94&lt;&gt;""),ROUND((L94-K94)/30.4375,1),"")</f>
        <v/>
      </c>
      <c r="X94" s="12">
        <f>IF(OR(A94="",M94="En ejecución",L94=""),"",YEAR(L94))</f>
        <v/>
      </c>
      <c r="Y94" s="13">
        <f>IF(X94="","",IFERROR(VLOOKUP(X94,SMMLV!$A$2:$B$38,2,FALSE),""))</f>
        <v/>
      </c>
      <c r="Z94" s="17">
        <f>IF(OR(Y94="",P94=""),"",ROUND(P94/Y94,2))</f>
        <v/>
      </c>
      <c r="AA94" s="13">
        <f>IF(Z94="","",ROUND(Z94*SMMLV!$E$4,0))</f>
        <v/>
      </c>
      <c r="AB94" s="13">
        <f>IF(AND(M94="En ejecución",P94&lt;&gt;"",Q94&lt;&gt;""),MAX(P94-Q94,0),"")</f>
        <v/>
      </c>
      <c r="AC94" s="12">
        <f>IF(A94="","",IF(B94="","Falta número de contrato; ","")&amp;IF(C94="","Falta entidad; ","")&amp;IF(E94="","Falta objeto; ","")&amp;IF(F94="","Falta especialidad; ","")&amp;IF(K94="","Falta fecha de inicio (recomendada); ","")&amp;IF(AND(M94&lt;&gt;"En ejecución",L94=""),"Falta fecha de terminación; ","")&amp;IF(AND(K94&lt;&gt;"",L94&lt;&gt;"",L94&lt;K94),"Terminación anterior al inicio; ","")&amp;IF(M94="","Falta estado; ","")&amp;IF(OR(P94="",P94&lt;=0),"Falta valor del contrato; ","")&amp;IF(AND(M94="En ejecución",Q94=""),"En ejecución sin valor ejecutado; ","")&amp;IF(AND(M94="En ejecución",L94&lt;&gt;"",L94&lt;TODAY()),"Dice en ejecución pero su terminación ya pasó; ","")&amp;IF(M94="En ejecución","En ejecución: no acredita experiencia; ","")&amp;IF(AND(M94&lt;&gt;"En ejecución",L94&lt;&gt;"",X94&lt;&gt;"",Y94=""),"El año no está en la hoja SMMLV; ","")&amp;IF(AND(B94&lt;&gt;"",COUNTIFS($B$2:$B$601,B94,$C$2:$C$601,C94)&gt;1),"Posible duplicado (mismo número y entidad); ","")&amp;IF(COUNTIF(PARTICIPACIONES!$A$2:$A$601,A94)=0,"Sin participaciones; ","")&amp;IF(SUMIFS(PARTICIPACIONES!$E$2:$E$601,PARTICIPACIONES!$A$2:$A$601,A94)&gt;1.0001,"Las participaciones suman más de 100 %; ",""))</f>
        <v/>
      </c>
    </row>
    <row r="95">
      <c r="J95" s="15" t="n"/>
      <c r="K95" s="15" t="n"/>
      <c r="L95" s="15" t="n"/>
      <c r="N95" s="15" t="n"/>
      <c r="O95" s="16" t="n"/>
      <c r="P95" s="16" t="n"/>
      <c r="Q95" s="16" t="n"/>
      <c r="W95" s="12">
        <f>IF(AND(K95&lt;&gt;"",L95&lt;&gt;""),ROUND((L95-K95)/30.4375,1),"")</f>
        <v/>
      </c>
      <c r="X95" s="12">
        <f>IF(OR(A95="",M95="En ejecución",L95=""),"",YEAR(L95))</f>
        <v/>
      </c>
      <c r="Y95" s="13">
        <f>IF(X95="","",IFERROR(VLOOKUP(X95,SMMLV!$A$2:$B$38,2,FALSE),""))</f>
        <v/>
      </c>
      <c r="Z95" s="17">
        <f>IF(OR(Y95="",P95=""),"",ROUND(P95/Y95,2))</f>
        <v/>
      </c>
      <c r="AA95" s="13">
        <f>IF(Z95="","",ROUND(Z95*SMMLV!$E$4,0))</f>
        <v/>
      </c>
      <c r="AB95" s="13">
        <f>IF(AND(M95="En ejecución",P95&lt;&gt;"",Q95&lt;&gt;""),MAX(P95-Q95,0),"")</f>
        <v/>
      </c>
      <c r="AC95" s="12">
        <f>IF(A95="","",IF(B95="","Falta número de contrato; ","")&amp;IF(C95="","Falta entidad; ","")&amp;IF(E95="","Falta objeto; ","")&amp;IF(F95="","Falta especialidad; ","")&amp;IF(K95="","Falta fecha de inicio (recomendada); ","")&amp;IF(AND(M95&lt;&gt;"En ejecución",L95=""),"Falta fecha de terminación; ","")&amp;IF(AND(K95&lt;&gt;"",L95&lt;&gt;"",L95&lt;K95),"Terminación anterior al inicio; ","")&amp;IF(M95="","Falta estado; ","")&amp;IF(OR(P95="",P95&lt;=0),"Falta valor del contrato; ","")&amp;IF(AND(M95="En ejecución",Q95=""),"En ejecución sin valor ejecutado; ","")&amp;IF(AND(M95="En ejecución",L95&lt;&gt;"",L95&lt;TODAY()),"Dice en ejecución pero su terminación ya pasó; ","")&amp;IF(M95="En ejecución","En ejecución: no acredita experiencia; ","")&amp;IF(AND(M95&lt;&gt;"En ejecución",L95&lt;&gt;"",X95&lt;&gt;"",Y95=""),"El año no está en la hoja SMMLV; ","")&amp;IF(AND(B95&lt;&gt;"",COUNTIFS($B$2:$B$601,B95,$C$2:$C$601,C95)&gt;1),"Posible duplicado (mismo número y entidad); ","")&amp;IF(COUNTIF(PARTICIPACIONES!$A$2:$A$601,A95)=0,"Sin participaciones; ","")&amp;IF(SUMIFS(PARTICIPACIONES!$E$2:$E$601,PARTICIPACIONES!$A$2:$A$601,A95)&gt;1.0001,"Las participaciones suman más de 100 %; ",""))</f>
        <v/>
      </c>
    </row>
    <row r="96">
      <c r="J96" s="15" t="n"/>
      <c r="K96" s="15" t="n"/>
      <c r="L96" s="15" t="n"/>
      <c r="N96" s="15" t="n"/>
      <c r="O96" s="16" t="n"/>
      <c r="P96" s="16" t="n"/>
      <c r="Q96" s="16" t="n"/>
      <c r="W96" s="12">
        <f>IF(AND(K96&lt;&gt;"",L96&lt;&gt;""),ROUND((L96-K96)/30.4375,1),"")</f>
        <v/>
      </c>
      <c r="X96" s="12">
        <f>IF(OR(A96="",M96="En ejecución",L96=""),"",YEAR(L96))</f>
        <v/>
      </c>
      <c r="Y96" s="13">
        <f>IF(X96="","",IFERROR(VLOOKUP(X96,SMMLV!$A$2:$B$38,2,FALSE),""))</f>
        <v/>
      </c>
      <c r="Z96" s="17">
        <f>IF(OR(Y96="",P96=""),"",ROUND(P96/Y96,2))</f>
        <v/>
      </c>
      <c r="AA96" s="13">
        <f>IF(Z96="","",ROUND(Z96*SMMLV!$E$4,0))</f>
        <v/>
      </c>
      <c r="AB96" s="13">
        <f>IF(AND(M96="En ejecución",P96&lt;&gt;"",Q96&lt;&gt;""),MAX(P96-Q96,0),"")</f>
        <v/>
      </c>
      <c r="AC96" s="12">
        <f>IF(A96="","",IF(B96="","Falta número de contrato; ","")&amp;IF(C96="","Falta entidad; ","")&amp;IF(E96="","Falta objeto; ","")&amp;IF(F96="","Falta especialidad; ","")&amp;IF(K96="","Falta fecha de inicio (recomendada); ","")&amp;IF(AND(M96&lt;&gt;"En ejecución",L96=""),"Falta fecha de terminación; ","")&amp;IF(AND(K96&lt;&gt;"",L96&lt;&gt;"",L96&lt;K96),"Terminación anterior al inicio; ","")&amp;IF(M96="","Falta estado; ","")&amp;IF(OR(P96="",P96&lt;=0),"Falta valor del contrato; ","")&amp;IF(AND(M96="En ejecución",Q96=""),"En ejecución sin valor ejecutado; ","")&amp;IF(AND(M96="En ejecución",L96&lt;&gt;"",L96&lt;TODAY()),"Dice en ejecución pero su terminación ya pasó; ","")&amp;IF(M96="En ejecución","En ejecución: no acredita experiencia; ","")&amp;IF(AND(M96&lt;&gt;"En ejecución",L96&lt;&gt;"",X96&lt;&gt;"",Y96=""),"El año no está en la hoja SMMLV; ","")&amp;IF(AND(B96&lt;&gt;"",COUNTIFS($B$2:$B$601,B96,$C$2:$C$601,C96)&gt;1),"Posible duplicado (mismo número y entidad); ","")&amp;IF(COUNTIF(PARTICIPACIONES!$A$2:$A$601,A96)=0,"Sin participaciones; ","")&amp;IF(SUMIFS(PARTICIPACIONES!$E$2:$E$601,PARTICIPACIONES!$A$2:$A$601,A96)&gt;1.0001,"Las participaciones suman más de 100 %; ",""))</f>
        <v/>
      </c>
    </row>
    <row r="97">
      <c r="J97" s="15" t="n"/>
      <c r="K97" s="15" t="n"/>
      <c r="L97" s="15" t="n"/>
      <c r="N97" s="15" t="n"/>
      <c r="O97" s="16" t="n"/>
      <c r="P97" s="16" t="n"/>
      <c r="Q97" s="16" t="n"/>
      <c r="W97" s="12">
        <f>IF(AND(K97&lt;&gt;"",L97&lt;&gt;""),ROUND((L97-K97)/30.4375,1),"")</f>
        <v/>
      </c>
      <c r="X97" s="12">
        <f>IF(OR(A97="",M97="En ejecución",L97=""),"",YEAR(L97))</f>
        <v/>
      </c>
      <c r="Y97" s="13">
        <f>IF(X97="","",IFERROR(VLOOKUP(X97,SMMLV!$A$2:$B$38,2,FALSE),""))</f>
        <v/>
      </c>
      <c r="Z97" s="17">
        <f>IF(OR(Y97="",P97=""),"",ROUND(P97/Y97,2))</f>
        <v/>
      </c>
      <c r="AA97" s="13">
        <f>IF(Z97="","",ROUND(Z97*SMMLV!$E$4,0))</f>
        <v/>
      </c>
      <c r="AB97" s="13">
        <f>IF(AND(M97="En ejecución",P97&lt;&gt;"",Q97&lt;&gt;""),MAX(P97-Q97,0),"")</f>
        <v/>
      </c>
      <c r="AC97" s="12">
        <f>IF(A97="","",IF(B97="","Falta número de contrato; ","")&amp;IF(C97="","Falta entidad; ","")&amp;IF(E97="","Falta objeto; ","")&amp;IF(F97="","Falta especialidad; ","")&amp;IF(K97="","Falta fecha de inicio (recomendada); ","")&amp;IF(AND(M97&lt;&gt;"En ejecución",L97=""),"Falta fecha de terminación; ","")&amp;IF(AND(K97&lt;&gt;"",L97&lt;&gt;"",L97&lt;K97),"Terminación anterior al inicio; ","")&amp;IF(M97="","Falta estado; ","")&amp;IF(OR(P97="",P97&lt;=0),"Falta valor del contrato; ","")&amp;IF(AND(M97="En ejecución",Q97=""),"En ejecución sin valor ejecutado; ","")&amp;IF(AND(M97="En ejecución",L97&lt;&gt;"",L97&lt;TODAY()),"Dice en ejecución pero su terminación ya pasó; ","")&amp;IF(M97="En ejecución","En ejecución: no acredita experiencia; ","")&amp;IF(AND(M97&lt;&gt;"En ejecución",L97&lt;&gt;"",X97&lt;&gt;"",Y97=""),"El año no está en la hoja SMMLV; ","")&amp;IF(AND(B97&lt;&gt;"",COUNTIFS($B$2:$B$601,B97,$C$2:$C$601,C97)&gt;1),"Posible duplicado (mismo número y entidad); ","")&amp;IF(COUNTIF(PARTICIPACIONES!$A$2:$A$601,A97)=0,"Sin participaciones; ","")&amp;IF(SUMIFS(PARTICIPACIONES!$E$2:$E$601,PARTICIPACIONES!$A$2:$A$601,A97)&gt;1.0001,"Las participaciones suman más de 100 %; ",""))</f>
        <v/>
      </c>
    </row>
    <row r="98">
      <c r="J98" s="15" t="n"/>
      <c r="K98" s="15" t="n"/>
      <c r="L98" s="15" t="n"/>
      <c r="N98" s="15" t="n"/>
      <c r="O98" s="16" t="n"/>
      <c r="P98" s="16" t="n"/>
      <c r="Q98" s="16" t="n"/>
      <c r="W98" s="12">
        <f>IF(AND(K98&lt;&gt;"",L98&lt;&gt;""),ROUND((L98-K98)/30.4375,1),"")</f>
        <v/>
      </c>
      <c r="X98" s="12">
        <f>IF(OR(A98="",M98="En ejecución",L98=""),"",YEAR(L98))</f>
        <v/>
      </c>
      <c r="Y98" s="13">
        <f>IF(X98="","",IFERROR(VLOOKUP(X98,SMMLV!$A$2:$B$38,2,FALSE),""))</f>
        <v/>
      </c>
      <c r="Z98" s="17">
        <f>IF(OR(Y98="",P98=""),"",ROUND(P98/Y98,2))</f>
        <v/>
      </c>
      <c r="AA98" s="13">
        <f>IF(Z98="","",ROUND(Z98*SMMLV!$E$4,0))</f>
        <v/>
      </c>
      <c r="AB98" s="13">
        <f>IF(AND(M98="En ejecución",P98&lt;&gt;"",Q98&lt;&gt;""),MAX(P98-Q98,0),"")</f>
        <v/>
      </c>
      <c r="AC98" s="12">
        <f>IF(A98="","",IF(B98="","Falta número de contrato; ","")&amp;IF(C98="","Falta entidad; ","")&amp;IF(E98="","Falta objeto; ","")&amp;IF(F98="","Falta especialidad; ","")&amp;IF(K98="","Falta fecha de inicio (recomendada); ","")&amp;IF(AND(M98&lt;&gt;"En ejecución",L98=""),"Falta fecha de terminación; ","")&amp;IF(AND(K98&lt;&gt;"",L98&lt;&gt;"",L98&lt;K98),"Terminación anterior al inicio; ","")&amp;IF(M98="","Falta estado; ","")&amp;IF(OR(P98="",P98&lt;=0),"Falta valor del contrato; ","")&amp;IF(AND(M98="En ejecución",Q98=""),"En ejecución sin valor ejecutado; ","")&amp;IF(AND(M98="En ejecución",L98&lt;&gt;"",L98&lt;TODAY()),"Dice en ejecución pero su terminación ya pasó; ","")&amp;IF(M98="En ejecución","En ejecución: no acredita experiencia; ","")&amp;IF(AND(M98&lt;&gt;"En ejecución",L98&lt;&gt;"",X98&lt;&gt;"",Y98=""),"El año no está en la hoja SMMLV; ","")&amp;IF(AND(B98&lt;&gt;"",COUNTIFS($B$2:$B$601,B98,$C$2:$C$601,C98)&gt;1),"Posible duplicado (mismo número y entidad); ","")&amp;IF(COUNTIF(PARTICIPACIONES!$A$2:$A$601,A98)=0,"Sin participaciones; ","")&amp;IF(SUMIFS(PARTICIPACIONES!$E$2:$E$601,PARTICIPACIONES!$A$2:$A$601,A98)&gt;1.0001,"Las participaciones suman más de 100 %; ",""))</f>
        <v/>
      </c>
    </row>
    <row r="99">
      <c r="J99" s="15" t="n"/>
      <c r="K99" s="15" t="n"/>
      <c r="L99" s="15" t="n"/>
      <c r="N99" s="15" t="n"/>
      <c r="O99" s="16" t="n"/>
      <c r="P99" s="16" t="n"/>
      <c r="Q99" s="16" t="n"/>
      <c r="W99" s="12">
        <f>IF(AND(K99&lt;&gt;"",L99&lt;&gt;""),ROUND((L99-K99)/30.4375,1),"")</f>
        <v/>
      </c>
      <c r="X99" s="12">
        <f>IF(OR(A99="",M99="En ejecución",L99=""),"",YEAR(L99))</f>
        <v/>
      </c>
      <c r="Y99" s="13">
        <f>IF(X99="","",IFERROR(VLOOKUP(X99,SMMLV!$A$2:$B$38,2,FALSE),""))</f>
        <v/>
      </c>
      <c r="Z99" s="17">
        <f>IF(OR(Y99="",P99=""),"",ROUND(P99/Y99,2))</f>
        <v/>
      </c>
      <c r="AA99" s="13">
        <f>IF(Z99="","",ROUND(Z99*SMMLV!$E$4,0))</f>
        <v/>
      </c>
      <c r="AB99" s="13">
        <f>IF(AND(M99="En ejecución",P99&lt;&gt;"",Q99&lt;&gt;""),MAX(P99-Q99,0),"")</f>
        <v/>
      </c>
      <c r="AC99" s="12">
        <f>IF(A99="","",IF(B99="","Falta número de contrato; ","")&amp;IF(C99="","Falta entidad; ","")&amp;IF(E99="","Falta objeto; ","")&amp;IF(F99="","Falta especialidad; ","")&amp;IF(K99="","Falta fecha de inicio (recomendada); ","")&amp;IF(AND(M99&lt;&gt;"En ejecución",L99=""),"Falta fecha de terminación; ","")&amp;IF(AND(K99&lt;&gt;"",L99&lt;&gt;"",L99&lt;K99),"Terminación anterior al inicio; ","")&amp;IF(M99="","Falta estado; ","")&amp;IF(OR(P99="",P99&lt;=0),"Falta valor del contrato; ","")&amp;IF(AND(M99="En ejecución",Q99=""),"En ejecución sin valor ejecutado; ","")&amp;IF(AND(M99="En ejecución",L99&lt;&gt;"",L99&lt;TODAY()),"Dice en ejecución pero su terminación ya pasó; ","")&amp;IF(M99="En ejecución","En ejecución: no acredita experiencia; ","")&amp;IF(AND(M99&lt;&gt;"En ejecución",L99&lt;&gt;"",X99&lt;&gt;"",Y99=""),"El año no está en la hoja SMMLV; ","")&amp;IF(AND(B99&lt;&gt;"",COUNTIFS($B$2:$B$601,B99,$C$2:$C$601,C99)&gt;1),"Posible duplicado (mismo número y entidad); ","")&amp;IF(COUNTIF(PARTICIPACIONES!$A$2:$A$601,A99)=0,"Sin participaciones; ","")&amp;IF(SUMIFS(PARTICIPACIONES!$E$2:$E$601,PARTICIPACIONES!$A$2:$A$601,A99)&gt;1.0001,"Las participaciones suman más de 100 %; ",""))</f>
        <v/>
      </c>
    </row>
    <row r="100">
      <c r="J100" s="15" t="n"/>
      <c r="K100" s="15" t="n"/>
      <c r="L100" s="15" t="n"/>
      <c r="N100" s="15" t="n"/>
      <c r="O100" s="16" t="n"/>
      <c r="P100" s="16" t="n"/>
      <c r="Q100" s="16" t="n"/>
      <c r="W100" s="12">
        <f>IF(AND(K100&lt;&gt;"",L100&lt;&gt;""),ROUND((L100-K100)/30.4375,1),"")</f>
        <v/>
      </c>
      <c r="X100" s="12">
        <f>IF(OR(A100="",M100="En ejecución",L100=""),"",YEAR(L100))</f>
        <v/>
      </c>
      <c r="Y100" s="13">
        <f>IF(X100="","",IFERROR(VLOOKUP(X100,SMMLV!$A$2:$B$38,2,FALSE),""))</f>
        <v/>
      </c>
      <c r="Z100" s="17">
        <f>IF(OR(Y100="",P100=""),"",ROUND(P100/Y100,2))</f>
        <v/>
      </c>
      <c r="AA100" s="13">
        <f>IF(Z100="","",ROUND(Z100*SMMLV!$E$4,0))</f>
        <v/>
      </c>
      <c r="AB100" s="13">
        <f>IF(AND(M100="En ejecución",P100&lt;&gt;"",Q100&lt;&gt;""),MAX(P100-Q100,0),"")</f>
        <v/>
      </c>
      <c r="AC100" s="12">
        <f>IF(A100="","",IF(B100="","Falta número de contrato; ","")&amp;IF(C100="","Falta entidad; ","")&amp;IF(E100="","Falta objeto; ","")&amp;IF(F100="","Falta especialidad; ","")&amp;IF(K100="","Falta fecha de inicio (recomendada); ","")&amp;IF(AND(M100&lt;&gt;"En ejecución",L100=""),"Falta fecha de terminación; ","")&amp;IF(AND(K100&lt;&gt;"",L100&lt;&gt;"",L100&lt;K100),"Terminación anterior al inicio; ","")&amp;IF(M100="","Falta estado; ","")&amp;IF(OR(P100="",P100&lt;=0),"Falta valor del contrato; ","")&amp;IF(AND(M100="En ejecución",Q100=""),"En ejecución sin valor ejecutado; ","")&amp;IF(AND(M100="En ejecución",L100&lt;&gt;"",L100&lt;TODAY()),"Dice en ejecución pero su terminación ya pasó; ","")&amp;IF(M100="En ejecución","En ejecución: no acredita experiencia; ","")&amp;IF(AND(M100&lt;&gt;"En ejecución",L100&lt;&gt;"",X100&lt;&gt;"",Y100=""),"El año no está en la hoja SMMLV; ","")&amp;IF(AND(B100&lt;&gt;"",COUNTIFS($B$2:$B$601,B100,$C$2:$C$601,C100)&gt;1),"Posible duplicado (mismo número y entidad); ","")&amp;IF(COUNTIF(PARTICIPACIONES!$A$2:$A$601,A100)=0,"Sin participaciones; ","")&amp;IF(SUMIFS(PARTICIPACIONES!$E$2:$E$601,PARTICIPACIONES!$A$2:$A$601,A100)&gt;1.0001,"Las participaciones suman más de 100 %; ",""))</f>
        <v/>
      </c>
    </row>
    <row r="101">
      <c r="J101" s="15" t="n"/>
      <c r="K101" s="15" t="n"/>
      <c r="L101" s="15" t="n"/>
      <c r="N101" s="15" t="n"/>
      <c r="O101" s="16" t="n"/>
      <c r="P101" s="16" t="n"/>
      <c r="Q101" s="16" t="n"/>
      <c r="W101" s="12">
        <f>IF(AND(K101&lt;&gt;"",L101&lt;&gt;""),ROUND((L101-K101)/30.4375,1),"")</f>
        <v/>
      </c>
      <c r="X101" s="12">
        <f>IF(OR(A101="",M101="En ejecución",L101=""),"",YEAR(L101))</f>
        <v/>
      </c>
      <c r="Y101" s="13">
        <f>IF(X101="","",IFERROR(VLOOKUP(X101,SMMLV!$A$2:$B$38,2,FALSE),""))</f>
        <v/>
      </c>
      <c r="Z101" s="17">
        <f>IF(OR(Y101="",P101=""),"",ROUND(P101/Y101,2))</f>
        <v/>
      </c>
      <c r="AA101" s="13">
        <f>IF(Z101="","",ROUND(Z101*SMMLV!$E$4,0))</f>
        <v/>
      </c>
      <c r="AB101" s="13">
        <f>IF(AND(M101="En ejecución",P101&lt;&gt;"",Q101&lt;&gt;""),MAX(P101-Q101,0),"")</f>
        <v/>
      </c>
      <c r="AC101" s="12">
        <f>IF(A101="","",IF(B101="","Falta número de contrato; ","")&amp;IF(C101="","Falta entidad; ","")&amp;IF(E101="","Falta objeto; ","")&amp;IF(F101="","Falta especialidad; ","")&amp;IF(K101="","Falta fecha de inicio (recomendada); ","")&amp;IF(AND(M101&lt;&gt;"En ejecución",L101=""),"Falta fecha de terminación; ","")&amp;IF(AND(K101&lt;&gt;"",L101&lt;&gt;"",L101&lt;K101),"Terminación anterior al inicio; ","")&amp;IF(M101="","Falta estado; ","")&amp;IF(OR(P101="",P101&lt;=0),"Falta valor del contrato; ","")&amp;IF(AND(M101="En ejecución",Q101=""),"En ejecución sin valor ejecutado; ","")&amp;IF(AND(M101="En ejecución",L101&lt;&gt;"",L101&lt;TODAY()),"Dice en ejecución pero su terminación ya pasó; ","")&amp;IF(M101="En ejecución","En ejecución: no acredita experiencia; ","")&amp;IF(AND(M101&lt;&gt;"En ejecución",L101&lt;&gt;"",X101&lt;&gt;"",Y101=""),"El año no está en la hoja SMMLV; ","")&amp;IF(AND(B101&lt;&gt;"",COUNTIFS($B$2:$B$601,B101,$C$2:$C$601,C101)&gt;1),"Posible duplicado (mismo número y entidad); ","")&amp;IF(COUNTIF(PARTICIPACIONES!$A$2:$A$601,A101)=0,"Sin participaciones; ","")&amp;IF(SUMIFS(PARTICIPACIONES!$E$2:$E$601,PARTICIPACIONES!$A$2:$A$601,A101)&gt;1.0001,"Las participaciones suman más de 100 %; ",""))</f>
        <v/>
      </c>
    </row>
    <row r="102">
      <c r="J102" s="15" t="n"/>
      <c r="K102" s="15" t="n"/>
      <c r="L102" s="15" t="n"/>
      <c r="N102" s="15" t="n"/>
      <c r="O102" s="16" t="n"/>
      <c r="P102" s="16" t="n"/>
      <c r="Q102" s="16" t="n"/>
      <c r="W102" s="12">
        <f>IF(AND(K102&lt;&gt;"",L102&lt;&gt;""),ROUND((L102-K102)/30.4375,1),"")</f>
        <v/>
      </c>
      <c r="X102" s="12">
        <f>IF(OR(A102="",M102="En ejecución",L102=""),"",YEAR(L102))</f>
        <v/>
      </c>
      <c r="Y102" s="13">
        <f>IF(X102="","",IFERROR(VLOOKUP(X102,SMMLV!$A$2:$B$38,2,FALSE),""))</f>
        <v/>
      </c>
      <c r="Z102" s="17">
        <f>IF(OR(Y102="",P102=""),"",ROUND(P102/Y102,2))</f>
        <v/>
      </c>
      <c r="AA102" s="13">
        <f>IF(Z102="","",ROUND(Z102*SMMLV!$E$4,0))</f>
        <v/>
      </c>
      <c r="AB102" s="13">
        <f>IF(AND(M102="En ejecución",P102&lt;&gt;"",Q102&lt;&gt;""),MAX(P102-Q102,0),"")</f>
        <v/>
      </c>
      <c r="AC102" s="12">
        <f>IF(A102="","",IF(B102="","Falta número de contrato; ","")&amp;IF(C102="","Falta entidad; ","")&amp;IF(E102="","Falta objeto; ","")&amp;IF(F102="","Falta especialidad; ","")&amp;IF(K102="","Falta fecha de inicio (recomendada); ","")&amp;IF(AND(M102&lt;&gt;"En ejecución",L102=""),"Falta fecha de terminación; ","")&amp;IF(AND(K102&lt;&gt;"",L102&lt;&gt;"",L102&lt;K102),"Terminación anterior al inicio; ","")&amp;IF(M102="","Falta estado; ","")&amp;IF(OR(P102="",P102&lt;=0),"Falta valor del contrato; ","")&amp;IF(AND(M102="En ejecución",Q102=""),"En ejecución sin valor ejecutado; ","")&amp;IF(AND(M102="En ejecución",L102&lt;&gt;"",L102&lt;TODAY()),"Dice en ejecución pero su terminación ya pasó; ","")&amp;IF(M102="En ejecución","En ejecución: no acredita experiencia; ","")&amp;IF(AND(M102&lt;&gt;"En ejecución",L102&lt;&gt;"",X102&lt;&gt;"",Y102=""),"El año no está en la hoja SMMLV; ","")&amp;IF(AND(B102&lt;&gt;"",COUNTIFS($B$2:$B$601,B102,$C$2:$C$601,C102)&gt;1),"Posible duplicado (mismo número y entidad); ","")&amp;IF(COUNTIF(PARTICIPACIONES!$A$2:$A$601,A102)=0,"Sin participaciones; ","")&amp;IF(SUMIFS(PARTICIPACIONES!$E$2:$E$601,PARTICIPACIONES!$A$2:$A$601,A102)&gt;1.0001,"Las participaciones suman más de 100 %; ",""))</f>
        <v/>
      </c>
    </row>
    <row r="103">
      <c r="J103" s="15" t="n"/>
      <c r="K103" s="15" t="n"/>
      <c r="L103" s="15" t="n"/>
      <c r="N103" s="15" t="n"/>
      <c r="O103" s="16" t="n"/>
      <c r="P103" s="16" t="n"/>
      <c r="Q103" s="16" t="n"/>
      <c r="W103" s="12">
        <f>IF(AND(K103&lt;&gt;"",L103&lt;&gt;""),ROUND((L103-K103)/30.4375,1),"")</f>
        <v/>
      </c>
      <c r="X103" s="12">
        <f>IF(OR(A103="",M103="En ejecución",L103=""),"",YEAR(L103))</f>
        <v/>
      </c>
      <c r="Y103" s="13">
        <f>IF(X103="","",IFERROR(VLOOKUP(X103,SMMLV!$A$2:$B$38,2,FALSE),""))</f>
        <v/>
      </c>
      <c r="Z103" s="17">
        <f>IF(OR(Y103="",P103=""),"",ROUND(P103/Y103,2))</f>
        <v/>
      </c>
      <c r="AA103" s="13">
        <f>IF(Z103="","",ROUND(Z103*SMMLV!$E$4,0))</f>
        <v/>
      </c>
      <c r="AB103" s="13">
        <f>IF(AND(M103="En ejecución",P103&lt;&gt;"",Q103&lt;&gt;""),MAX(P103-Q103,0),"")</f>
        <v/>
      </c>
      <c r="AC103" s="12">
        <f>IF(A103="","",IF(B103="","Falta número de contrato; ","")&amp;IF(C103="","Falta entidad; ","")&amp;IF(E103="","Falta objeto; ","")&amp;IF(F103="","Falta especialidad; ","")&amp;IF(K103="","Falta fecha de inicio (recomendada); ","")&amp;IF(AND(M103&lt;&gt;"En ejecución",L103=""),"Falta fecha de terminación; ","")&amp;IF(AND(K103&lt;&gt;"",L103&lt;&gt;"",L103&lt;K103),"Terminación anterior al inicio; ","")&amp;IF(M103="","Falta estado; ","")&amp;IF(OR(P103="",P103&lt;=0),"Falta valor del contrato; ","")&amp;IF(AND(M103="En ejecución",Q103=""),"En ejecución sin valor ejecutado; ","")&amp;IF(AND(M103="En ejecución",L103&lt;&gt;"",L103&lt;TODAY()),"Dice en ejecución pero su terminación ya pasó; ","")&amp;IF(M103="En ejecución","En ejecución: no acredita experiencia; ","")&amp;IF(AND(M103&lt;&gt;"En ejecución",L103&lt;&gt;"",X103&lt;&gt;"",Y103=""),"El año no está en la hoja SMMLV; ","")&amp;IF(AND(B103&lt;&gt;"",COUNTIFS($B$2:$B$601,B103,$C$2:$C$601,C103)&gt;1),"Posible duplicado (mismo número y entidad); ","")&amp;IF(COUNTIF(PARTICIPACIONES!$A$2:$A$601,A103)=0,"Sin participaciones; ","")&amp;IF(SUMIFS(PARTICIPACIONES!$E$2:$E$601,PARTICIPACIONES!$A$2:$A$601,A103)&gt;1.0001,"Las participaciones suman más de 100 %; ",""))</f>
        <v/>
      </c>
    </row>
    <row r="104">
      <c r="J104" s="15" t="n"/>
      <c r="K104" s="15" t="n"/>
      <c r="L104" s="15" t="n"/>
      <c r="N104" s="15" t="n"/>
      <c r="O104" s="16" t="n"/>
      <c r="P104" s="16" t="n"/>
      <c r="Q104" s="16" t="n"/>
      <c r="W104" s="12">
        <f>IF(AND(K104&lt;&gt;"",L104&lt;&gt;""),ROUND((L104-K104)/30.4375,1),"")</f>
        <v/>
      </c>
      <c r="X104" s="12">
        <f>IF(OR(A104="",M104="En ejecución",L104=""),"",YEAR(L104))</f>
        <v/>
      </c>
      <c r="Y104" s="13">
        <f>IF(X104="","",IFERROR(VLOOKUP(X104,SMMLV!$A$2:$B$38,2,FALSE),""))</f>
        <v/>
      </c>
      <c r="Z104" s="17">
        <f>IF(OR(Y104="",P104=""),"",ROUND(P104/Y104,2))</f>
        <v/>
      </c>
      <c r="AA104" s="13">
        <f>IF(Z104="","",ROUND(Z104*SMMLV!$E$4,0))</f>
        <v/>
      </c>
      <c r="AB104" s="13">
        <f>IF(AND(M104="En ejecución",P104&lt;&gt;"",Q104&lt;&gt;""),MAX(P104-Q104,0),"")</f>
        <v/>
      </c>
      <c r="AC104" s="12">
        <f>IF(A104="","",IF(B104="","Falta número de contrato; ","")&amp;IF(C104="","Falta entidad; ","")&amp;IF(E104="","Falta objeto; ","")&amp;IF(F104="","Falta especialidad; ","")&amp;IF(K104="","Falta fecha de inicio (recomendada); ","")&amp;IF(AND(M104&lt;&gt;"En ejecución",L104=""),"Falta fecha de terminación; ","")&amp;IF(AND(K104&lt;&gt;"",L104&lt;&gt;"",L104&lt;K104),"Terminación anterior al inicio; ","")&amp;IF(M104="","Falta estado; ","")&amp;IF(OR(P104="",P104&lt;=0),"Falta valor del contrato; ","")&amp;IF(AND(M104="En ejecución",Q104=""),"En ejecución sin valor ejecutado; ","")&amp;IF(AND(M104="En ejecución",L104&lt;&gt;"",L104&lt;TODAY()),"Dice en ejecución pero su terminación ya pasó; ","")&amp;IF(M104="En ejecución","En ejecución: no acredita experiencia; ","")&amp;IF(AND(M104&lt;&gt;"En ejecución",L104&lt;&gt;"",X104&lt;&gt;"",Y104=""),"El año no está en la hoja SMMLV; ","")&amp;IF(AND(B104&lt;&gt;"",COUNTIFS($B$2:$B$601,B104,$C$2:$C$601,C104)&gt;1),"Posible duplicado (mismo número y entidad); ","")&amp;IF(COUNTIF(PARTICIPACIONES!$A$2:$A$601,A104)=0,"Sin participaciones; ","")&amp;IF(SUMIFS(PARTICIPACIONES!$E$2:$E$601,PARTICIPACIONES!$A$2:$A$601,A104)&gt;1.0001,"Las participaciones suman más de 100 %; ",""))</f>
        <v/>
      </c>
    </row>
    <row r="105">
      <c r="J105" s="15" t="n"/>
      <c r="K105" s="15" t="n"/>
      <c r="L105" s="15" t="n"/>
      <c r="N105" s="15" t="n"/>
      <c r="O105" s="16" t="n"/>
      <c r="P105" s="16" t="n"/>
      <c r="Q105" s="16" t="n"/>
      <c r="W105" s="12">
        <f>IF(AND(K105&lt;&gt;"",L105&lt;&gt;""),ROUND((L105-K105)/30.4375,1),"")</f>
        <v/>
      </c>
      <c r="X105" s="12">
        <f>IF(OR(A105="",M105="En ejecución",L105=""),"",YEAR(L105))</f>
        <v/>
      </c>
      <c r="Y105" s="13">
        <f>IF(X105="","",IFERROR(VLOOKUP(X105,SMMLV!$A$2:$B$38,2,FALSE),""))</f>
        <v/>
      </c>
      <c r="Z105" s="17">
        <f>IF(OR(Y105="",P105=""),"",ROUND(P105/Y105,2))</f>
        <v/>
      </c>
      <c r="AA105" s="13">
        <f>IF(Z105="","",ROUND(Z105*SMMLV!$E$4,0))</f>
        <v/>
      </c>
      <c r="AB105" s="13">
        <f>IF(AND(M105="En ejecución",P105&lt;&gt;"",Q105&lt;&gt;""),MAX(P105-Q105,0),"")</f>
        <v/>
      </c>
      <c r="AC105" s="12">
        <f>IF(A105="","",IF(B105="","Falta número de contrato; ","")&amp;IF(C105="","Falta entidad; ","")&amp;IF(E105="","Falta objeto; ","")&amp;IF(F105="","Falta especialidad; ","")&amp;IF(K105="","Falta fecha de inicio (recomendada); ","")&amp;IF(AND(M105&lt;&gt;"En ejecución",L105=""),"Falta fecha de terminación; ","")&amp;IF(AND(K105&lt;&gt;"",L105&lt;&gt;"",L105&lt;K105),"Terminación anterior al inicio; ","")&amp;IF(M105="","Falta estado; ","")&amp;IF(OR(P105="",P105&lt;=0),"Falta valor del contrato; ","")&amp;IF(AND(M105="En ejecución",Q105=""),"En ejecución sin valor ejecutado; ","")&amp;IF(AND(M105="En ejecución",L105&lt;&gt;"",L105&lt;TODAY()),"Dice en ejecución pero su terminación ya pasó; ","")&amp;IF(M105="En ejecución","En ejecución: no acredita experiencia; ","")&amp;IF(AND(M105&lt;&gt;"En ejecución",L105&lt;&gt;"",X105&lt;&gt;"",Y105=""),"El año no está en la hoja SMMLV; ","")&amp;IF(AND(B105&lt;&gt;"",COUNTIFS($B$2:$B$601,B105,$C$2:$C$601,C105)&gt;1),"Posible duplicado (mismo número y entidad); ","")&amp;IF(COUNTIF(PARTICIPACIONES!$A$2:$A$601,A105)=0,"Sin participaciones; ","")&amp;IF(SUMIFS(PARTICIPACIONES!$E$2:$E$601,PARTICIPACIONES!$A$2:$A$601,A105)&gt;1.0001,"Las participaciones suman más de 100 %; ",""))</f>
        <v/>
      </c>
    </row>
    <row r="106">
      <c r="J106" s="15" t="n"/>
      <c r="K106" s="15" t="n"/>
      <c r="L106" s="15" t="n"/>
      <c r="N106" s="15" t="n"/>
      <c r="O106" s="16" t="n"/>
      <c r="P106" s="16" t="n"/>
      <c r="Q106" s="16" t="n"/>
      <c r="W106" s="12">
        <f>IF(AND(K106&lt;&gt;"",L106&lt;&gt;""),ROUND((L106-K106)/30.4375,1),"")</f>
        <v/>
      </c>
      <c r="X106" s="12">
        <f>IF(OR(A106="",M106="En ejecución",L106=""),"",YEAR(L106))</f>
        <v/>
      </c>
      <c r="Y106" s="13">
        <f>IF(X106="","",IFERROR(VLOOKUP(X106,SMMLV!$A$2:$B$38,2,FALSE),""))</f>
        <v/>
      </c>
      <c r="Z106" s="17">
        <f>IF(OR(Y106="",P106=""),"",ROUND(P106/Y106,2))</f>
        <v/>
      </c>
      <c r="AA106" s="13">
        <f>IF(Z106="","",ROUND(Z106*SMMLV!$E$4,0))</f>
        <v/>
      </c>
      <c r="AB106" s="13">
        <f>IF(AND(M106="En ejecución",P106&lt;&gt;"",Q106&lt;&gt;""),MAX(P106-Q106,0),"")</f>
        <v/>
      </c>
      <c r="AC106" s="12">
        <f>IF(A106="","",IF(B106="","Falta número de contrato; ","")&amp;IF(C106="","Falta entidad; ","")&amp;IF(E106="","Falta objeto; ","")&amp;IF(F106="","Falta especialidad; ","")&amp;IF(K106="","Falta fecha de inicio (recomendada); ","")&amp;IF(AND(M106&lt;&gt;"En ejecución",L106=""),"Falta fecha de terminación; ","")&amp;IF(AND(K106&lt;&gt;"",L106&lt;&gt;"",L106&lt;K106),"Terminación anterior al inicio; ","")&amp;IF(M106="","Falta estado; ","")&amp;IF(OR(P106="",P106&lt;=0),"Falta valor del contrato; ","")&amp;IF(AND(M106="En ejecución",Q106=""),"En ejecución sin valor ejecutado; ","")&amp;IF(AND(M106="En ejecución",L106&lt;&gt;"",L106&lt;TODAY()),"Dice en ejecución pero su terminación ya pasó; ","")&amp;IF(M106="En ejecución","En ejecución: no acredita experiencia; ","")&amp;IF(AND(M106&lt;&gt;"En ejecución",L106&lt;&gt;"",X106&lt;&gt;"",Y106=""),"El año no está en la hoja SMMLV; ","")&amp;IF(AND(B106&lt;&gt;"",COUNTIFS($B$2:$B$601,B106,$C$2:$C$601,C106)&gt;1),"Posible duplicado (mismo número y entidad); ","")&amp;IF(COUNTIF(PARTICIPACIONES!$A$2:$A$601,A106)=0,"Sin participaciones; ","")&amp;IF(SUMIFS(PARTICIPACIONES!$E$2:$E$601,PARTICIPACIONES!$A$2:$A$601,A106)&gt;1.0001,"Las participaciones suman más de 100 %; ",""))</f>
        <v/>
      </c>
    </row>
    <row r="107">
      <c r="J107" s="15" t="n"/>
      <c r="K107" s="15" t="n"/>
      <c r="L107" s="15" t="n"/>
      <c r="N107" s="15" t="n"/>
      <c r="O107" s="16" t="n"/>
      <c r="P107" s="16" t="n"/>
      <c r="Q107" s="16" t="n"/>
      <c r="W107" s="12">
        <f>IF(AND(K107&lt;&gt;"",L107&lt;&gt;""),ROUND((L107-K107)/30.4375,1),"")</f>
        <v/>
      </c>
      <c r="X107" s="12">
        <f>IF(OR(A107="",M107="En ejecución",L107=""),"",YEAR(L107))</f>
        <v/>
      </c>
      <c r="Y107" s="13">
        <f>IF(X107="","",IFERROR(VLOOKUP(X107,SMMLV!$A$2:$B$38,2,FALSE),""))</f>
        <v/>
      </c>
      <c r="Z107" s="17">
        <f>IF(OR(Y107="",P107=""),"",ROUND(P107/Y107,2))</f>
        <v/>
      </c>
      <c r="AA107" s="13">
        <f>IF(Z107="","",ROUND(Z107*SMMLV!$E$4,0))</f>
        <v/>
      </c>
      <c r="AB107" s="13">
        <f>IF(AND(M107="En ejecución",P107&lt;&gt;"",Q107&lt;&gt;""),MAX(P107-Q107,0),"")</f>
        <v/>
      </c>
      <c r="AC107" s="12">
        <f>IF(A107="","",IF(B107="","Falta número de contrato; ","")&amp;IF(C107="","Falta entidad; ","")&amp;IF(E107="","Falta objeto; ","")&amp;IF(F107="","Falta especialidad; ","")&amp;IF(K107="","Falta fecha de inicio (recomendada); ","")&amp;IF(AND(M107&lt;&gt;"En ejecución",L107=""),"Falta fecha de terminación; ","")&amp;IF(AND(K107&lt;&gt;"",L107&lt;&gt;"",L107&lt;K107),"Terminación anterior al inicio; ","")&amp;IF(M107="","Falta estado; ","")&amp;IF(OR(P107="",P107&lt;=0),"Falta valor del contrato; ","")&amp;IF(AND(M107="En ejecución",Q107=""),"En ejecución sin valor ejecutado; ","")&amp;IF(AND(M107="En ejecución",L107&lt;&gt;"",L107&lt;TODAY()),"Dice en ejecución pero su terminación ya pasó; ","")&amp;IF(M107="En ejecución","En ejecución: no acredita experiencia; ","")&amp;IF(AND(M107&lt;&gt;"En ejecución",L107&lt;&gt;"",X107&lt;&gt;"",Y107=""),"El año no está en la hoja SMMLV; ","")&amp;IF(AND(B107&lt;&gt;"",COUNTIFS($B$2:$B$601,B107,$C$2:$C$601,C107)&gt;1),"Posible duplicado (mismo número y entidad); ","")&amp;IF(COUNTIF(PARTICIPACIONES!$A$2:$A$601,A107)=0,"Sin participaciones; ","")&amp;IF(SUMIFS(PARTICIPACIONES!$E$2:$E$601,PARTICIPACIONES!$A$2:$A$601,A107)&gt;1.0001,"Las participaciones suman más de 100 %; ",""))</f>
        <v/>
      </c>
    </row>
    <row r="108">
      <c r="J108" s="15" t="n"/>
      <c r="K108" s="15" t="n"/>
      <c r="L108" s="15" t="n"/>
      <c r="N108" s="15" t="n"/>
      <c r="O108" s="16" t="n"/>
      <c r="P108" s="16" t="n"/>
      <c r="Q108" s="16" t="n"/>
      <c r="W108" s="12">
        <f>IF(AND(K108&lt;&gt;"",L108&lt;&gt;""),ROUND((L108-K108)/30.4375,1),"")</f>
        <v/>
      </c>
      <c r="X108" s="12">
        <f>IF(OR(A108="",M108="En ejecución",L108=""),"",YEAR(L108))</f>
        <v/>
      </c>
      <c r="Y108" s="13">
        <f>IF(X108="","",IFERROR(VLOOKUP(X108,SMMLV!$A$2:$B$38,2,FALSE),""))</f>
        <v/>
      </c>
      <c r="Z108" s="17">
        <f>IF(OR(Y108="",P108=""),"",ROUND(P108/Y108,2))</f>
        <v/>
      </c>
      <c r="AA108" s="13">
        <f>IF(Z108="","",ROUND(Z108*SMMLV!$E$4,0))</f>
        <v/>
      </c>
      <c r="AB108" s="13">
        <f>IF(AND(M108="En ejecución",P108&lt;&gt;"",Q108&lt;&gt;""),MAX(P108-Q108,0),"")</f>
        <v/>
      </c>
      <c r="AC108" s="12">
        <f>IF(A108="","",IF(B108="","Falta número de contrato; ","")&amp;IF(C108="","Falta entidad; ","")&amp;IF(E108="","Falta objeto; ","")&amp;IF(F108="","Falta especialidad; ","")&amp;IF(K108="","Falta fecha de inicio (recomendada); ","")&amp;IF(AND(M108&lt;&gt;"En ejecución",L108=""),"Falta fecha de terminación; ","")&amp;IF(AND(K108&lt;&gt;"",L108&lt;&gt;"",L108&lt;K108),"Terminación anterior al inicio; ","")&amp;IF(M108="","Falta estado; ","")&amp;IF(OR(P108="",P108&lt;=0),"Falta valor del contrato; ","")&amp;IF(AND(M108="En ejecución",Q108=""),"En ejecución sin valor ejecutado; ","")&amp;IF(AND(M108="En ejecución",L108&lt;&gt;"",L108&lt;TODAY()),"Dice en ejecución pero su terminación ya pasó; ","")&amp;IF(M108="En ejecución","En ejecución: no acredita experiencia; ","")&amp;IF(AND(M108&lt;&gt;"En ejecución",L108&lt;&gt;"",X108&lt;&gt;"",Y108=""),"El año no está en la hoja SMMLV; ","")&amp;IF(AND(B108&lt;&gt;"",COUNTIFS($B$2:$B$601,B108,$C$2:$C$601,C108)&gt;1),"Posible duplicado (mismo número y entidad); ","")&amp;IF(COUNTIF(PARTICIPACIONES!$A$2:$A$601,A108)=0,"Sin participaciones; ","")&amp;IF(SUMIFS(PARTICIPACIONES!$E$2:$E$601,PARTICIPACIONES!$A$2:$A$601,A108)&gt;1.0001,"Las participaciones suman más de 100 %; ",""))</f>
        <v/>
      </c>
    </row>
    <row r="109">
      <c r="J109" s="15" t="n"/>
      <c r="K109" s="15" t="n"/>
      <c r="L109" s="15" t="n"/>
      <c r="N109" s="15" t="n"/>
      <c r="O109" s="16" t="n"/>
      <c r="P109" s="16" t="n"/>
      <c r="Q109" s="16" t="n"/>
      <c r="W109" s="12">
        <f>IF(AND(K109&lt;&gt;"",L109&lt;&gt;""),ROUND((L109-K109)/30.4375,1),"")</f>
        <v/>
      </c>
      <c r="X109" s="12">
        <f>IF(OR(A109="",M109="En ejecución",L109=""),"",YEAR(L109))</f>
        <v/>
      </c>
      <c r="Y109" s="13">
        <f>IF(X109="","",IFERROR(VLOOKUP(X109,SMMLV!$A$2:$B$38,2,FALSE),""))</f>
        <v/>
      </c>
      <c r="Z109" s="17">
        <f>IF(OR(Y109="",P109=""),"",ROUND(P109/Y109,2))</f>
        <v/>
      </c>
      <c r="AA109" s="13">
        <f>IF(Z109="","",ROUND(Z109*SMMLV!$E$4,0))</f>
        <v/>
      </c>
      <c r="AB109" s="13">
        <f>IF(AND(M109="En ejecución",P109&lt;&gt;"",Q109&lt;&gt;""),MAX(P109-Q109,0),"")</f>
        <v/>
      </c>
      <c r="AC109" s="12">
        <f>IF(A109="","",IF(B109="","Falta número de contrato; ","")&amp;IF(C109="","Falta entidad; ","")&amp;IF(E109="","Falta objeto; ","")&amp;IF(F109="","Falta especialidad; ","")&amp;IF(K109="","Falta fecha de inicio (recomendada); ","")&amp;IF(AND(M109&lt;&gt;"En ejecución",L109=""),"Falta fecha de terminación; ","")&amp;IF(AND(K109&lt;&gt;"",L109&lt;&gt;"",L109&lt;K109),"Terminación anterior al inicio; ","")&amp;IF(M109="","Falta estado; ","")&amp;IF(OR(P109="",P109&lt;=0),"Falta valor del contrato; ","")&amp;IF(AND(M109="En ejecución",Q109=""),"En ejecución sin valor ejecutado; ","")&amp;IF(AND(M109="En ejecución",L109&lt;&gt;"",L109&lt;TODAY()),"Dice en ejecución pero su terminación ya pasó; ","")&amp;IF(M109="En ejecución","En ejecución: no acredita experiencia; ","")&amp;IF(AND(M109&lt;&gt;"En ejecución",L109&lt;&gt;"",X109&lt;&gt;"",Y109=""),"El año no está en la hoja SMMLV; ","")&amp;IF(AND(B109&lt;&gt;"",COUNTIFS($B$2:$B$601,B109,$C$2:$C$601,C109)&gt;1),"Posible duplicado (mismo número y entidad); ","")&amp;IF(COUNTIF(PARTICIPACIONES!$A$2:$A$601,A109)=0,"Sin participaciones; ","")&amp;IF(SUMIFS(PARTICIPACIONES!$E$2:$E$601,PARTICIPACIONES!$A$2:$A$601,A109)&gt;1.0001,"Las participaciones suman más de 100 %; ",""))</f>
        <v/>
      </c>
    </row>
    <row r="110">
      <c r="J110" s="15" t="n"/>
      <c r="K110" s="15" t="n"/>
      <c r="L110" s="15" t="n"/>
      <c r="N110" s="15" t="n"/>
      <c r="O110" s="16" t="n"/>
      <c r="P110" s="16" t="n"/>
      <c r="Q110" s="16" t="n"/>
      <c r="W110" s="12">
        <f>IF(AND(K110&lt;&gt;"",L110&lt;&gt;""),ROUND((L110-K110)/30.4375,1),"")</f>
        <v/>
      </c>
      <c r="X110" s="12">
        <f>IF(OR(A110="",M110="En ejecución",L110=""),"",YEAR(L110))</f>
        <v/>
      </c>
      <c r="Y110" s="13">
        <f>IF(X110="","",IFERROR(VLOOKUP(X110,SMMLV!$A$2:$B$38,2,FALSE),""))</f>
        <v/>
      </c>
      <c r="Z110" s="17">
        <f>IF(OR(Y110="",P110=""),"",ROUND(P110/Y110,2))</f>
        <v/>
      </c>
      <c r="AA110" s="13">
        <f>IF(Z110="","",ROUND(Z110*SMMLV!$E$4,0))</f>
        <v/>
      </c>
      <c r="AB110" s="13">
        <f>IF(AND(M110="En ejecución",P110&lt;&gt;"",Q110&lt;&gt;""),MAX(P110-Q110,0),"")</f>
        <v/>
      </c>
      <c r="AC110" s="12">
        <f>IF(A110="","",IF(B110="","Falta número de contrato; ","")&amp;IF(C110="","Falta entidad; ","")&amp;IF(E110="","Falta objeto; ","")&amp;IF(F110="","Falta especialidad; ","")&amp;IF(K110="","Falta fecha de inicio (recomendada); ","")&amp;IF(AND(M110&lt;&gt;"En ejecución",L110=""),"Falta fecha de terminación; ","")&amp;IF(AND(K110&lt;&gt;"",L110&lt;&gt;"",L110&lt;K110),"Terminación anterior al inicio; ","")&amp;IF(M110="","Falta estado; ","")&amp;IF(OR(P110="",P110&lt;=0),"Falta valor del contrato; ","")&amp;IF(AND(M110="En ejecución",Q110=""),"En ejecución sin valor ejecutado; ","")&amp;IF(AND(M110="En ejecución",L110&lt;&gt;"",L110&lt;TODAY()),"Dice en ejecución pero su terminación ya pasó; ","")&amp;IF(M110="En ejecución","En ejecución: no acredita experiencia; ","")&amp;IF(AND(M110&lt;&gt;"En ejecución",L110&lt;&gt;"",X110&lt;&gt;"",Y110=""),"El año no está en la hoja SMMLV; ","")&amp;IF(AND(B110&lt;&gt;"",COUNTIFS($B$2:$B$601,B110,$C$2:$C$601,C110)&gt;1),"Posible duplicado (mismo número y entidad); ","")&amp;IF(COUNTIF(PARTICIPACIONES!$A$2:$A$601,A110)=0,"Sin participaciones; ","")&amp;IF(SUMIFS(PARTICIPACIONES!$E$2:$E$601,PARTICIPACIONES!$A$2:$A$601,A110)&gt;1.0001,"Las participaciones suman más de 100 %; ",""))</f>
        <v/>
      </c>
    </row>
    <row r="111">
      <c r="J111" s="15" t="n"/>
      <c r="K111" s="15" t="n"/>
      <c r="L111" s="15" t="n"/>
      <c r="N111" s="15" t="n"/>
      <c r="O111" s="16" t="n"/>
      <c r="P111" s="16" t="n"/>
      <c r="Q111" s="16" t="n"/>
      <c r="W111" s="12">
        <f>IF(AND(K111&lt;&gt;"",L111&lt;&gt;""),ROUND((L111-K111)/30.4375,1),"")</f>
        <v/>
      </c>
      <c r="X111" s="12">
        <f>IF(OR(A111="",M111="En ejecución",L111=""),"",YEAR(L111))</f>
        <v/>
      </c>
      <c r="Y111" s="13">
        <f>IF(X111="","",IFERROR(VLOOKUP(X111,SMMLV!$A$2:$B$38,2,FALSE),""))</f>
        <v/>
      </c>
      <c r="Z111" s="17">
        <f>IF(OR(Y111="",P111=""),"",ROUND(P111/Y111,2))</f>
        <v/>
      </c>
      <c r="AA111" s="13">
        <f>IF(Z111="","",ROUND(Z111*SMMLV!$E$4,0))</f>
        <v/>
      </c>
      <c r="AB111" s="13">
        <f>IF(AND(M111="En ejecución",P111&lt;&gt;"",Q111&lt;&gt;""),MAX(P111-Q111,0),"")</f>
        <v/>
      </c>
      <c r="AC111" s="12">
        <f>IF(A111="","",IF(B111="","Falta número de contrato; ","")&amp;IF(C111="","Falta entidad; ","")&amp;IF(E111="","Falta objeto; ","")&amp;IF(F111="","Falta especialidad; ","")&amp;IF(K111="","Falta fecha de inicio (recomendada); ","")&amp;IF(AND(M111&lt;&gt;"En ejecución",L111=""),"Falta fecha de terminación; ","")&amp;IF(AND(K111&lt;&gt;"",L111&lt;&gt;"",L111&lt;K111),"Terminación anterior al inicio; ","")&amp;IF(M111="","Falta estado; ","")&amp;IF(OR(P111="",P111&lt;=0),"Falta valor del contrato; ","")&amp;IF(AND(M111="En ejecución",Q111=""),"En ejecución sin valor ejecutado; ","")&amp;IF(AND(M111="En ejecución",L111&lt;&gt;"",L111&lt;TODAY()),"Dice en ejecución pero su terminación ya pasó; ","")&amp;IF(M111="En ejecución","En ejecución: no acredita experiencia; ","")&amp;IF(AND(M111&lt;&gt;"En ejecución",L111&lt;&gt;"",X111&lt;&gt;"",Y111=""),"El año no está en la hoja SMMLV; ","")&amp;IF(AND(B111&lt;&gt;"",COUNTIFS($B$2:$B$601,B111,$C$2:$C$601,C111)&gt;1),"Posible duplicado (mismo número y entidad); ","")&amp;IF(COUNTIF(PARTICIPACIONES!$A$2:$A$601,A111)=0,"Sin participaciones; ","")&amp;IF(SUMIFS(PARTICIPACIONES!$E$2:$E$601,PARTICIPACIONES!$A$2:$A$601,A111)&gt;1.0001,"Las participaciones suman más de 100 %; ",""))</f>
        <v/>
      </c>
    </row>
    <row r="112">
      <c r="J112" s="15" t="n"/>
      <c r="K112" s="15" t="n"/>
      <c r="L112" s="15" t="n"/>
      <c r="N112" s="15" t="n"/>
      <c r="O112" s="16" t="n"/>
      <c r="P112" s="16" t="n"/>
      <c r="Q112" s="16" t="n"/>
      <c r="W112" s="12">
        <f>IF(AND(K112&lt;&gt;"",L112&lt;&gt;""),ROUND((L112-K112)/30.4375,1),"")</f>
        <v/>
      </c>
      <c r="X112" s="12">
        <f>IF(OR(A112="",M112="En ejecución",L112=""),"",YEAR(L112))</f>
        <v/>
      </c>
      <c r="Y112" s="13">
        <f>IF(X112="","",IFERROR(VLOOKUP(X112,SMMLV!$A$2:$B$38,2,FALSE),""))</f>
        <v/>
      </c>
      <c r="Z112" s="17">
        <f>IF(OR(Y112="",P112=""),"",ROUND(P112/Y112,2))</f>
        <v/>
      </c>
      <c r="AA112" s="13">
        <f>IF(Z112="","",ROUND(Z112*SMMLV!$E$4,0))</f>
        <v/>
      </c>
      <c r="AB112" s="13">
        <f>IF(AND(M112="En ejecución",P112&lt;&gt;"",Q112&lt;&gt;""),MAX(P112-Q112,0),"")</f>
        <v/>
      </c>
      <c r="AC112" s="12">
        <f>IF(A112="","",IF(B112="","Falta número de contrato; ","")&amp;IF(C112="","Falta entidad; ","")&amp;IF(E112="","Falta objeto; ","")&amp;IF(F112="","Falta especialidad; ","")&amp;IF(K112="","Falta fecha de inicio (recomendada); ","")&amp;IF(AND(M112&lt;&gt;"En ejecución",L112=""),"Falta fecha de terminación; ","")&amp;IF(AND(K112&lt;&gt;"",L112&lt;&gt;"",L112&lt;K112),"Terminación anterior al inicio; ","")&amp;IF(M112="","Falta estado; ","")&amp;IF(OR(P112="",P112&lt;=0),"Falta valor del contrato; ","")&amp;IF(AND(M112="En ejecución",Q112=""),"En ejecución sin valor ejecutado; ","")&amp;IF(AND(M112="En ejecución",L112&lt;&gt;"",L112&lt;TODAY()),"Dice en ejecución pero su terminación ya pasó; ","")&amp;IF(M112="En ejecución","En ejecución: no acredita experiencia; ","")&amp;IF(AND(M112&lt;&gt;"En ejecución",L112&lt;&gt;"",X112&lt;&gt;"",Y112=""),"El año no está en la hoja SMMLV; ","")&amp;IF(AND(B112&lt;&gt;"",COUNTIFS($B$2:$B$601,B112,$C$2:$C$601,C112)&gt;1),"Posible duplicado (mismo número y entidad); ","")&amp;IF(COUNTIF(PARTICIPACIONES!$A$2:$A$601,A112)=0,"Sin participaciones; ","")&amp;IF(SUMIFS(PARTICIPACIONES!$E$2:$E$601,PARTICIPACIONES!$A$2:$A$601,A112)&gt;1.0001,"Las participaciones suman más de 100 %; ",""))</f>
        <v/>
      </c>
    </row>
    <row r="113">
      <c r="J113" s="15" t="n"/>
      <c r="K113" s="15" t="n"/>
      <c r="L113" s="15" t="n"/>
      <c r="N113" s="15" t="n"/>
      <c r="O113" s="16" t="n"/>
      <c r="P113" s="16" t="n"/>
      <c r="Q113" s="16" t="n"/>
      <c r="W113" s="12">
        <f>IF(AND(K113&lt;&gt;"",L113&lt;&gt;""),ROUND((L113-K113)/30.4375,1),"")</f>
        <v/>
      </c>
      <c r="X113" s="12">
        <f>IF(OR(A113="",M113="En ejecución",L113=""),"",YEAR(L113))</f>
        <v/>
      </c>
      <c r="Y113" s="13">
        <f>IF(X113="","",IFERROR(VLOOKUP(X113,SMMLV!$A$2:$B$38,2,FALSE),""))</f>
        <v/>
      </c>
      <c r="Z113" s="17">
        <f>IF(OR(Y113="",P113=""),"",ROUND(P113/Y113,2))</f>
        <v/>
      </c>
      <c r="AA113" s="13">
        <f>IF(Z113="","",ROUND(Z113*SMMLV!$E$4,0))</f>
        <v/>
      </c>
      <c r="AB113" s="13">
        <f>IF(AND(M113="En ejecución",P113&lt;&gt;"",Q113&lt;&gt;""),MAX(P113-Q113,0),"")</f>
        <v/>
      </c>
      <c r="AC113" s="12">
        <f>IF(A113="","",IF(B113="","Falta número de contrato; ","")&amp;IF(C113="","Falta entidad; ","")&amp;IF(E113="","Falta objeto; ","")&amp;IF(F113="","Falta especialidad; ","")&amp;IF(K113="","Falta fecha de inicio (recomendada); ","")&amp;IF(AND(M113&lt;&gt;"En ejecución",L113=""),"Falta fecha de terminación; ","")&amp;IF(AND(K113&lt;&gt;"",L113&lt;&gt;"",L113&lt;K113),"Terminación anterior al inicio; ","")&amp;IF(M113="","Falta estado; ","")&amp;IF(OR(P113="",P113&lt;=0),"Falta valor del contrato; ","")&amp;IF(AND(M113="En ejecución",Q113=""),"En ejecución sin valor ejecutado; ","")&amp;IF(AND(M113="En ejecución",L113&lt;&gt;"",L113&lt;TODAY()),"Dice en ejecución pero su terminación ya pasó; ","")&amp;IF(M113="En ejecución","En ejecución: no acredita experiencia; ","")&amp;IF(AND(M113&lt;&gt;"En ejecución",L113&lt;&gt;"",X113&lt;&gt;"",Y113=""),"El año no está en la hoja SMMLV; ","")&amp;IF(AND(B113&lt;&gt;"",COUNTIFS($B$2:$B$601,B113,$C$2:$C$601,C113)&gt;1),"Posible duplicado (mismo número y entidad); ","")&amp;IF(COUNTIF(PARTICIPACIONES!$A$2:$A$601,A113)=0,"Sin participaciones; ","")&amp;IF(SUMIFS(PARTICIPACIONES!$E$2:$E$601,PARTICIPACIONES!$A$2:$A$601,A113)&gt;1.0001,"Las participaciones suman más de 100 %; ",""))</f>
        <v/>
      </c>
    </row>
    <row r="114">
      <c r="J114" s="15" t="n"/>
      <c r="K114" s="15" t="n"/>
      <c r="L114" s="15" t="n"/>
      <c r="N114" s="15" t="n"/>
      <c r="O114" s="16" t="n"/>
      <c r="P114" s="16" t="n"/>
      <c r="Q114" s="16" t="n"/>
      <c r="W114" s="12">
        <f>IF(AND(K114&lt;&gt;"",L114&lt;&gt;""),ROUND((L114-K114)/30.4375,1),"")</f>
        <v/>
      </c>
      <c r="X114" s="12">
        <f>IF(OR(A114="",M114="En ejecución",L114=""),"",YEAR(L114))</f>
        <v/>
      </c>
      <c r="Y114" s="13">
        <f>IF(X114="","",IFERROR(VLOOKUP(X114,SMMLV!$A$2:$B$38,2,FALSE),""))</f>
        <v/>
      </c>
      <c r="Z114" s="17">
        <f>IF(OR(Y114="",P114=""),"",ROUND(P114/Y114,2))</f>
        <v/>
      </c>
      <c r="AA114" s="13">
        <f>IF(Z114="","",ROUND(Z114*SMMLV!$E$4,0))</f>
        <v/>
      </c>
      <c r="AB114" s="13">
        <f>IF(AND(M114="En ejecución",P114&lt;&gt;"",Q114&lt;&gt;""),MAX(P114-Q114,0),"")</f>
        <v/>
      </c>
      <c r="AC114" s="12">
        <f>IF(A114="","",IF(B114="","Falta número de contrato; ","")&amp;IF(C114="","Falta entidad; ","")&amp;IF(E114="","Falta objeto; ","")&amp;IF(F114="","Falta especialidad; ","")&amp;IF(K114="","Falta fecha de inicio (recomendada); ","")&amp;IF(AND(M114&lt;&gt;"En ejecución",L114=""),"Falta fecha de terminación; ","")&amp;IF(AND(K114&lt;&gt;"",L114&lt;&gt;"",L114&lt;K114),"Terminación anterior al inicio; ","")&amp;IF(M114="","Falta estado; ","")&amp;IF(OR(P114="",P114&lt;=0),"Falta valor del contrato; ","")&amp;IF(AND(M114="En ejecución",Q114=""),"En ejecución sin valor ejecutado; ","")&amp;IF(AND(M114="En ejecución",L114&lt;&gt;"",L114&lt;TODAY()),"Dice en ejecución pero su terminación ya pasó; ","")&amp;IF(M114="En ejecución","En ejecución: no acredita experiencia; ","")&amp;IF(AND(M114&lt;&gt;"En ejecución",L114&lt;&gt;"",X114&lt;&gt;"",Y114=""),"El año no está en la hoja SMMLV; ","")&amp;IF(AND(B114&lt;&gt;"",COUNTIFS($B$2:$B$601,B114,$C$2:$C$601,C114)&gt;1),"Posible duplicado (mismo número y entidad); ","")&amp;IF(COUNTIF(PARTICIPACIONES!$A$2:$A$601,A114)=0,"Sin participaciones; ","")&amp;IF(SUMIFS(PARTICIPACIONES!$E$2:$E$601,PARTICIPACIONES!$A$2:$A$601,A114)&gt;1.0001,"Las participaciones suman más de 100 %; ",""))</f>
        <v/>
      </c>
    </row>
    <row r="115">
      <c r="J115" s="15" t="n"/>
      <c r="K115" s="15" t="n"/>
      <c r="L115" s="15" t="n"/>
      <c r="N115" s="15" t="n"/>
      <c r="O115" s="16" t="n"/>
      <c r="P115" s="16" t="n"/>
      <c r="Q115" s="16" t="n"/>
      <c r="W115" s="12">
        <f>IF(AND(K115&lt;&gt;"",L115&lt;&gt;""),ROUND((L115-K115)/30.4375,1),"")</f>
        <v/>
      </c>
      <c r="X115" s="12">
        <f>IF(OR(A115="",M115="En ejecución",L115=""),"",YEAR(L115))</f>
        <v/>
      </c>
      <c r="Y115" s="13">
        <f>IF(X115="","",IFERROR(VLOOKUP(X115,SMMLV!$A$2:$B$38,2,FALSE),""))</f>
        <v/>
      </c>
      <c r="Z115" s="17">
        <f>IF(OR(Y115="",P115=""),"",ROUND(P115/Y115,2))</f>
        <v/>
      </c>
      <c r="AA115" s="13">
        <f>IF(Z115="","",ROUND(Z115*SMMLV!$E$4,0))</f>
        <v/>
      </c>
      <c r="AB115" s="13">
        <f>IF(AND(M115="En ejecución",P115&lt;&gt;"",Q115&lt;&gt;""),MAX(P115-Q115,0),"")</f>
        <v/>
      </c>
      <c r="AC115" s="12">
        <f>IF(A115="","",IF(B115="","Falta número de contrato; ","")&amp;IF(C115="","Falta entidad; ","")&amp;IF(E115="","Falta objeto; ","")&amp;IF(F115="","Falta especialidad; ","")&amp;IF(K115="","Falta fecha de inicio (recomendada); ","")&amp;IF(AND(M115&lt;&gt;"En ejecución",L115=""),"Falta fecha de terminación; ","")&amp;IF(AND(K115&lt;&gt;"",L115&lt;&gt;"",L115&lt;K115),"Terminación anterior al inicio; ","")&amp;IF(M115="","Falta estado; ","")&amp;IF(OR(P115="",P115&lt;=0),"Falta valor del contrato; ","")&amp;IF(AND(M115="En ejecución",Q115=""),"En ejecución sin valor ejecutado; ","")&amp;IF(AND(M115="En ejecución",L115&lt;&gt;"",L115&lt;TODAY()),"Dice en ejecución pero su terminación ya pasó; ","")&amp;IF(M115="En ejecución","En ejecución: no acredita experiencia; ","")&amp;IF(AND(M115&lt;&gt;"En ejecución",L115&lt;&gt;"",X115&lt;&gt;"",Y115=""),"El año no está en la hoja SMMLV; ","")&amp;IF(AND(B115&lt;&gt;"",COUNTIFS($B$2:$B$601,B115,$C$2:$C$601,C115)&gt;1),"Posible duplicado (mismo número y entidad); ","")&amp;IF(COUNTIF(PARTICIPACIONES!$A$2:$A$601,A115)=0,"Sin participaciones; ","")&amp;IF(SUMIFS(PARTICIPACIONES!$E$2:$E$601,PARTICIPACIONES!$A$2:$A$601,A115)&gt;1.0001,"Las participaciones suman más de 100 %; ",""))</f>
        <v/>
      </c>
    </row>
    <row r="116">
      <c r="J116" s="15" t="n"/>
      <c r="K116" s="15" t="n"/>
      <c r="L116" s="15" t="n"/>
      <c r="N116" s="15" t="n"/>
      <c r="O116" s="16" t="n"/>
      <c r="P116" s="16" t="n"/>
      <c r="Q116" s="16" t="n"/>
      <c r="W116" s="12">
        <f>IF(AND(K116&lt;&gt;"",L116&lt;&gt;""),ROUND((L116-K116)/30.4375,1),"")</f>
        <v/>
      </c>
      <c r="X116" s="12">
        <f>IF(OR(A116="",M116="En ejecución",L116=""),"",YEAR(L116))</f>
        <v/>
      </c>
      <c r="Y116" s="13">
        <f>IF(X116="","",IFERROR(VLOOKUP(X116,SMMLV!$A$2:$B$38,2,FALSE),""))</f>
        <v/>
      </c>
      <c r="Z116" s="17">
        <f>IF(OR(Y116="",P116=""),"",ROUND(P116/Y116,2))</f>
        <v/>
      </c>
      <c r="AA116" s="13">
        <f>IF(Z116="","",ROUND(Z116*SMMLV!$E$4,0))</f>
        <v/>
      </c>
      <c r="AB116" s="13">
        <f>IF(AND(M116="En ejecución",P116&lt;&gt;"",Q116&lt;&gt;""),MAX(P116-Q116,0),"")</f>
        <v/>
      </c>
      <c r="AC116" s="12">
        <f>IF(A116="","",IF(B116="","Falta número de contrato; ","")&amp;IF(C116="","Falta entidad; ","")&amp;IF(E116="","Falta objeto; ","")&amp;IF(F116="","Falta especialidad; ","")&amp;IF(K116="","Falta fecha de inicio (recomendada); ","")&amp;IF(AND(M116&lt;&gt;"En ejecución",L116=""),"Falta fecha de terminación; ","")&amp;IF(AND(K116&lt;&gt;"",L116&lt;&gt;"",L116&lt;K116),"Terminación anterior al inicio; ","")&amp;IF(M116="","Falta estado; ","")&amp;IF(OR(P116="",P116&lt;=0),"Falta valor del contrato; ","")&amp;IF(AND(M116="En ejecución",Q116=""),"En ejecución sin valor ejecutado; ","")&amp;IF(AND(M116="En ejecución",L116&lt;&gt;"",L116&lt;TODAY()),"Dice en ejecución pero su terminación ya pasó; ","")&amp;IF(M116="En ejecución","En ejecución: no acredita experiencia; ","")&amp;IF(AND(M116&lt;&gt;"En ejecución",L116&lt;&gt;"",X116&lt;&gt;"",Y116=""),"El año no está en la hoja SMMLV; ","")&amp;IF(AND(B116&lt;&gt;"",COUNTIFS($B$2:$B$601,B116,$C$2:$C$601,C116)&gt;1),"Posible duplicado (mismo número y entidad); ","")&amp;IF(COUNTIF(PARTICIPACIONES!$A$2:$A$601,A116)=0,"Sin participaciones; ","")&amp;IF(SUMIFS(PARTICIPACIONES!$E$2:$E$601,PARTICIPACIONES!$A$2:$A$601,A116)&gt;1.0001,"Las participaciones suman más de 100 %; ",""))</f>
        <v/>
      </c>
    </row>
    <row r="117">
      <c r="J117" s="15" t="n"/>
      <c r="K117" s="15" t="n"/>
      <c r="L117" s="15" t="n"/>
      <c r="N117" s="15" t="n"/>
      <c r="O117" s="16" t="n"/>
      <c r="P117" s="16" t="n"/>
      <c r="Q117" s="16" t="n"/>
      <c r="W117" s="12">
        <f>IF(AND(K117&lt;&gt;"",L117&lt;&gt;""),ROUND((L117-K117)/30.4375,1),"")</f>
        <v/>
      </c>
      <c r="X117" s="12">
        <f>IF(OR(A117="",M117="En ejecución",L117=""),"",YEAR(L117))</f>
        <v/>
      </c>
      <c r="Y117" s="13">
        <f>IF(X117="","",IFERROR(VLOOKUP(X117,SMMLV!$A$2:$B$38,2,FALSE),""))</f>
        <v/>
      </c>
      <c r="Z117" s="17">
        <f>IF(OR(Y117="",P117=""),"",ROUND(P117/Y117,2))</f>
        <v/>
      </c>
      <c r="AA117" s="13">
        <f>IF(Z117="","",ROUND(Z117*SMMLV!$E$4,0))</f>
        <v/>
      </c>
      <c r="AB117" s="13">
        <f>IF(AND(M117="En ejecución",P117&lt;&gt;"",Q117&lt;&gt;""),MAX(P117-Q117,0),"")</f>
        <v/>
      </c>
      <c r="AC117" s="12">
        <f>IF(A117="","",IF(B117="","Falta número de contrato; ","")&amp;IF(C117="","Falta entidad; ","")&amp;IF(E117="","Falta objeto; ","")&amp;IF(F117="","Falta especialidad; ","")&amp;IF(K117="","Falta fecha de inicio (recomendada); ","")&amp;IF(AND(M117&lt;&gt;"En ejecución",L117=""),"Falta fecha de terminación; ","")&amp;IF(AND(K117&lt;&gt;"",L117&lt;&gt;"",L117&lt;K117),"Terminación anterior al inicio; ","")&amp;IF(M117="","Falta estado; ","")&amp;IF(OR(P117="",P117&lt;=0),"Falta valor del contrato; ","")&amp;IF(AND(M117="En ejecución",Q117=""),"En ejecución sin valor ejecutado; ","")&amp;IF(AND(M117="En ejecución",L117&lt;&gt;"",L117&lt;TODAY()),"Dice en ejecución pero su terminación ya pasó; ","")&amp;IF(M117="En ejecución","En ejecución: no acredita experiencia; ","")&amp;IF(AND(M117&lt;&gt;"En ejecución",L117&lt;&gt;"",X117&lt;&gt;"",Y117=""),"El año no está en la hoja SMMLV; ","")&amp;IF(AND(B117&lt;&gt;"",COUNTIFS($B$2:$B$601,B117,$C$2:$C$601,C117)&gt;1),"Posible duplicado (mismo número y entidad); ","")&amp;IF(COUNTIF(PARTICIPACIONES!$A$2:$A$601,A117)=0,"Sin participaciones; ","")&amp;IF(SUMIFS(PARTICIPACIONES!$E$2:$E$601,PARTICIPACIONES!$A$2:$A$601,A117)&gt;1.0001,"Las participaciones suman más de 100 %; ",""))</f>
        <v/>
      </c>
    </row>
    <row r="118">
      <c r="J118" s="15" t="n"/>
      <c r="K118" s="15" t="n"/>
      <c r="L118" s="15" t="n"/>
      <c r="N118" s="15" t="n"/>
      <c r="O118" s="16" t="n"/>
      <c r="P118" s="16" t="n"/>
      <c r="Q118" s="16" t="n"/>
      <c r="W118" s="12">
        <f>IF(AND(K118&lt;&gt;"",L118&lt;&gt;""),ROUND((L118-K118)/30.4375,1),"")</f>
        <v/>
      </c>
      <c r="X118" s="12">
        <f>IF(OR(A118="",M118="En ejecución",L118=""),"",YEAR(L118))</f>
        <v/>
      </c>
      <c r="Y118" s="13">
        <f>IF(X118="","",IFERROR(VLOOKUP(X118,SMMLV!$A$2:$B$38,2,FALSE),""))</f>
        <v/>
      </c>
      <c r="Z118" s="17">
        <f>IF(OR(Y118="",P118=""),"",ROUND(P118/Y118,2))</f>
        <v/>
      </c>
      <c r="AA118" s="13">
        <f>IF(Z118="","",ROUND(Z118*SMMLV!$E$4,0))</f>
        <v/>
      </c>
      <c r="AB118" s="13">
        <f>IF(AND(M118="En ejecución",P118&lt;&gt;"",Q118&lt;&gt;""),MAX(P118-Q118,0),"")</f>
        <v/>
      </c>
      <c r="AC118" s="12">
        <f>IF(A118="","",IF(B118="","Falta número de contrato; ","")&amp;IF(C118="","Falta entidad; ","")&amp;IF(E118="","Falta objeto; ","")&amp;IF(F118="","Falta especialidad; ","")&amp;IF(K118="","Falta fecha de inicio (recomendada); ","")&amp;IF(AND(M118&lt;&gt;"En ejecución",L118=""),"Falta fecha de terminación; ","")&amp;IF(AND(K118&lt;&gt;"",L118&lt;&gt;"",L118&lt;K118),"Terminación anterior al inicio; ","")&amp;IF(M118="","Falta estado; ","")&amp;IF(OR(P118="",P118&lt;=0),"Falta valor del contrato; ","")&amp;IF(AND(M118="En ejecución",Q118=""),"En ejecución sin valor ejecutado; ","")&amp;IF(AND(M118="En ejecución",L118&lt;&gt;"",L118&lt;TODAY()),"Dice en ejecución pero su terminación ya pasó; ","")&amp;IF(M118="En ejecución","En ejecución: no acredita experiencia; ","")&amp;IF(AND(M118&lt;&gt;"En ejecución",L118&lt;&gt;"",X118&lt;&gt;"",Y118=""),"El año no está en la hoja SMMLV; ","")&amp;IF(AND(B118&lt;&gt;"",COUNTIFS($B$2:$B$601,B118,$C$2:$C$601,C118)&gt;1),"Posible duplicado (mismo número y entidad); ","")&amp;IF(COUNTIF(PARTICIPACIONES!$A$2:$A$601,A118)=0,"Sin participaciones; ","")&amp;IF(SUMIFS(PARTICIPACIONES!$E$2:$E$601,PARTICIPACIONES!$A$2:$A$601,A118)&gt;1.0001,"Las participaciones suman más de 100 %; ",""))</f>
        <v/>
      </c>
    </row>
    <row r="119">
      <c r="J119" s="15" t="n"/>
      <c r="K119" s="15" t="n"/>
      <c r="L119" s="15" t="n"/>
      <c r="N119" s="15" t="n"/>
      <c r="O119" s="16" t="n"/>
      <c r="P119" s="16" t="n"/>
      <c r="Q119" s="16" t="n"/>
      <c r="W119" s="12">
        <f>IF(AND(K119&lt;&gt;"",L119&lt;&gt;""),ROUND((L119-K119)/30.4375,1),"")</f>
        <v/>
      </c>
      <c r="X119" s="12">
        <f>IF(OR(A119="",M119="En ejecución",L119=""),"",YEAR(L119))</f>
        <v/>
      </c>
      <c r="Y119" s="13">
        <f>IF(X119="","",IFERROR(VLOOKUP(X119,SMMLV!$A$2:$B$38,2,FALSE),""))</f>
        <v/>
      </c>
      <c r="Z119" s="17">
        <f>IF(OR(Y119="",P119=""),"",ROUND(P119/Y119,2))</f>
        <v/>
      </c>
      <c r="AA119" s="13">
        <f>IF(Z119="","",ROUND(Z119*SMMLV!$E$4,0))</f>
        <v/>
      </c>
      <c r="AB119" s="13">
        <f>IF(AND(M119="En ejecución",P119&lt;&gt;"",Q119&lt;&gt;""),MAX(P119-Q119,0),"")</f>
        <v/>
      </c>
      <c r="AC119" s="12">
        <f>IF(A119="","",IF(B119="","Falta número de contrato; ","")&amp;IF(C119="","Falta entidad; ","")&amp;IF(E119="","Falta objeto; ","")&amp;IF(F119="","Falta especialidad; ","")&amp;IF(K119="","Falta fecha de inicio (recomendada); ","")&amp;IF(AND(M119&lt;&gt;"En ejecución",L119=""),"Falta fecha de terminación; ","")&amp;IF(AND(K119&lt;&gt;"",L119&lt;&gt;"",L119&lt;K119),"Terminación anterior al inicio; ","")&amp;IF(M119="","Falta estado; ","")&amp;IF(OR(P119="",P119&lt;=0),"Falta valor del contrato; ","")&amp;IF(AND(M119="En ejecución",Q119=""),"En ejecución sin valor ejecutado; ","")&amp;IF(AND(M119="En ejecución",L119&lt;&gt;"",L119&lt;TODAY()),"Dice en ejecución pero su terminación ya pasó; ","")&amp;IF(M119="En ejecución","En ejecución: no acredita experiencia; ","")&amp;IF(AND(M119&lt;&gt;"En ejecución",L119&lt;&gt;"",X119&lt;&gt;"",Y119=""),"El año no está en la hoja SMMLV; ","")&amp;IF(AND(B119&lt;&gt;"",COUNTIFS($B$2:$B$601,B119,$C$2:$C$601,C119)&gt;1),"Posible duplicado (mismo número y entidad); ","")&amp;IF(COUNTIF(PARTICIPACIONES!$A$2:$A$601,A119)=0,"Sin participaciones; ","")&amp;IF(SUMIFS(PARTICIPACIONES!$E$2:$E$601,PARTICIPACIONES!$A$2:$A$601,A119)&gt;1.0001,"Las participaciones suman más de 100 %; ",""))</f>
        <v/>
      </c>
    </row>
    <row r="120">
      <c r="J120" s="15" t="n"/>
      <c r="K120" s="15" t="n"/>
      <c r="L120" s="15" t="n"/>
      <c r="N120" s="15" t="n"/>
      <c r="O120" s="16" t="n"/>
      <c r="P120" s="16" t="n"/>
      <c r="Q120" s="16" t="n"/>
      <c r="W120" s="12">
        <f>IF(AND(K120&lt;&gt;"",L120&lt;&gt;""),ROUND((L120-K120)/30.4375,1),"")</f>
        <v/>
      </c>
      <c r="X120" s="12">
        <f>IF(OR(A120="",M120="En ejecución",L120=""),"",YEAR(L120))</f>
        <v/>
      </c>
      <c r="Y120" s="13">
        <f>IF(X120="","",IFERROR(VLOOKUP(X120,SMMLV!$A$2:$B$38,2,FALSE),""))</f>
        <v/>
      </c>
      <c r="Z120" s="17">
        <f>IF(OR(Y120="",P120=""),"",ROUND(P120/Y120,2))</f>
        <v/>
      </c>
      <c r="AA120" s="13">
        <f>IF(Z120="","",ROUND(Z120*SMMLV!$E$4,0))</f>
        <v/>
      </c>
      <c r="AB120" s="13">
        <f>IF(AND(M120="En ejecución",P120&lt;&gt;"",Q120&lt;&gt;""),MAX(P120-Q120,0),"")</f>
        <v/>
      </c>
      <c r="AC120" s="12">
        <f>IF(A120="","",IF(B120="","Falta número de contrato; ","")&amp;IF(C120="","Falta entidad; ","")&amp;IF(E120="","Falta objeto; ","")&amp;IF(F120="","Falta especialidad; ","")&amp;IF(K120="","Falta fecha de inicio (recomendada); ","")&amp;IF(AND(M120&lt;&gt;"En ejecución",L120=""),"Falta fecha de terminación; ","")&amp;IF(AND(K120&lt;&gt;"",L120&lt;&gt;"",L120&lt;K120),"Terminación anterior al inicio; ","")&amp;IF(M120="","Falta estado; ","")&amp;IF(OR(P120="",P120&lt;=0),"Falta valor del contrato; ","")&amp;IF(AND(M120="En ejecución",Q120=""),"En ejecución sin valor ejecutado; ","")&amp;IF(AND(M120="En ejecución",L120&lt;&gt;"",L120&lt;TODAY()),"Dice en ejecución pero su terminación ya pasó; ","")&amp;IF(M120="En ejecución","En ejecución: no acredita experiencia; ","")&amp;IF(AND(M120&lt;&gt;"En ejecución",L120&lt;&gt;"",X120&lt;&gt;"",Y120=""),"El año no está en la hoja SMMLV; ","")&amp;IF(AND(B120&lt;&gt;"",COUNTIFS($B$2:$B$601,B120,$C$2:$C$601,C120)&gt;1),"Posible duplicado (mismo número y entidad); ","")&amp;IF(COUNTIF(PARTICIPACIONES!$A$2:$A$601,A120)=0,"Sin participaciones; ","")&amp;IF(SUMIFS(PARTICIPACIONES!$E$2:$E$601,PARTICIPACIONES!$A$2:$A$601,A120)&gt;1.0001,"Las participaciones suman más de 100 %; ",""))</f>
        <v/>
      </c>
    </row>
    <row r="121">
      <c r="J121" s="15" t="n"/>
      <c r="K121" s="15" t="n"/>
      <c r="L121" s="15" t="n"/>
      <c r="N121" s="15" t="n"/>
      <c r="O121" s="16" t="n"/>
      <c r="P121" s="16" t="n"/>
      <c r="Q121" s="16" t="n"/>
      <c r="W121" s="12">
        <f>IF(AND(K121&lt;&gt;"",L121&lt;&gt;""),ROUND((L121-K121)/30.4375,1),"")</f>
        <v/>
      </c>
      <c r="X121" s="12">
        <f>IF(OR(A121="",M121="En ejecución",L121=""),"",YEAR(L121))</f>
        <v/>
      </c>
      <c r="Y121" s="13">
        <f>IF(X121="","",IFERROR(VLOOKUP(X121,SMMLV!$A$2:$B$38,2,FALSE),""))</f>
        <v/>
      </c>
      <c r="Z121" s="17">
        <f>IF(OR(Y121="",P121=""),"",ROUND(P121/Y121,2))</f>
        <v/>
      </c>
      <c r="AA121" s="13">
        <f>IF(Z121="","",ROUND(Z121*SMMLV!$E$4,0))</f>
        <v/>
      </c>
      <c r="AB121" s="13">
        <f>IF(AND(M121="En ejecución",P121&lt;&gt;"",Q121&lt;&gt;""),MAX(P121-Q121,0),"")</f>
        <v/>
      </c>
      <c r="AC121" s="12">
        <f>IF(A121="","",IF(B121="","Falta número de contrato; ","")&amp;IF(C121="","Falta entidad; ","")&amp;IF(E121="","Falta objeto; ","")&amp;IF(F121="","Falta especialidad; ","")&amp;IF(K121="","Falta fecha de inicio (recomendada); ","")&amp;IF(AND(M121&lt;&gt;"En ejecución",L121=""),"Falta fecha de terminación; ","")&amp;IF(AND(K121&lt;&gt;"",L121&lt;&gt;"",L121&lt;K121),"Terminación anterior al inicio; ","")&amp;IF(M121="","Falta estado; ","")&amp;IF(OR(P121="",P121&lt;=0),"Falta valor del contrato; ","")&amp;IF(AND(M121="En ejecución",Q121=""),"En ejecución sin valor ejecutado; ","")&amp;IF(AND(M121="En ejecución",L121&lt;&gt;"",L121&lt;TODAY()),"Dice en ejecución pero su terminación ya pasó; ","")&amp;IF(M121="En ejecución","En ejecución: no acredita experiencia; ","")&amp;IF(AND(M121&lt;&gt;"En ejecución",L121&lt;&gt;"",X121&lt;&gt;"",Y121=""),"El año no está en la hoja SMMLV; ","")&amp;IF(AND(B121&lt;&gt;"",COUNTIFS($B$2:$B$601,B121,$C$2:$C$601,C121)&gt;1),"Posible duplicado (mismo número y entidad); ","")&amp;IF(COUNTIF(PARTICIPACIONES!$A$2:$A$601,A121)=0,"Sin participaciones; ","")&amp;IF(SUMIFS(PARTICIPACIONES!$E$2:$E$601,PARTICIPACIONES!$A$2:$A$601,A121)&gt;1.0001,"Las participaciones suman más de 100 %; ",""))</f>
        <v/>
      </c>
    </row>
    <row r="122">
      <c r="J122" s="15" t="n"/>
      <c r="K122" s="15" t="n"/>
      <c r="L122" s="15" t="n"/>
      <c r="N122" s="15" t="n"/>
      <c r="O122" s="16" t="n"/>
      <c r="P122" s="16" t="n"/>
      <c r="Q122" s="16" t="n"/>
      <c r="W122" s="12">
        <f>IF(AND(K122&lt;&gt;"",L122&lt;&gt;""),ROUND((L122-K122)/30.4375,1),"")</f>
        <v/>
      </c>
      <c r="X122" s="12">
        <f>IF(OR(A122="",M122="En ejecución",L122=""),"",YEAR(L122))</f>
        <v/>
      </c>
      <c r="Y122" s="13">
        <f>IF(X122="","",IFERROR(VLOOKUP(X122,SMMLV!$A$2:$B$38,2,FALSE),""))</f>
        <v/>
      </c>
      <c r="Z122" s="17">
        <f>IF(OR(Y122="",P122=""),"",ROUND(P122/Y122,2))</f>
        <v/>
      </c>
      <c r="AA122" s="13">
        <f>IF(Z122="","",ROUND(Z122*SMMLV!$E$4,0))</f>
        <v/>
      </c>
      <c r="AB122" s="13">
        <f>IF(AND(M122="En ejecución",P122&lt;&gt;"",Q122&lt;&gt;""),MAX(P122-Q122,0),"")</f>
        <v/>
      </c>
      <c r="AC122" s="12">
        <f>IF(A122="","",IF(B122="","Falta número de contrato; ","")&amp;IF(C122="","Falta entidad; ","")&amp;IF(E122="","Falta objeto; ","")&amp;IF(F122="","Falta especialidad; ","")&amp;IF(K122="","Falta fecha de inicio (recomendada); ","")&amp;IF(AND(M122&lt;&gt;"En ejecución",L122=""),"Falta fecha de terminación; ","")&amp;IF(AND(K122&lt;&gt;"",L122&lt;&gt;"",L122&lt;K122),"Terminación anterior al inicio; ","")&amp;IF(M122="","Falta estado; ","")&amp;IF(OR(P122="",P122&lt;=0),"Falta valor del contrato; ","")&amp;IF(AND(M122="En ejecución",Q122=""),"En ejecución sin valor ejecutado; ","")&amp;IF(AND(M122="En ejecución",L122&lt;&gt;"",L122&lt;TODAY()),"Dice en ejecución pero su terminación ya pasó; ","")&amp;IF(M122="En ejecución","En ejecución: no acredita experiencia; ","")&amp;IF(AND(M122&lt;&gt;"En ejecución",L122&lt;&gt;"",X122&lt;&gt;"",Y122=""),"El año no está en la hoja SMMLV; ","")&amp;IF(AND(B122&lt;&gt;"",COUNTIFS($B$2:$B$601,B122,$C$2:$C$601,C122)&gt;1),"Posible duplicado (mismo número y entidad); ","")&amp;IF(COUNTIF(PARTICIPACIONES!$A$2:$A$601,A122)=0,"Sin participaciones; ","")&amp;IF(SUMIFS(PARTICIPACIONES!$E$2:$E$601,PARTICIPACIONES!$A$2:$A$601,A122)&gt;1.0001,"Las participaciones suman más de 100 %; ",""))</f>
        <v/>
      </c>
    </row>
    <row r="123">
      <c r="J123" s="15" t="n"/>
      <c r="K123" s="15" t="n"/>
      <c r="L123" s="15" t="n"/>
      <c r="N123" s="15" t="n"/>
      <c r="O123" s="16" t="n"/>
      <c r="P123" s="16" t="n"/>
      <c r="Q123" s="16" t="n"/>
      <c r="W123" s="12">
        <f>IF(AND(K123&lt;&gt;"",L123&lt;&gt;""),ROUND((L123-K123)/30.4375,1),"")</f>
        <v/>
      </c>
      <c r="X123" s="12">
        <f>IF(OR(A123="",M123="En ejecución",L123=""),"",YEAR(L123))</f>
        <v/>
      </c>
      <c r="Y123" s="13">
        <f>IF(X123="","",IFERROR(VLOOKUP(X123,SMMLV!$A$2:$B$38,2,FALSE),""))</f>
        <v/>
      </c>
      <c r="Z123" s="17">
        <f>IF(OR(Y123="",P123=""),"",ROUND(P123/Y123,2))</f>
        <v/>
      </c>
      <c r="AA123" s="13">
        <f>IF(Z123="","",ROUND(Z123*SMMLV!$E$4,0))</f>
        <v/>
      </c>
      <c r="AB123" s="13">
        <f>IF(AND(M123="En ejecución",P123&lt;&gt;"",Q123&lt;&gt;""),MAX(P123-Q123,0),"")</f>
        <v/>
      </c>
      <c r="AC123" s="12">
        <f>IF(A123="","",IF(B123="","Falta número de contrato; ","")&amp;IF(C123="","Falta entidad; ","")&amp;IF(E123="","Falta objeto; ","")&amp;IF(F123="","Falta especialidad; ","")&amp;IF(K123="","Falta fecha de inicio (recomendada); ","")&amp;IF(AND(M123&lt;&gt;"En ejecución",L123=""),"Falta fecha de terminación; ","")&amp;IF(AND(K123&lt;&gt;"",L123&lt;&gt;"",L123&lt;K123),"Terminación anterior al inicio; ","")&amp;IF(M123="","Falta estado; ","")&amp;IF(OR(P123="",P123&lt;=0),"Falta valor del contrato; ","")&amp;IF(AND(M123="En ejecución",Q123=""),"En ejecución sin valor ejecutado; ","")&amp;IF(AND(M123="En ejecución",L123&lt;&gt;"",L123&lt;TODAY()),"Dice en ejecución pero su terminación ya pasó; ","")&amp;IF(M123="En ejecución","En ejecución: no acredita experiencia; ","")&amp;IF(AND(M123&lt;&gt;"En ejecución",L123&lt;&gt;"",X123&lt;&gt;"",Y123=""),"El año no está en la hoja SMMLV; ","")&amp;IF(AND(B123&lt;&gt;"",COUNTIFS($B$2:$B$601,B123,$C$2:$C$601,C123)&gt;1),"Posible duplicado (mismo número y entidad); ","")&amp;IF(COUNTIF(PARTICIPACIONES!$A$2:$A$601,A123)=0,"Sin participaciones; ","")&amp;IF(SUMIFS(PARTICIPACIONES!$E$2:$E$601,PARTICIPACIONES!$A$2:$A$601,A123)&gt;1.0001,"Las participaciones suman más de 100 %; ",""))</f>
        <v/>
      </c>
    </row>
    <row r="124">
      <c r="J124" s="15" t="n"/>
      <c r="K124" s="15" t="n"/>
      <c r="L124" s="15" t="n"/>
      <c r="N124" s="15" t="n"/>
      <c r="O124" s="16" t="n"/>
      <c r="P124" s="16" t="n"/>
      <c r="Q124" s="16" t="n"/>
      <c r="W124" s="12">
        <f>IF(AND(K124&lt;&gt;"",L124&lt;&gt;""),ROUND((L124-K124)/30.4375,1),"")</f>
        <v/>
      </c>
      <c r="X124" s="12">
        <f>IF(OR(A124="",M124="En ejecución",L124=""),"",YEAR(L124))</f>
        <v/>
      </c>
      <c r="Y124" s="13">
        <f>IF(X124="","",IFERROR(VLOOKUP(X124,SMMLV!$A$2:$B$38,2,FALSE),""))</f>
        <v/>
      </c>
      <c r="Z124" s="17">
        <f>IF(OR(Y124="",P124=""),"",ROUND(P124/Y124,2))</f>
        <v/>
      </c>
      <c r="AA124" s="13">
        <f>IF(Z124="","",ROUND(Z124*SMMLV!$E$4,0))</f>
        <v/>
      </c>
      <c r="AB124" s="13">
        <f>IF(AND(M124="En ejecución",P124&lt;&gt;"",Q124&lt;&gt;""),MAX(P124-Q124,0),"")</f>
        <v/>
      </c>
      <c r="AC124" s="12">
        <f>IF(A124="","",IF(B124="","Falta número de contrato; ","")&amp;IF(C124="","Falta entidad; ","")&amp;IF(E124="","Falta objeto; ","")&amp;IF(F124="","Falta especialidad; ","")&amp;IF(K124="","Falta fecha de inicio (recomendada); ","")&amp;IF(AND(M124&lt;&gt;"En ejecución",L124=""),"Falta fecha de terminación; ","")&amp;IF(AND(K124&lt;&gt;"",L124&lt;&gt;"",L124&lt;K124),"Terminación anterior al inicio; ","")&amp;IF(M124="","Falta estado; ","")&amp;IF(OR(P124="",P124&lt;=0),"Falta valor del contrato; ","")&amp;IF(AND(M124="En ejecución",Q124=""),"En ejecución sin valor ejecutado; ","")&amp;IF(AND(M124="En ejecución",L124&lt;&gt;"",L124&lt;TODAY()),"Dice en ejecución pero su terminación ya pasó; ","")&amp;IF(M124="En ejecución","En ejecución: no acredita experiencia; ","")&amp;IF(AND(M124&lt;&gt;"En ejecución",L124&lt;&gt;"",X124&lt;&gt;"",Y124=""),"El año no está en la hoja SMMLV; ","")&amp;IF(AND(B124&lt;&gt;"",COUNTIFS($B$2:$B$601,B124,$C$2:$C$601,C124)&gt;1),"Posible duplicado (mismo número y entidad); ","")&amp;IF(COUNTIF(PARTICIPACIONES!$A$2:$A$601,A124)=0,"Sin participaciones; ","")&amp;IF(SUMIFS(PARTICIPACIONES!$E$2:$E$601,PARTICIPACIONES!$A$2:$A$601,A124)&gt;1.0001,"Las participaciones suman más de 100 %; ",""))</f>
        <v/>
      </c>
    </row>
    <row r="125">
      <c r="J125" s="15" t="n"/>
      <c r="K125" s="15" t="n"/>
      <c r="L125" s="15" t="n"/>
      <c r="N125" s="15" t="n"/>
      <c r="O125" s="16" t="n"/>
      <c r="P125" s="16" t="n"/>
      <c r="Q125" s="16" t="n"/>
      <c r="W125" s="12">
        <f>IF(AND(K125&lt;&gt;"",L125&lt;&gt;""),ROUND((L125-K125)/30.4375,1),"")</f>
        <v/>
      </c>
      <c r="X125" s="12">
        <f>IF(OR(A125="",M125="En ejecución",L125=""),"",YEAR(L125))</f>
        <v/>
      </c>
      <c r="Y125" s="13">
        <f>IF(X125="","",IFERROR(VLOOKUP(X125,SMMLV!$A$2:$B$38,2,FALSE),""))</f>
        <v/>
      </c>
      <c r="Z125" s="17">
        <f>IF(OR(Y125="",P125=""),"",ROUND(P125/Y125,2))</f>
        <v/>
      </c>
      <c r="AA125" s="13">
        <f>IF(Z125="","",ROUND(Z125*SMMLV!$E$4,0))</f>
        <v/>
      </c>
      <c r="AB125" s="13">
        <f>IF(AND(M125="En ejecución",P125&lt;&gt;"",Q125&lt;&gt;""),MAX(P125-Q125,0),"")</f>
        <v/>
      </c>
      <c r="AC125" s="12">
        <f>IF(A125="","",IF(B125="","Falta número de contrato; ","")&amp;IF(C125="","Falta entidad; ","")&amp;IF(E125="","Falta objeto; ","")&amp;IF(F125="","Falta especialidad; ","")&amp;IF(K125="","Falta fecha de inicio (recomendada); ","")&amp;IF(AND(M125&lt;&gt;"En ejecución",L125=""),"Falta fecha de terminación; ","")&amp;IF(AND(K125&lt;&gt;"",L125&lt;&gt;"",L125&lt;K125),"Terminación anterior al inicio; ","")&amp;IF(M125="","Falta estado; ","")&amp;IF(OR(P125="",P125&lt;=0),"Falta valor del contrato; ","")&amp;IF(AND(M125="En ejecución",Q125=""),"En ejecución sin valor ejecutado; ","")&amp;IF(AND(M125="En ejecución",L125&lt;&gt;"",L125&lt;TODAY()),"Dice en ejecución pero su terminación ya pasó; ","")&amp;IF(M125="En ejecución","En ejecución: no acredita experiencia; ","")&amp;IF(AND(M125&lt;&gt;"En ejecución",L125&lt;&gt;"",X125&lt;&gt;"",Y125=""),"El año no está en la hoja SMMLV; ","")&amp;IF(AND(B125&lt;&gt;"",COUNTIFS($B$2:$B$601,B125,$C$2:$C$601,C125)&gt;1),"Posible duplicado (mismo número y entidad); ","")&amp;IF(COUNTIF(PARTICIPACIONES!$A$2:$A$601,A125)=0,"Sin participaciones; ","")&amp;IF(SUMIFS(PARTICIPACIONES!$E$2:$E$601,PARTICIPACIONES!$A$2:$A$601,A125)&gt;1.0001,"Las participaciones suman más de 100 %; ",""))</f>
        <v/>
      </c>
    </row>
    <row r="126">
      <c r="J126" s="15" t="n"/>
      <c r="K126" s="15" t="n"/>
      <c r="L126" s="15" t="n"/>
      <c r="N126" s="15" t="n"/>
      <c r="O126" s="16" t="n"/>
      <c r="P126" s="16" t="n"/>
      <c r="Q126" s="16" t="n"/>
      <c r="W126" s="12">
        <f>IF(AND(K126&lt;&gt;"",L126&lt;&gt;""),ROUND((L126-K126)/30.4375,1),"")</f>
        <v/>
      </c>
      <c r="X126" s="12">
        <f>IF(OR(A126="",M126="En ejecución",L126=""),"",YEAR(L126))</f>
        <v/>
      </c>
      <c r="Y126" s="13">
        <f>IF(X126="","",IFERROR(VLOOKUP(X126,SMMLV!$A$2:$B$38,2,FALSE),""))</f>
        <v/>
      </c>
      <c r="Z126" s="17">
        <f>IF(OR(Y126="",P126=""),"",ROUND(P126/Y126,2))</f>
        <v/>
      </c>
      <c r="AA126" s="13">
        <f>IF(Z126="","",ROUND(Z126*SMMLV!$E$4,0))</f>
        <v/>
      </c>
      <c r="AB126" s="13">
        <f>IF(AND(M126="En ejecución",P126&lt;&gt;"",Q126&lt;&gt;""),MAX(P126-Q126,0),"")</f>
        <v/>
      </c>
      <c r="AC126" s="12">
        <f>IF(A126="","",IF(B126="","Falta número de contrato; ","")&amp;IF(C126="","Falta entidad; ","")&amp;IF(E126="","Falta objeto; ","")&amp;IF(F126="","Falta especialidad; ","")&amp;IF(K126="","Falta fecha de inicio (recomendada); ","")&amp;IF(AND(M126&lt;&gt;"En ejecución",L126=""),"Falta fecha de terminación; ","")&amp;IF(AND(K126&lt;&gt;"",L126&lt;&gt;"",L126&lt;K126),"Terminación anterior al inicio; ","")&amp;IF(M126="","Falta estado; ","")&amp;IF(OR(P126="",P126&lt;=0),"Falta valor del contrato; ","")&amp;IF(AND(M126="En ejecución",Q126=""),"En ejecución sin valor ejecutado; ","")&amp;IF(AND(M126="En ejecución",L126&lt;&gt;"",L126&lt;TODAY()),"Dice en ejecución pero su terminación ya pasó; ","")&amp;IF(M126="En ejecución","En ejecución: no acredita experiencia; ","")&amp;IF(AND(M126&lt;&gt;"En ejecución",L126&lt;&gt;"",X126&lt;&gt;"",Y126=""),"El año no está en la hoja SMMLV; ","")&amp;IF(AND(B126&lt;&gt;"",COUNTIFS($B$2:$B$601,B126,$C$2:$C$601,C126)&gt;1),"Posible duplicado (mismo número y entidad); ","")&amp;IF(COUNTIF(PARTICIPACIONES!$A$2:$A$601,A126)=0,"Sin participaciones; ","")&amp;IF(SUMIFS(PARTICIPACIONES!$E$2:$E$601,PARTICIPACIONES!$A$2:$A$601,A126)&gt;1.0001,"Las participaciones suman más de 100 %; ",""))</f>
        <v/>
      </c>
    </row>
    <row r="127">
      <c r="J127" s="15" t="n"/>
      <c r="K127" s="15" t="n"/>
      <c r="L127" s="15" t="n"/>
      <c r="N127" s="15" t="n"/>
      <c r="O127" s="16" t="n"/>
      <c r="P127" s="16" t="n"/>
      <c r="Q127" s="16" t="n"/>
      <c r="W127" s="12">
        <f>IF(AND(K127&lt;&gt;"",L127&lt;&gt;""),ROUND((L127-K127)/30.4375,1),"")</f>
        <v/>
      </c>
      <c r="X127" s="12">
        <f>IF(OR(A127="",M127="En ejecución",L127=""),"",YEAR(L127))</f>
        <v/>
      </c>
      <c r="Y127" s="13">
        <f>IF(X127="","",IFERROR(VLOOKUP(X127,SMMLV!$A$2:$B$38,2,FALSE),""))</f>
        <v/>
      </c>
      <c r="Z127" s="17">
        <f>IF(OR(Y127="",P127=""),"",ROUND(P127/Y127,2))</f>
        <v/>
      </c>
      <c r="AA127" s="13">
        <f>IF(Z127="","",ROUND(Z127*SMMLV!$E$4,0))</f>
        <v/>
      </c>
      <c r="AB127" s="13">
        <f>IF(AND(M127="En ejecución",P127&lt;&gt;"",Q127&lt;&gt;""),MAX(P127-Q127,0),"")</f>
        <v/>
      </c>
      <c r="AC127" s="12">
        <f>IF(A127="","",IF(B127="","Falta número de contrato; ","")&amp;IF(C127="","Falta entidad; ","")&amp;IF(E127="","Falta objeto; ","")&amp;IF(F127="","Falta especialidad; ","")&amp;IF(K127="","Falta fecha de inicio (recomendada); ","")&amp;IF(AND(M127&lt;&gt;"En ejecución",L127=""),"Falta fecha de terminación; ","")&amp;IF(AND(K127&lt;&gt;"",L127&lt;&gt;"",L127&lt;K127),"Terminación anterior al inicio; ","")&amp;IF(M127="","Falta estado; ","")&amp;IF(OR(P127="",P127&lt;=0),"Falta valor del contrato; ","")&amp;IF(AND(M127="En ejecución",Q127=""),"En ejecución sin valor ejecutado; ","")&amp;IF(AND(M127="En ejecución",L127&lt;&gt;"",L127&lt;TODAY()),"Dice en ejecución pero su terminación ya pasó; ","")&amp;IF(M127="En ejecución","En ejecución: no acredita experiencia; ","")&amp;IF(AND(M127&lt;&gt;"En ejecución",L127&lt;&gt;"",X127&lt;&gt;"",Y127=""),"El año no está en la hoja SMMLV; ","")&amp;IF(AND(B127&lt;&gt;"",COUNTIFS($B$2:$B$601,B127,$C$2:$C$601,C127)&gt;1),"Posible duplicado (mismo número y entidad); ","")&amp;IF(COUNTIF(PARTICIPACIONES!$A$2:$A$601,A127)=0,"Sin participaciones; ","")&amp;IF(SUMIFS(PARTICIPACIONES!$E$2:$E$601,PARTICIPACIONES!$A$2:$A$601,A127)&gt;1.0001,"Las participaciones suman más de 100 %; ",""))</f>
        <v/>
      </c>
    </row>
    <row r="128">
      <c r="J128" s="15" t="n"/>
      <c r="K128" s="15" t="n"/>
      <c r="L128" s="15" t="n"/>
      <c r="N128" s="15" t="n"/>
      <c r="O128" s="16" t="n"/>
      <c r="P128" s="16" t="n"/>
      <c r="Q128" s="16" t="n"/>
      <c r="W128" s="12">
        <f>IF(AND(K128&lt;&gt;"",L128&lt;&gt;""),ROUND((L128-K128)/30.4375,1),"")</f>
        <v/>
      </c>
      <c r="X128" s="12">
        <f>IF(OR(A128="",M128="En ejecución",L128=""),"",YEAR(L128))</f>
        <v/>
      </c>
      <c r="Y128" s="13">
        <f>IF(X128="","",IFERROR(VLOOKUP(X128,SMMLV!$A$2:$B$38,2,FALSE),""))</f>
        <v/>
      </c>
      <c r="Z128" s="17">
        <f>IF(OR(Y128="",P128=""),"",ROUND(P128/Y128,2))</f>
        <v/>
      </c>
      <c r="AA128" s="13">
        <f>IF(Z128="","",ROUND(Z128*SMMLV!$E$4,0))</f>
        <v/>
      </c>
      <c r="AB128" s="13">
        <f>IF(AND(M128="En ejecución",P128&lt;&gt;"",Q128&lt;&gt;""),MAX(P128-Q128,0),"")</f>
        <v/>
      </c>
      <c r="AC128" s="12">
        <f>IF(A128="","",IF(B128="","Falta número de contrato; ","")&amp;IF(C128="","Falta entidad; ","")&amp;IF(E128="","Falta objeto; ","")&amp;IF(F128="","Falta especialidad; ","")&amp;IF(K128="","Falta fecha de inicio (recomendada); ","")&amp;IF(AND(M128&lt;&gt;"En ejecución",L128=""),"Falta fecha de terminación; ","")&amp;IF(AND(K128&lt;&gt;"",L128&lt;&gt;"",L128&lt;K128),"Terminación anterior al inicio; ","")&amp;IF(M128="","Falta estado; ","")&amp;IF(OR(P128="",P128&lt;=0),"Falta valor del contrato; ","")&amp;IF(AND(M128="En ejecución",Q128=""),"En ejecución sin valor ejecutado; ","")&amp;IF(AND(M128="En ejecución",L128&lt;&gt;"",L128&lt;TODAY()),"Dice en ejecución pero su terminación ya pasó; ","")&amp;IF(M128="En ejecución","En ejecución: no acredita experiencia; ","")&amp;IF(AND(M128&lt;&gt;"En ejecución",L128&lt;&gt;"",X128&lt;&gt;"",Y128=""),"El año no está en la hoja SMMLV; ","")&amp;IF(AND(B128&lt;&gt;"",COUNTIFS($B$2:$B$601,B128,$C$2:$C$601,C128)&gt;1),"Posible duplicado (mismo número y entidad); ","")&amp;IF(COUNTIF(PARTICIPACIONES!$A$2:$A$601,A128)=0,"Sin participaciones; ","")&amp;IF(SUMIFS(PARTICIPACIONES!$E$2:$E$601,PARTICIPACIONES!$A$2:$A$601,A128)&gt;1.0001,"Las participaciones suman más de 100 %; ",""))</f>
        <v/>
      </c>
    </row>
    <row r="129">
      <c r="J129" s="15" t="n"/>
      <c r="K129" s="15" t="n"/>
      <c r="L129" s="15" t="n"/>
      <c r="N129" s="15" t="n"/>
      <c r="O129" s="16" t="n"/>
      <c r="P129" s="16" t="n"/>
      <c r="Q129" s="16" t="n"/>
      <c r="W129" s="12">
        <f>IF(AND(K129&lt;&gt;"",L129&lt;&gt;""),ROUND((L129-K129)/30.4375,1),"")</f>
        <v/>
      </c>
      <c r="X129" s="12">
        <f>IF(OR(A129="",M129="En ejecución",L129=""),"",YEAR(L129))</f>
        <v/>
      </c>
      <c r="Y129" s="13">
        <f>IF(X129="","",IFERROR(VLOOKUP(X129,SMMLV!$A$2:$B$38,2,FALSE),""))</f>
        <v/>
      </c>
      <c r="Z129" s="17">
        <f>IF(OR(Y129="",P129=""),"",ROUND(P129/Y129,2))</f>
        <v/>
      </c>
      <c r="AA129" s="13">
        <f>IF(Z129="","",ROUND(Z129*SMMLV!$E$4,0))</f>
        <v/>
      </c>
      <c r="AB129" s="13">
        <f>IF(AND(M129="En ejecución",P129&lt;&gt;"",Q129&lt;&gt;""),MAX(P129-Q129,0),"")</f>
        <v/>
      </c>
      <c r="AC129" s="12">
        <f>IF(A129="","",IF(B129="","Falta número de contrato; ","")&amp;IF(C129="","Falta entidad; ","")&amp;IF(E129="","Falta objeto; ","")&amp;IF(F129="","Falta especialidad; ","")&amp;IF(K129="","Falta fecha de inicio (recomendada); ","")&amp;IF(AND(M129&lt;&gt;"En ejecución",L129=""),"Falta fecha de terminación; ","")&amp;IF(AND(K129&lt;&gt;"",L129&lt;&gt;"",L129&lt;K129),"Terminación anterior al inicio; ","")&amp;IF(M129="","Falta estado; ","")&amp;IF(OR(P129="",P129&lt;=0),"Falta valor del contrato; ","")&amp;IF(AND(M129="En ejecución",Q129=""),"En ejecución sin valor ejecutado; ","")&amp;IF(AND(M129="En ejecución",L129&lt;&gt;"",L129&lt;TODAY()),"Dice en ejecución pero su terminación ya pasó; ","")&amp;IF(M129="En ejecución","En ejecución: no acredita experiencia; ","")&amp;IF(AND(M129&lt;&gt;"En ejecución",L129&lt;&gt;"",X129&lt;&gt;"",Y129=""),"El año no está en la hoja SMMLV; ","")&amp;IF(AND(B129&lt;&gt;"",COUNTIFS($B$2:$B$601,B129,$C$2:$C$601,C129)&gt;1),"Posible duplicado (mismo número y entidad); ","")&amp;IF(COUNTIF(PARTICIPACIONES!$A$2:$A$601,A129)=0,"Sin participaciones; ","")&amp;IF(SUMIFS(PARTICIPACIONES!$E$2:$E$601,PARTICIPACIONES!$A$2:$A$601,A129)&gt;1.0001,"Las participaciones suman más de 100 %; ",""))</f>
        <v/>
      </c>
    </row>
    <row r="130">
      <c r="J130" s="15" t="n"/>
      <c r="K130" s="15" t="n"/>
      <c r="L130" s="15" t="n"/>
      <c r="N130" s="15" t="n"/>
      <c r="O130" s="16" t="n"/>
      <c r="P130" s="16" t="n"/>
      <c r="Q130" s="16" t="n"/>
      <c r="W130" s="12">
        <f>IF(AND(K130&lt;&gt;"",L130&lt;&gt;""),ROUND((L130-K130)/30.4375,1),"")</f>
        <v/>
      </c>
      <c r="X130" s="12">
        <f>IF(OR(A130="",M130="En ejecución",L130=""),"",YEAR(L130))</f>
        <v/>
      </c>
      <c r="Y130" s="13">
        <f>IF(X130="","",IFERROR(VLOOKUP(X130,SMMLV!$A$2:$B$38,2,FALSE),""))</f>
        <v/>
      </c>
      <c r="Z130" s="17">
        <f>IF(OR(Y130="",P130=""),"",ROUND(P130/Y130,2))</f>
        <v/>
      </c>
      <c r="AA130" s="13">
        <f>IF(Z130="","",ROUND(Z130*SMMLV!$E$4,0))</f>
        <v/>
      </c>
      <c r="AB130" s="13">
        <f>IF(AND(M130="En ejecución",P130&lt;&gt;"",Q130&lt;&gt;""),MAX(P130-Q130,0),"")</f>
        <v/>
      </c>
      <c r="AC130" s="12">
        <f>IF(A130="","",IF(B130="","Falta número de contrato; ","")&amp;IF(C130="","Falta entidad; ","")&amp;IF(E130="","Falta objeto; ","")&amp;IF(F130="","Falta especialidad; ","")&amp;IF(K130="","Falta fecha de inicio (recomendada); ","")&amp;IF(AND(M130&lt;&gt;"En ejecución",L130=""),"Falta fecha de terminación; ","")&amp;IF(AND(K130&lt;&gt;"",L130&lt;&gt;"",L130&lt;K130),"Terminación anterior al inicio; ","")&amp;IF(M130="","Falta estado; ","")&amp;IF(OR(P130="",P130&lt;=0),"Falta valor del contrato; ","")&amp;IF(AND(M130="En ejecución",Q130=""),"En ejecución sin valor ejecutado; ","")&amp;IF(AND(M130="En ejecución",L130&lt;&gt;"",L130&lt;TODAY()),"Dice en ejecución pero su terminación ya pasó; ","")&amp;IF(M130="En ejecución","En ejecución: no acredita experiencia; ","")&amp;IF(AND(M130&lt;&gt;"En ejecución",L130&lt;&gt;"",X130&lt;&gt;"",Y130=""),"El año no está en la hoja SMMLV; ","")&amp;IF(AND(B130&lt;&gt;"",COUNTIFS($B$2:$B$601,B130,$C$2:$C$601,C130)&gt;1),"Posible duplicado (mismo número y entidad); ","")&amp;IF(COUNTIF(PARTICIPACIONES!$A$2:$A$601,A130)=0,"Sin participaciones; ","")&amp;IF(SUMIFS(PARTICIPACIONES!$E$2:$E$601,PARTICIPACIONES!$A$2:$A$601,A130)&gt;1.0001,"Las participaciones suman más de 100 %; ",""))</f>
        <v/>
      </c>
    </row>
    <row r="131">
      <c r="J131" s="15" t="n"/>
      <c r="K131" s="15" t="n"/>
      <c r="L131" s="15" t="n"/>
      <c r="N131" s="15" t="n"/>
      <c r="O131" s="16" t="n"/>
      <c r="P131" s="16" t="n"/>
      <c r="Q131" s="16" t="n"/>
      <c r="W131" s="12">
        <f>IF(AND(K131&lt;&gt;"",L131&lt;&gt;""),ROUND((L131-K131)/30.4375,1),"")</f>
        <v/>
      </c>
      <c r="X131" s="12">
        <f>IF(OR(A131="",M131="En ejecución",L131=""),"",YEAR(L131))</f>
        <v/>
      </c>
      <c r="Y131" s="13">
        <f>IF(X131="","",IFERROR(VLOOKUP(X131,SMMLV!$A$2:$B$38,2,FALSE),""))</f>
        <v/>
      </c>
      <c r="Z131" s="17">
        <f>IF(OR(Y131="",P131=""),"",ROUND(P131/Y131,2))</f>
        <v/>
      </c>
      <c r="AA131" s="13">
        <f>IF(Z131="","",ROUND(Z131*SMMLV!$E$4,0))</f>
        <v/>
      </c>
      <c r="AB131" s="13">
        <f>IF(AND(M131="En ejecución",P131&lt;&gt;"",Q131&lt;&gt;""),MAX(P131-Q131,0),"")</f>
        <v/>
      </c>
      <c r="AC131" s="12">
        <f>IF(A131="","",IF(B131="","Falta número de contrato; ","")&amp;IF(C131="","Falta entidad; ","")&amp;IF(E131="","Falta objeto; ","")&amp;IF(F131="","Falta especialidad; ","")&amp;IF(K131="","Falta fecha de inicio (recomendada); ","")&amp;IF(AND(M131&lt;&gt;"En ejecución",L131=""),"Falta fecha de terminación; ","")&amp;IF(AND(K131&lt;&gt;"",L131&lt;&gt;"",L131&lt;K131),"Terminación anterior al inicio; ","")&amp;IF(M131="","Falta estado; ","")&amp;IF(OR(P131="",P131&lt;=0),"Falta valor del contrato; ","")&amp;IF(AND(M131="En ejecución",Q131=""),"En ejecución sin valor ejecutado; ","")&amp;IF(AND(M131="En ejecución",L131&lt;&gt;"",L131&lt;TODAY()),"Dice en ejecución pero su terminación ya pasó; ","")&amp;IF(M131="En ejecución","En ejecución: no acredita experiencia; ","")&amp;IF(AND(M131&lt;&gt;"En ejecución",L131&lt;&gt;"",X131&lt;&gt;"",Y131=""),"El año no está en la hoja SMMLV; ","")&amp;IF(AND(B131&lt;&gt;"",COUNTIFS($B$2:$B$601,B131,$C$2:$C$601,C131)&gt;1),"Posible duplicado (mismo número y entidad); ","")&amp;IF(COUNTIF(PARTICIPACIONES!$A$2:$A$601,A131)=0,"Sin participaciones; ","")&amp;IF(SUMIFS(PARTICIPACIONES!$E$2:$E$601,PARTICIPACIONES!$A$2:$A$601,A131)&gt;1.0001,"Las participaciones suman más de 100 %; ",""))</f>
        <v/>
      </c>
    </row>
    <row r="132">
      <c r="J132" s="15" t="n"/>
      <c r="K132" s="15" t="n"/>
      <c r="L132" s="15" t="n"/>
      <c r="N132" s="15" t="n"/>
      <c r="O132" s="16" t="n"/>
      <c r="P132" s="16" t="n"/>
      <c r="Q132" s="16" t="n"/>
      <c r="W132" s="12">
        <f>IF(AND(K132&lt;&gt;"",L132&lt;&gt;""),ROUND((L132-K132)/30.4375,1),"")</f>
        <v/>
      </c>
      <c r="X132" s="12">
        <f>IF(OR(A132="",M132="En ejecución",L132=""),"",YEAR(L132))</f>
        <v/>
      </c>
      <c r="Y132" s="13">
        <f>IF(X132="","",IFERROR(VLOOKUP(X132,SMMLV!$A$2:$B$38,2,FALSE),""))</f>
        <v/>
      </c>
      <c r="Z132" s="17">
        <f>IF(OR(Y132="",P132=""),"",ROUND(P132/Y132,2))</f>
        <v/>
      </c>
      <c r="AA132" s="13">
        <f>IF(Z132="","",ROUND(Z132*SMMLV!$E$4,0))</f>
        <v/>
      </c>
      <c r="AB132" s="13">
        <f>IF(AND(M132="En ejecución",P132&lt;&gt;"",Q132&lt;&gt;""),MAX(P132-Q132,0),"")</f>
        <v/>
      </c>
      <c r="AC132" s="12">
        <f>IF(A132="","",IF(B132="","Falta número de contrato; ","")&amp;IF(C132="","Falta entidad; ","")&amp;IF(E132="","Falta objeto; ","")&amp;IF(F132="","Falta especialidad; ","")&amp;IF(K132="","Falta fecha de inicio (recomendada); ","")&amp;IF(AND(M132&lt;&gt;"En ejecución",L132=""),"Falta fecha de terminación; ","")&amp;IF(AND(K132&lt;&gt;"",L132&lt;&gt;"",L132&lt;K132),"Terminación anterior al inicio; ","")&amp;IF(M132="","Falta estado; ","")&amp;IF(OR(P132="",P132&lt;=0),"Falta valor del contrato; ","")&amp;IF(AND(M132="En ejecución",Q132=""),"En ejecución sin valor ejecutado; ","")&amp;IF(AND(M132="En ejecución",L132&lt;&gt;"",L132&lt;TODAY()),"Dice en ejecución pero su terminación ya pasó; ","")&amp;IF(M132="En ejecución","En ejecución: no acredita experiencia; ","")&amp;IF(AND(M132&lt;&gt;"En ejecución",L132&lt;&gt;"",X132&lt;&gt;"",Y132=""),"El año no está en la hoja SMMLV; ","")&amp;IF(AND(B132&lt;&gt;"",COUNTIFS($B$2:$B$601,B132,$C$2:$C$601,C132)&gt;1),"Posible duplicado (mismo número y entidad); ","")&amp;IF(COUNTIF(PARTICIPACIONES!$A$2:$A$601,A132)=0,"Sin participaciones; ","")&amp;IF(SUMIFS(PARTICIPACIONES!$E$2:$E$601,PARTICIPACIONES!$A$2:$A$601,A132)&gt;1.0001,"Las participaciones suman más de 100 %; ",""))</f>
        <v/>
      </c>
    </row>
    <row r="133">
      <c r="J133" s="15" t="n"/>
      <c r="K133" s="15" t="n"/>
      <c r="L133" s="15" t="n"/>
      <c r="N133" s="15" t="n"/>
      <c r="O133" s="16" t="n"/>
      <c r="P133" s="16" t="n"/>
      <c r="Q133" s="16" t="n"/>
      <c r="W133" s="12">
        <f>IF(AND(K133&lt;&gt;"",L133&lt;&gt;""),ROUND((L133-K133)/30.4375,1),"")</f>
        <v/>
      </c>
      <c r="X133" s="12">
        <f>IF(OR(A133="",M133="En ejecución",L133=""),"",YEAR(L133))</f>
        <v/>
      </c>
      <c r="Y133" s="13">
        <f>IF(X133="","",IFERROR(VLOOKUP(X133,SMMLV!$A$2:$B$38,2,FALSE),""))</f>
        <v/>
      </c>
      <c r="Z133" s="17">
        <f>IF(OR(Y133="",P133=""),"",ROUND(P133/Y133,2))</f>
        <v/>
      </c>
      <c r="AA133" s="13">
        <f>IF(Z133="","",ROUND(Z133*SMMLV!$E$4,0))</f>
        <v/>
      </c>
      <c r="AB133" s="13">
        <f>IF(AND(M133="En ejecución",P133&lt;&gt;"",Q133&lt;&gt;""),MAX(P133-Q133,0),"")</f>
        <v/>
      </c>
      <c r="AC133" s="12">
        <f>IF(A133="","",IF(B133="","Falta número de contrato; ","")&amp;IF(C133="","Falta entidad; ","")&amp;IF(E133="","Falta objeto; ","")&amp;IF(F133="","Falta especialidad; ","")&amp;IF(K133="","Falta fecha de inicio (recomendada); ","")&amp;IF(AND(M133&lt;&gt;"En ejecución",L133=""),"Falta fecha de terminación; ","")&amp;IF(AND(K133&lt;&gt;"",L133&lt;&gt;"",L133&lt;K133),"Terminación anterior al inicio; ","")&amp;IF(M133="","Falta estado; ","")&amp;IF(OR(P133="",P133&lt;=0),"Falta valor del contrato; ","")&amp;IF(AND(M133="En ejecución",Q133=""),"En ejecución sin valor ejecutado; ","")&amp;IF(AND(M133="En ejecución",L133&lt;&gt;"",L133&lt;TODAY()),"Dice en ejecución pero su terminación ya pasó; ","")&amp;IF(M133="En ejecución","En ejecución: no acredita experiencia; ","")&amp;IF(AND(M133&lt;&gt;"En ejecución",L133&lt;&gt;"",X133&lt;&gt;"",Y133=""),"El año no está en la hoja SMMLV; ","")&amp;IF(AND(B133&lt;&gt;"",COUNTIFS($B$2:$B$601,B133,$C$2:$C$601,C133)&gt;1),"Posible duplicado (mismo número y entidad); ","")&amp;IF(COUNTIF(PARTICIPACIONES!$A$2:$A$601,A133)=0,"Sin participaciones; ","")&amp;IF(SUMIFS(PARTICIPACIONES!$E$2:$E$601,PARTICIPACIONES!$A$2:$A$601,A133)&gt;1.0001,"Las participaciones suman más de 100 %; ",""))</f>
        <v/>
      </c>
    </row>
    <row r="134">
      <c r="J134" s="15" t="n"/>
      <c r="K134" s="15" t="n"/>
      <c r="L134" s="15" t="n"/>
      <c r="N134" s="15" t="n"/>
      <c r="O134" s="16" t="n"/>
      <c r="P134" s="16" t="n"/>
      <c r="Q134" s="16" t="n"/>
      <c r="W134" s="12">
        <f>IF(AND(K134&lt;&gt;"",L134&lt;&gt;""),ROUND((L134-K134)/30.4375,1),"")</f>
        <v/>
      </c>
      <c r="X134" s="12">
        <f>IF(OR(A134="",M134="En ejecución",L134=""),"",YEAR(L134))</f>
        <v/>
      </c>
      <c r="Y134" s="13">
        <f>IF(X134="","",IFERROR(VLOOKUP(X134,SMMLV!$A$2:$B$38,2,FALSE),""))</f>
        <v/>
      </c>
      <c r="Z134" s="17">
        <f>IF(OR(Y134="",P134=""),"",ROUND(P134/Y134,2))</f>
        <v/>
      </c>
      <c r="AA134" s="13">
        <f>IF(Z134="","",ROUND(Z134*SMMLV!$E$4,0))</f>
        <v/>
      </c>
      <c r="AB134" s="13">
        <f>IF(AND(M134="En ejecución",P134&lt;&gt;"",Q134&lt;&gt;""),MAX(P134-Q134,0),"")</f>
        <v/>
      </c>
      <c r="AC134" s="12">
        <f>IF(A134="","",IF(B134="","Falta número de contrato; ","")&amp;IF(C134="","Falta entidad; ","")&amp;IF(E134="","Falta objeto; ","")&amp;IF(F134="","Falta especialidad; ","")&amp;IF(K134="","Falta fecha de inicio (recomendada); ","")&amp;IF(AND(M134&lt;&gt;"En ejecución",L134=""),"Falta fecha de terminación; ","")&amp;IF(AND(K134&lt;&gt;"",L134&lt;&gt;"",L134&lt;K134),"Terminación anterior al inicio; ","")&amp;IF(M134="","Falta estado; ","")&amp;IF(OR(P134="",P134&lt;=0),"Falta valor del contrato; ","")&amp;IF(AND(M134="En ejecución",Q134=""),"En ejecución sin valor ejecutado; ","")&amp;IF(AND(M134="En ejecución",L134&lt;&gt;"",L134&lt;TODAY()),"Dice en ejecución pero su terminación ya pasó; ","")&amp;IF(M134="En ejecución","En ejecución: no acredita experiencia; ","")&amp;IF(AND(M134&lt;&gt;"En ejecución",L134&lt;&gt;"",X134&lt;&gt;"",Y134=""),"El año no está en la hoja SMMLV; ","")&amp;IF(AND(B134&lt;&gt;"",COUNTIFS($B$2:$B$601,B134,$C$2:$C$601,C134)&gt;1),"Posible duplicado (mismo número y entidad); ","")&amp;IF(COUNTIF(PARTICIPACIONES!$A$2:$A$601,A134)=0,"Sin participaciones; ","")&amp;IF(SUMIFS(PARTICIPACIONES!$E$2:$E$601,PARTICIPACIONES!$A$2:$A$601,A134)&gt;1.0001,"Las participaciones suman más de 100 %; ",""))</f>
        <v/>
      </c>
    </row>
    <row r="135">
      <c r="J135" s="15" t="n"/>
      <c r="K135" s="15" t="n"/>
      <c r="L135" s="15" t="n"/>
      <c r="N135" s="15" t="n"/>
      <c r="O135" s="16" t="n"/>
      <c r="P135" s="16" t="n"/>
      <c r="Q135" s="16" t="n"/>
      <c r="W135" s="12">
        <f>IF(AND(K135&lt;&gt;"",L135&lt;&gt;""),ROUND((L135-K135)/30.4375,1),"")</f>
        <v/>
      </c>
      <c r="X135" s="12">
        <f>IF(OR(A135="",M135="En ejecución",L135=""),"",YEAR(L135))</f>
        <v/>
      </c>
      <c r="Y135" s="13">
        <f>IF(X135="","",IFERROR(VLOOKUP(X135,SMMLV!$A$2:$B$38,2,FALSE),""))</f>
        <v/>
      </c>
      <c r="Z135" s="17">
        <f>IF(OR(Y135="",P135=""),"",ROUND(P135/Y135,2))</f>
        <v/>
      </c>
      <c r="AA135" s="13">
        <f>IF(Z135="","",ROUND(Z135*SMMLV!$E$4,0))</f>
        <v/>
      </c>
      <c r="AB135" s="13">
        <f>IF(AND(M135="En ejecución",P135&lt;&gt;"",Q135&lt;&gt;""),MAX(P135-Q135,0),"")</f>
        <v/>
      </c>
      <c r="AC135" s="12">
        <f>IF(A135="","",IF(B135="","Falta número de contrato; ","")&amp;IF(C135="","Falta entidad; ","")&amp;IF(E135="","Falta objeto; ","")&amp;IF(F135="","Falta especialidad; ","")&amp;IF(K135="","Falta fecha de inicio (recomendada); ","")&amp;IF(AND(M135&lt;&gt;"En ejecución",L135=""),"Falta fecha de terminación; ","")&amp;IF(AND(K135&lt;&gt;"",L135&lt;&gt;"",L135&lt;K135),"Terminación anterior al inicio; ","")&amp;IF(M135="","Falta estado; ","")&amp;IF(OR(P135="",P135&lt;=0),"Falta valor del contrato; ","")&amp;IF(AND(M135="En ejecución",Q135=""),"En ejecución sin valor ejecutado; ","")&amp;IF(AND(M135="En ejecución",L135&lt;&gt;"",L135&lt;TODAY()),"Dice en ejecución pero su terminación ya pasó; ","")&amp;IF(M135="En ejecución","En ejecución: no acredita experiencia; ","")&amp;IF(AND(M135&lt;&gt;"En ejecución",L135&lt;&gt;"",X135&lt;&gt;"",Y135=""),"El año no está en la hoja SMMLV; ","")&amp;IF(AND(B135&lt;&gt;"",COUNTIFS($B$2:$B$601,B135,$C$2:$C$601,C135)&gt;1),"Posible duplicado (mismo número y entidad); ","")&amp;IF(COUNTIF(PARTICIPACIONES!$A$2:$A$601,A135)=0,"Sin participaciones; ","")&amp;IF(SUMIFS(PARTICIPACIONES!$E$2:$E$601,PARTICIPACIONES!$A$2:$A$601,A135)&gt;1.0001,"Las participaciones suman más de 100 %; ",""))</f>
        <v/>
      </c>
    </row>
    <row r="136">
      <c r="J136" s="15" t="n"/>
      <c r="K136" s="15" t="n"/>
      <c r="L136" s="15" t="n"/>
      <c r="N136" s="15" t="n"/>
      <c r="O136" s="16" t="n"/>
      <c r="P136" s="16" t="n"/>
      <c r="Q136" s="16" t="n"/>
      <c r="W136" s="12">
        <f>IF(AND(K136&lt;&gt;"",L136&lt;&gt;""),ROUND((L136-K136)/30.4375,1),"")</f>
        <v/>
      </c>
      <c r="X136" s="12">
        <f>IF(OR(A136="",M136="En ejecución",L136=""),"",YEAR(L136))</f>
        <v/>
      </c>
      <c r="Y136" s="13">
        <f>IF(X136="","",IFERROR(VLOOKUP(X136,SMMLV!$A$2:$B$38,2,FALSE),""))</f>
        <v/>
      </c>
      <c r="Z136" s="17">
        <f>IF(OR(Y136="",P136=""),"",ROUND(P136/Y136,2))</f>
        <v/>
      </c>
      <c r="AA136" s="13">
        <f>IF(Z136="","",ROUND(Z136*SMMLV!$E$4,0))</f>
        <v/>
      </c>
      <c r="AB136" s="13">
        <f>IF(AND(M136="En ejecución",P136&lt;&gt;"",Q136&lt;&gt;""),MAX(P136-Q136,0),"")</f>
        <v/>
      </c>
      <c r="AC136" s="12">
        <f>IF(A136="","",IF(B136="","Falta número de contrato; ","")&amp;IF(C136="","Falta entidad; ","")&amp;IF(E136="","Falta objeto; ","")&amp;IF(F136="","Falta especialidad; ","")&amp;IF(K136="","Falta fecha de inicio (recomendada); ","")&amp;IF(AND(M136&lt;&gt;"En ejecución",L136=""),"Falta fecha de terminación; ","")&amp;IF(AND(K136&lt;&gt;"",L136&lt;&gt;"",L136&lt;K136),"Terminación anterior al inicio; ","")&amp;IF(M136="","Falta estado; ","")&amp;IF(OR(P136="",P136&lt;=0),"Falta valor del contrato; ","")&amp;IF(AND(M136="En ejecución",Q136=""),"En ejecución sin valor ejecutado; ","")&amp;IF(AND(M136="En ejecución",L136&lt;&gt;"",L136&lt;TODAY()),"Dice en ejecución pero su terminación ya pasó; ","")&amp;IF(M136="En ejecución","En ejecución: no acredita experiencia; ","")&amp;IF(AND(M136&lt;&gt;"En ejecución",L136&lt;&gt;"",X136&lt;&gt;"",Y136=""),"El año no está en la hoja SMMLV; ","")&amp;IF(AND(B136&lt;&gt;"",COUNTIFS($B$2:$B$601,B136,$C$2:$C$601,C136)&gt;1),"Posible duplicado (mismo número y entidad); ","")&amp;IF(COUNTIF(PARTICIPACIONES!$A$2:$A$601,A136)=0,"Sin participaciones; ","")&amp;IF(SUMIFS(PARTICIPACIONES!$E$2:$E$601,PARTICIPACIONES!$A$2:$A$601,A136)&gt;1.0001,"Las participaciones suman más de 100 %; ",""))</f>
        <v/>
      </c>
    </row>
    <row r="137">
      <c r="J137" s="15" t="n"/>
      <c r="K137" s="15" t="n"/>
      <c r="L137" s="15" t="n"/>
      <c r="N137" s="15" t="n"/>
      <c r="O137" s="16" t="n"/>
      <c r="P137" s="16" t="n"/>
      <c r="Q137" s="16" t="n"/>
      <c r="W137" s="12">
        <f>IF(AND(K137&lt;&gt;"",L137&lt;&gt;""),ROUND((L137-K137)/30.4375,1),"")</f>
        <v/>
      </c>
      <c r="X137" s="12">
        <f>IF(OR(A137="",M137="En ejecución",L137=""),"",YEAR(L137))</f>
        <v/>
      </c>
      <c r="Y137" s="13">
        <f>IF(X137="","",IFERROR(VLOOKUP(X137,SMMLV!$A$2:$B$38,2,FALSE),""))</f>
        <v/>
      </c>
      <c r="Z137" s="17">
        <f>IF(OR(Y137="",P137=""),"",ROUND(P137/Y137,2))</f>
        <v/>
      </c>
      <c r="AA137" s="13">
        <f>IF(Z137="","",ROUND(Z137*SMMLV!$E$4,0))</f>
        <v/>
      </c>
      <c r="AB137" s="13">
        <f>IF(AND(M137="En ejecución",P137&lt;&gt;"",Q137&lt;&gt;""),MAX(P137-Q137,0),"")</f>
        <v/>
      </c>
      <c r="AC137" s="12">
        <f>IF(A137="","",IF(B137="","Falta número de contrato; ","")&amp;IF(C137="","Falta entidad; ","")&amp;IF(E137="","Falta objeto; ","")&amp;IF(F137="","Falta especialidad; ","")&amp;IF(K137="","Falta fecha de inicio (recomendada); ","")&amp;IF(AND(M137&lt;&gt;"En ejecución",L137=""),"Falta fecha de terminación; ","")&amp;IF(AND(K137&lt;&gt;"",L137&lt;&gt;"",L137&lt;K137),"Terminación anterior al inicio; ","")&amp;IF(M137="","Falta estado; ","")&amp;IF(OR(P137="",P137&lt;=0),"Falta valor del contrato; ","")&amp;IF(AND(M137="En ejecución",Q137=""),"En ejecución sin valor ejecutado; ","")&amp;IF(AND(M137="En ejecución",L137&lt;&gt;"",L137&lt;TODAY()),"Dice en ejecución pero su terminación ya pasó; ","")&amp;IF(M137="En ejecución","En ejecución: no acredita experiencia; ","")&amp;IF(AND(M137&lt;&gt;"En ejecución",L137&lt;&gt;"",X137&lt;&gt;"",Y137=""),"El año no está en la hoja SMMLV; ","")&amp;IF(AND(B137&lt;&gt;"",COUNTIFS($B$2:$B$601,B137,$C$2:$C$601,C137)&gt;1),"Posible duplicado (mismo número y entidad); ","")&amp;IF(COUNTIF(PARTICIPACIONES!$A$2:$A$601,A137)=0,"Sin participaciones; ","")&amp;IF(SUMIFS(PARTICIPACIONES!$E$2:$E$601,PARTICIPACIONES!$A$2:$A$601,A137)&gt;1.0001,"Las participaciones suman más de 100 %; ",""))</f>
        <v/>
      </c>
    </row>
    <row r="138">
      <c r="J138" s="15" t="n"/>
      <c r="K138" s="15" t="n"/>
      <c r="L138" s="15" t="n"/>
      <c r="N138" s="15" t="n"/>
      <c r="O138" s="16" t="n"/>
      <c r="P138" s="16" t="n"/>
      <c r="Q138" s="16" t="n"/>
      <c r="W138" s="12">
        <f>IF(AND(K138&lt;&gt;"",L138&lt;&gt;""),ROUND((L138-K138)/30.4375,1),"")</f>
        <v/>
      </c>
      <c r="X138" s="12">
        <f>IF(OR(A138="",M138="En ejecución",L138=""),"",YEAR(L138))</f>
        <v/>
      </c>
      <c r="Y138" s="13">
        <f>IF(X138="","",IFERROR(VLOOKUP(X138,SMMLV!$A$2:$B$38,2,FALSE),""))</f>
        <v/>
      </c>
      <c r="Z138" s="17">
        <f>IF(OR(Y138="",P138=""),"",ROUND(P138/Y138,2))</f>
        <v/>
      </c>
      <c r="AA138" s="13">
        <f>IF(Z138="","",ROUND(Z138*SMMLV!$E$4,0))</f>
        <v/>
      </c>
      <c r="AB138" s="13">
        <f>IF(AND(M138="En ejecución",P138&lt;&gt;"",Q138&lt;&gt;""),MAX(P138-Q138,0),"")</f>
        <v/>
      </c>
      <c r="AC138" s="12">
        <f>IF(A138="","",IF(B138="","Falta número de contrato; ","")&amp;IF(C138="","Falta entidad; ","")&amp;IF(E138="","Falta objeto; ","")&amp;IF(F138="","Falta especialidad; ","")&amp;IF(K138="","Falta fecha de inicio (recomendada); ","")&amp;IF(AND(M138&lt;&gt;"En ejecución",L138=""),"Falta fecha de terminación; ","")&amp;IF(AND(K138&lt;&gt;"",L138&lt;&gt;"",L138&lt;K138),"Terminación anterior al inicio; ","")&amp;IF(M138="","Falta estado; ","")&amp;IF(OR(P138="",P138&lt;=0),"Falta valor del contrato; ","")&amp;IF(AND(M138="En ejecución",Q138=""),"En ejecución sin valor ejecutado; ","")&amp;IF(AND(M138="En ejecución",L138&lt;&gt;"",L138&lt;TODAY()),"Dice en ejecución pero su terminación ya pasó; ","")&amp;IF(M138="En ejecución","En ejecución: no acredita experiencia; ","")&amp;IF(AND(M138&lt;&gt;"En ejecución",L138&lt;&gt;"",X138&lt;&gt;"",Y138=""),"El año no está en la hoja SMMLV; ","")&amp;IF(AND(B138&lt;&gt;"",COUNTIFS($B$2:$B$601,B138,$C$2:$C$601,C138)&gt;1),"Posible duplicado (mismo número y entidad); ","")&amp;IF(COUNTIF(PARTICIPACIONES!$A$2:$A$601,A138)=0,"Sin participaciones; ","")&amp;IF(SUMIFS(PARTICIPACIONES!$E$2:$E$601,PARTICIPACIONES!$A$2:$A$601,A138)&gt;1.0001,"Las participaciones suman más de 100 %; ",""))</f>
        <v/>
      </c>
    </row>
    <row r="139">
      <c r="J139" s="15" t="n"/>
      <c r="K139" s="15" t="n"/>
      <c r="L139" s="15" t="n"/>
      <c r="N139" s="15" t="n"/>
      <c r="O139" s="16" t="n"/>
      <c r="P139" s="16" t="n"/>
      <c r="Q139" s="16" t="n"/>
      <c r="W139" s="12">
        <f>IF(AND(K139&lt;&gt;"",L139&lt;&gt;""),ROUND((L139-K139)/30.4375,1),"")</f>
        <v/>
      </c>
      <c r="X139" s="12">
        <f>IF(OR(A139="",M139="En ejecución",L139=""),"",YEAR(L139))</f>
        <v/>
      </c>
      <c r="Y139" s="13">
        <f>IF(X139="","",IFERROR(VLOOKUP(X139,SMMLV!$A$2:$B$38,2,FALSE),""))</f>
        <v/>
      </c>
      <c r="Z139" s="17">
        <f>IF(OR(Y139="",P139=""),"",ROUND(P139/Y139,2))</f>
        <v/>
      </c>
      <c r="AA139" s="13">
        <f>IF(Z139="","",ROUND(Z139*SMMLV!$E$4,0))</f>
        <v/>
      </c>
      <c r="AB139" s="13">
        <f>IF(AND(M139="En ejecución",P139&lt;&gt;"",Q139&lt;&gt;""),MAX(P139-Q139,0),"")</f>
        <v/>
      </c>
      <c r="AC139" s="12">
        <f>IF(A139="","",IF(B139="","Falta número de contrato; ","")&amp;IF(C139="","Falta entidad; ","")&amp;IF(E139="","Falta objeto; ","")&amp;IF(F139="","Falta especialidad; ","")&amp;IF(K139="","Falta fecha de inicio (recomendada); ","")&amp;IF(AND(M139&lt;&gt;"En ejecución",L139=""),"Falta fecha de terminación; ","")&amp;IF(AND(K139&lt;&gt;"",L139&lt;&gt;"",L139&lt;K139),"Terminación anterior al inicio; ","")&amp;IF(M139="","Falta estado; ","")&amp;IF(OR(P139="",P139&lt;=0),"Falta valor del contrato; ","")&amp;IF(AND(M139="En ejecución",Q139=""),"En ejecución sin valor ejecutado; ","")&amp;IF(AND(M139="En ejecución",L139&lt;&gt;"",L139&lt;TODAY()),"Dice en ejecución pero su terminación ya pasó; ","")&amp;IF(M139="En ejecución","En ejecución: no acredita experiencia; ","")&amp;IF(AND(M139&lt;&gt;"En ejecución",L139&lt;&gt;"",X139&lt;&gt;"",Y139=""),"El año no está en la hoja SMMLV; ","")&amp;IF(AND(B139&lt;&gt;"",COUNTIFS($B$2:$B$601,B139,$C$2:$C$601,C139)&gt;1),"Posible duplicado (mismo número y entidad); ","")&amp;IF(COUNTIF(PARTICIPACIONES!$A$2:$A$601,A139)=0,"Sin participaciones; ","")&amp;IF(SUMIFS(PARTICIPACIONES!$E$2:$E$601,PARTICIPACIONES!$A$2:$A$601,A139)&gt;1.0001,"Las participaciones suman más de 100 %; ",""))</f>
        <v/>
      </c>
    </row>
    <row r="140">
      <c r="J140" s="15" t="n"/>
      <c r="K140" s="15" t="n"/>
      <c r="L140" s="15" t="n"/>
      <c r="N140" s="15" t="n"/>
      <c r="O140" s="16" t="n"/>
      <c r="P140" s="16" t="n"/>
      <c r="Q140" s="16" t="n"/>
      <c r="W140" s="12">
        <f>IF(AND(K140&lt;&gt;"",L140&lt;&gt;""),ROUND((L140-K140)/30.4375,1),"")</f>
        <v/>
      </c>
      <c r="X140" s="12">
        <f>IF(OR(A140="",M140="En ejecución",L140=""),"",YEAR(L140))</f>
        <v/>
      </c>
      <c r="Y140" s="13">
        <f>IF(X140="","",IFERROR(VLOOKUP(X140,SMMLV!$A$2:$B$38,2,FALSE),""))</f>
        <v/>
      </c>
      <c r="Z140" s="17">
        <f>IF(OR(Y140="",P140=""),"",ROUND(P140/Y140,2))</f>
        <v/>
      </c>
      <c r="AA140" s="13">
        <f>IF(Z140="","",ROUND(Z140*SMMLV!$E$4,0))</f>
        <v/>
      </c>
      <c r="AB140" s="13">
        <f>IF(AND(M140="En ejecución",P140&lt;&gt;"",Q140&lt;&gt;""),MAX(P140-Q140,0),"")</f>
        <v/>
      </c>
      <c r="AC140" s="12">
        <f>IF(A140="","",IF(B140="","Falta número de contrato; ","")&amp;IF(C140="","Falta entidad; ","")&amp;IF(E140="","Falta objeto; ","")&amp;IF(F140="","Falta especialidad; ","")&amp;IF(K140="","Falta fecha de inicio (recomendada); ","")&amp;IF(AND(M140&lt;&gt;"En ejecución",L140=""),"Falta fecha de terminación; ","")&amp;IF(AND(K140&lt;&gt;"",L140&lt;&gt;"",L140&lt;K140),"Terminación anterior al inicio; ","")&amp;IF(M140="","Falta estado; ","")&amp;IF(OR(P140="",P140&lt;=0),"Falta valor del contrato; ","")&amp;IF(AND(M140="En ejecución",Q140=""),"En ejecución sin valor ejecutado; ","")&amp;IF(AND(M140="En ejecución",L140&lt;&gt;"",L140&lt;TODAY()),"Dice en ejecución pero su terminación ya pasó; ","")&amp;IF(M140="En ejecución","En ejecución: no acredita experiencia; ","")&amp;IF(AND(M140&lt;&gt;"En ejecución",L140&lt;&gt;"",X140&lt;&gt;"",Y140=""),"El año no está en la hoja SMMLV; ","")&amp;IF(AND(B140&lt;&gt;"",COUNTIFS($B$2:$B$601,B140,$C$2:$C$601,C140)&gt;1),"Posible duplicado (mismo número y entidad); ","")&amp;IF(COUNTIF(PARTICIPACIONES!$A$2:$A$601,A140)=0,"Sin participaciones; ","")&amp;IF(SUMIFS(PARTICIPACIONES!$E$2:$E$601,PARTICIPACIONES!$A$2:$A$601,A140)&gt;1.0001,"Las participaciones suman más de 100 %; ",""))</f>
        <v/>
      </c>
    </row>
    <row r="141">
      <c r="J141" s="15" t="n"/>
      <c r="K141" s="15" t="n"/>
      <c r="L141" s="15" t="n"/>
      <c r="N141" s="15" t="n"/>
      <c r="O141" s="16" t="n"/>
      <c r="P141" s="16" t="n"/>
      <c r="Q141" s="16" t="n"/>
      <c r="W141" s="12">
        <f>IF(AND(K141&lt;&gt;"",L141&lt;&gt;""),ROUND((L141-K141)/30.4375,1),"")</f>
        <v/>
      </c>
      <c r="X141" s="12">
        <f>IF(OR(A141="",M141="En ejecución",L141=""),"",YEAR(L141))</f>
        <v/>
      </c>
      <c r="Y141" s="13">
        <f>IF(X141="","",IFERROR(VLOOKUP(X141,SMMLV!$A$2:$B$38,2,FALSE),""))</f>
        <v/>
      </c>
      <c r="Z141" s="17">
        <f>IF(OR(Y141="",P141=""),"",ROUND(P141/Y141,2))</f>
        <v/>
      </c>
      <c r="AA141" s="13">
        <f>IF(Z141="","",ROUND(Z141*SMMLV!$E$4,0))</f>
        <v/>
      </c>
      <c r="AB141" s="13">
        <f>IF(AND(M141="En ejecución",P141&lt;&gt;"",Q141&lt;&gt;""),MAX(P141-Q141,0),"")</f>
        <v/>
      </c>
      <c r="AC141" s="12">
        <f>IF(A141="","",IF(B141="","Falta número de contrato; ","")&amp;IF(C141="","Falta entidad; ","")&amp;IF(E141="","Falta objeto; ","")&amp;IF(F141="","Falta especialidad; ","")&amp;IF(K141="","Falta fecha de inicio (recomendada); ","")&amp;IF(AND(M141&lt;&gt;"En ejecución",L141=""),"Falta fecha de terminación; ","")&amp;IF(AND(K141&lt;&gt;"",L141&lt;&gt;"",L141&lt;K141),"Terminación anterior al inicio; ","")&amp;IF(M141="","Falta estado; ","")&amp;IF(OR(P141="",P141&lt;=0),"Falta valor del contrato; ","")&amp;IF(AND(M141="En ejecución",Q141=""),"En ejecución sin valor ejecutado; ","")&amp;IF(AND(M141="En ejecución",L141&lt;&gt;"",L141&lt;TODAY()),"Dice en ejecución pero su terminación ya pasó; ","")&amp;IF(M141="En ejecución","En ejecución: no acredita experiencia; ","")&amp;IF(AND(M141&lt;&gt;"En ejecución",L141&lt;&gt;"",X141&lt;&gt;"",Y141=""),"El año no está en la hoja SMMLV; ","")&amp;IF(AND(B141&lt;&gt;"",COUNTIFS($B$2:$B$601,B141,$C$2:$C$601,C141)&gt;1),"Posible duplicado (mismo número y entidad); ","")&amp;IF(COUNTIF(PARTICIPACIONES!$A$2:$A$601,A141)=0,"Sin participaciones; ","")&amp;IF(SUMIFS(PARTICIPACIONES!$E$2:$E$601,PARTICIPACIONES!$A$2:$A$601,A141)&gt;1.0001,"Las participaciones suman más de 100 %; ",""))</f>
        <v/>
      </c>
    </row>
    <row r="142">
      <c r="J142" s="15" t="n"/>
      <c r="K142" s="15" t="n"/>
      <c r="L142" s="15" t="n"/>
      <c r="N142" s="15" t="n"/>
      <c r="O142" s="16" t="n"/>
      <c r="P142" s="16" t="n"/>
      <c r="Q142" s="16" t="n"/>
      <c r="W142" s="12">
        <f>IF(AND(K142&lt;&gt;"",L142&lt;&gt;""),ROUND((L142-K142)/30.4375,1),"")</f>
        <v/>
      </c>
      <c r="X142" s="12">
        <f>IF(OR(A142="",M142="En ejecución",L142=""),"",YEAR(L142))</f>
        <v/>
      </c>
      <c r="Y142" s="13">
        <f>IF(X142="","",IFERROR(VLOOKUP(X142,SMMLV!$A$2:$B$38,2,FALSE),""))</f>
        <v/>
      </c>
      <c r="Z142" s="17">
        <f>IF(OR(Y142="",P142=""),"",ROUND(P142/Y142,2))</f>
        <v/>
      </c>
      <c r="AA142" s="13">
        <f>IF(Z142="","",ROUND(Z142*SMMLV!$E$4,0))</f>
        <v/>
      </c>
      <c r="AB142" s="13">
        <f>IF(AND(M142="En ejecución",P142&lt;&gt;"",Q142&lt;&gt;""),MAX(P142-Q142,0),"")</f>
        <v/>
      </c>
      <c r="AC142" s="12">
        <f>IF(A142="","",IF(B142="","Falta número de contrato; ","")&amp;IF(C142="","Falta entidad; ","")&amp;IF(E142="","Falta objeto; ","")&amp;IF(F142="","Falta especialidad; ","")&amp;IF(K142="","Falta fecha de inicio (recomendada); ","")&amp;IF(AND(M142&lt;&gt;"En ejecución",L142=""),"Falta fecha de terminación; ","")&amp;IF(AND(K142&lt;&gt;"",L142&lt;&gt;"",L142&lt;K142),"Terminación anterior al inicio; ","")&amp;IF(M142="","Falta estado; ","")&amp;IF(OR(P142="",P142&lt;=0),"Falta valor del contrato; ","")&amp;IF(AND(M142="En ejecución",Q142=""),"En ejecución sin valor ejecutado; ","")&amp;IF(AND(M142="En ejecución",L142&lt;&gt;"",L142&lt;TODAY()),"Dice en ejecución pero su terminación ya pasó; ","")&amp;IF(M142="En ejecución","En ejecución: no acredita experiencia; ","")&amp;IF(AND(M142&lt;&gt;"En ejecución",L142&lt;&gt;"",X142&lt;&gt;"",Y142=""),"El año no está en la hoja SMMLV; ","")&amp;IF(AND(B142&lt;&gt;"",COUNTIFS($B$2:$B$601,B142,$C$2:$C$601,C142)&gt;1),"Posible duplicado (mismo número y entidad); ","")&amp;IF(COUNTIF(PARTICIPACIONES!$A$2:$A$601,A142)=0,"Sin participaciones; ","")&amp;IF(SUMIFS(PARTICIPACIONES!$E$2:$E$601,PARTICIPACIONES!$A$2:$A$601,A142)&gt;1.0001,"Las participaciones suman más de 100 %; ",""))</f>
        <v/>
      </c>
    </row>
    <row r="143">
      <c r="J143" s="15" t="n"/>
      <c r="K143" s="15" t="n"/>
      <c r="L143" s="15" t="n"/>
      <c r="N143" s="15" t="n"/>
      <c r="O143" s="16" t="n"/>
      <c r="P143" s="16" t="n"/>
      <c r="Q143" s="16" t="n"/>
      <c r="W143" s="12">
        <f>IF(AND(K143&lt;&gt;"",L143&lt;&gt;""),ROUND((L143-K143)/30.4375,1),"")</f>
        <v/>
      </c>
      <c r="X143" s="12">
        <f>IF(OR(A143="",M143="En ejecución",L143=""),"",YEAR(L143))</f>
        <v/>
      </c>
      <c r="Y143" s="13">
        <f>IF(X143="","",IFERROR(VLOOKUP(X143,SMMLV!$A$2:$B$38,2,FALSE),""))</f>
        <v/>
      </c>
      <c r="Z143" s="17">
        <f>IF(OR(Y143="",P143=""),"",ROUND(P143/Y143,2))</f>
        <v/>
      </c>
      <c r="AA143" s="13">
        <f>IF(Z143="","",ROUND(Z143*SMMLV!$E$4,0))</f>
        <v/>
      </c>
      <c r="AB143" s="13">
        <f>IF(AND(M143="En ejecución",P143&lt;&gt;"",Q143&lt;&gt;""),MAX(P143-Q143,0),"")</f>
        <v/>
      </c>
      <c r="AC143" s="12">
        <f>IF(A143="","",IF(B143="","Falta número de contrato; ","")&amp;IF(C143="","Falta entidad; ","")&amp;IF(E143="","Falta objeto; ","")&amp;IF(F143="","Falta especialidad; ","")&amp;IF(K143="","Falta fecha de inicio (recomendada); ","")&amp;IF(AND(M143&lt;&gt;"En ejecución",L143=""),"Falta fecha de terminación; ","")&amp;IF(AND(K143&lt;&gt;"",L143&lt;&gt;"",L143&lt;K143),"Terminación anterior al inicio; ","")&amp;IF(M143="","Falta estado; ","")&amp;IF(OR(P143="",P143&lt;=0),"Falta valor del contrato; ","")&amp;IF(AND(M143="En ejecución",Q143=""),"En ejecución sin valor ejecutado; ","")&amp;IF(AND(M143="En ejecución",L143&lt;&gt;"",L143&lt;TODAY()),"Dice en ejecución pero su terminación ya pasó; ","")&amp;IF(M143="En ejecución","En ejecución: no acredita experiencia; ","")&amp;IF(AND(M143&lt;&gt;"En ejecución",L143&lt;&gt;"",X143&lt;&gt;"",Y143=""),"El año no está en la hoja SMMLV; ","")&amp;IF(AND(B143&lt;&gt;"",COUNTIFS($B$2:$B$601,B143,$C$2:$C$601,C143)&gt;1),"Posible duplicado (mismo número y entidad); ","")&amp;IF(COUNTIF(PARTICIPACIONES!$A$2:$A$601,A143)=0,"Sin participaciones; ","")&amp;IF(SUMIFS(PARTICIPACIONES!$E$2:$E$601,PARTICIPACIONES!$A$2:$A$601,A143)&gt;1.0001,"Las participaciones suman más de 100 %; ",""))</f>
        <v/>
      </c>
    </row>
    <row r="144">
      <c r="J144" s="15" t="n"/>
      <c r="K144" s="15" t="n"/>
      <c r="L144" s="15" t="n"/>
      <c r="N144" s="15" t="n"/>
      <c r="O144" s="16" t="n"/>
      <c r="P144" s="16" t="n"/>
      <c r="Q144" s="16" t="n"/>
      <c r="W144" s="12">
        <f>IF(AND(K144&lt;&gt;"",L144&lt;&gt;""),ROUND((L144-K144)/30.4375,1),"")</f>
        <v/>
      </c>
      <c r="X144" s="12">
        <f>IF(OR(A144="",M144="En ejecución",L144=""),"",YEAR(L144))</f>
        <v/>
      </c>
      <c r="Y144" s="13">
        <f>IF(X144="","",IFERROR(VLOOKUP(X144,SMMLV!$A$2:$B$38,2,FALSE),""))</f>
        <v/>
      </c>
      <c r="Z144" s="17">
        <f>IF(OR(Y144="",P144=""),"",ROUND(P144/Y144,2))</f>
        <v/>
      </c>
      <c r="AA144" s="13">
        <f>IF(Z144="","",ROUND(Z144*SMMLV!$E$4,0))</f>
        <v/>
      </c>
      <c r="AB144" s="13">
        <f>IF(AND(M144="En ejecución",P144&lt;&gt;"",Q144&lt;&gt;""),MAX(P144-Q144,0),"")</f>
        <v/>
      </c>
      <c r="AC144" s="12">
        <f>IF(A144="","",IF(B144="","Falta número de contrato; ","")&amp;IF(C144="","Falta entidad; ","")&amp;IF(E144="","Falta objeto; ","")&amp;IF(F144="","Falta especialidad; ","")&amp;IF(K144="","Falta fecha de inicio (recomendada); ","")&amp;IF(AND(M144&lt;&gt;"En ejecución",L144=""),"Falta fecha de terminación; ","")&amp;IF(AND(K144&lt;&gt;"",L144&lt;&gt;"",L144&lt;K144),"Terminación anterior al inicio; ","")&amp;IF(M144="","Falta estado; ","")&amp;IF(OR(P144="",P144&lt;=0),"Falta valor del contrato; ","")&amp;IF(AND(M144="En ejecución",Q144=""),"En ejecución sin valor ejecutado; ","")&amp;IF(AND(M144="En ejecución",L144&lt;&gt;"",L144&lt;TODAY()),"Dice en ejecución pero su terminación ya pasó; ","")&amp;IF(M144="En ejecución","En ejecución: no acredita experiencia; ","")&amp;IF(AND(M144&lt;&gt;"En ejecución",L144&lt;&gt;"",X144&lt;&gt;"",Y144=""),"El año no está en la hoja SMMLV; ","")&amp;IF(AND(B144&lt;&gt;"",COUNTIFS($B$2:$B$601,B144,$C$2:$C$601,C144)&gt;1),"Posible duplicado (mismo número y entidad); ","")&amp;IF(COUNTIF(PARTICIPACIONES!$A$2:$A$601,A144)=0,"Sin participaciones; ","")&amp;IF(SUMIFS(PARTICIPACIONES!$E$2:$E$601,PARTICIPACIONES!$A$2:$A$601,A144)&gt;1.0001,"Las participaciones suman más de 100 %; ",""))</f>
        <v/>
      </c>
    </row>
    <row r="145">
      <c r="J145" s="15" t="n"/>
      <c r="K145" s="15" t="n"/>
      <c r="L145" s="15" t="n"/>
      <c r="N145" s="15" t="n"/>
      <c r="O145" s="16" t="n"/>
      <c r="P145" s="16" t="n"/>
      <c r="Q145" s="16" t="n"/>
      <c r="W145" s="12">
        <f>IF(AND(K145&lt;&gt;"",L145&lt;&gt;""),ROUND((L145-K145)/30.4375,1),"")</f>
        <v/>
      </c>
      <c r="X145" s="12">
        <f>IF(OR(A145="",M145="En ejecución",L145=""),"",YEAR(L145))</f>
        <v/>
      </c>
      <c r="Y145" s="13">
        <f>IF(X145="","",IFERROR(VLOOKUP(X145,SMMLV!$A$2:$B$38,2,FALSE),""))</f>
        <v/>
      </c>
      <c r="Z145" s="17">
        <f>IF(OR(Y145="",P145=""),"",ROUND(P145/Y145,2))</f>
        <v/>
      </c>
      <c r="AA145" s="13">
        <f>IF(Z145="","",ROUND(Z145*SMMLV!$E$4,0))</f>
        <v/>
      </c>
      <c r="AB145" s="13">
        <f>IF(AND(M145="En ejecución",P145&lt;&gt;"",Q145&lt;&gt;""),MAX(P145-Q145,0),"")</f>
        <v/>
      </c>
      <c r="AC145" s="12">
        <f>IF(A145="","",IF(B145="","Falta número de contrato; ","")&amp;IF(C145="","Falta entidad; ","")&amp;IF(E145="","Falta objeto; ","")&amp;IF(F145="","Falta especialidad; ","")&amp;IF(K145="","Falta fecha de inicio (recomendada); ","")&amp;IF(AND(M145&lt;&gt;"En ejecución",L145=""),"Falta fecha de terminación; ","")&amp;IF(AND(K145&lt;&gt;"",L145&lt;&gt;"",L145&lt;K145),"Terminación anterior al inicio; ","")&amp;IF(M145="","Falta estado; ","")&amp;IF(OR(P145="",P145&lt;=0),"Falta valor del contrato; ","")&amp;IF(AND(M145="En ejecución",Q145=""),"En ejecución sin valor ejecutado; ","")&amp;IF(AND(M145="En ejecución",L145&lt;&gt;"",L145&lt;TODAY()),"Dice en ejecución pero su terminación ya pasó; ","")&amp;IF(M145="En ejecución","En ejecución: no acredita experiencia; ","")&amp;IF(AND(M145&lt;&gt;"En ejecución",L145&lt;&gt;"",X145&lt;&gt;"",Y145=""),"El año no está en la hoja SMMLV; ","")&amp;IF(AND(B145&lt;&gt;"",COUNTIFS($B$2:$B$601,B145,$C$2:$C$601,C145)&gt;1),"Posible duplicado (mismo número y entidad); ","")&amp;IF(COUNTIF(PARTICIPACIONES!$A$2:$A$601,A145)=0,"Sin participaciones; ","")&amp;IF(SUMIFS(PARTICIPACIONES!$E$2:$E$601,PARTICIPACIONES!$A$2:$A$601,A145)&gt;1.0001,"Las participaciones suman más de 100 %; ",""))</f>
        <v/>
      </c>
    </row>
    <row r="146">
      <c r="J146" s="15" t="n"/>
      <c r="K146" s="15" t="n"/>
      <c r="L146" s="15" t="n"/>
      <c r="N146" s="15" t="n"/>
      <c r="O146" s="16" t="n"/>
      <c r="P146" s="16" t="n"/>
      <c r="Q146" s="16" t="n"/>
      <c r="W146" s="12">
        <f>IF(AND(K146&lt;&gt;"",L146&lt;&gt;""),ROUND((L146-K146)/30.4375,1),"")</f>
        <v/>
      </c>
      <c r="X146" s="12">
        <f>IF(OR(A146="",M146="En ejecución",L146=""),"",YEAR(L146))</f>
        <v/>
      </c>
      <c r="Y146" s="13">
        <f>IF(X146="","",IFERROR(VLOOKUP(X146,SMMLV!$A$2:$B$38,2,FALSE),""))</f>
        <v/>
      </c>
      <c r="Z146" s="17">
        <f>IF(OR(Y146="",P146=""),"",ROUND(P146/Y146,2))</f>
        <v/>
      </c>
      <c r="AA146" s="13">
        <f>IF(Z146="","",ROUND(Z146*SMMLV!$E$4,0))</f>
        <v/>
      </c>
      <c r="AB146" s="13">
        <f>IF(AND(M146="En ejecución",P146&lt;&gt;"",Q146&lt;&gt;""),MAX(P146-Q146,0),"")</f>
        <v/>
      </c>
      <c r="AC146" s="12">
        <f>IF(A146="","",IF(B146="","Falta número de contrato; ","")&amp;IF(C146="","Falta entidad; ","")&amp;IF(E146="","Falta objeto; ","")&amp;IF(F146="","Falta especialidad; ","")&amp;IF(K146="","Falta fecha de inicio (recomendada); ","")&amp;IF(AND(M146&lt;&gt;"En ejecución",L146=""),"Falta fecha de terminación; ","")&amp;IF(AND(K146&lt;&gt;"",L146&lt;&gt;"",L146&lt;K146),"Terminación anterior al inicio; ","")&amp;IF(M146="","Falta estado; ","")&amp;IF(OR(P146="",P146&lt;=0),"Falta valor del contrato; ","")&amp;IF(AND(M146="En ejecución",Q146=""),"En ejecución sin valor ejecutado; ","")&amp;IF(AND(M146="En ejecución",L146&lt;&gt;"",L146&lt;TODAY()),"Dice en ejecución pero su terminación ya pasó; ","")&amp;IF(M146="En ejecución","En ejecución: no acredita experiencia; ","")&amp;IF(AND(M146&lt;&gt;"En ejecución",L146&lt;&gt;"",X146&lt;&gt;"",Y146=""),"El año no está en la hoja SMMLV; ","")&amp;IF(AND(B146&lt;&gt;"",COUNTIFS($B$2:$B$601,B146,$C$2:$C$601,C146)&gt;1),"Posible duplicado (mismo número y entidad); ","")&amp;IF(COUNTIF(PARTICIPACIONES!$A$2:$A$601,A146)=0,"Sin participaciones; ","")&amp;IF(SUMIFS(PARTICIPACIONES!$E$2:$E$601,PARTICIPACIONES!$A$2:$A$601,A146)&gt;1.0001,"Las participaciones suman más de 100 %; ",""))</f>
        <v/>
      </c>
    </row>
    <row r="147">
      <c r="J147" s="15" t="n"/>
      <c r="K147" s="15" t="n"/>
      <c r="L147" s="15" t="n"/>
      <c r="N147" s="15" t="n"/>
      <c r="O147" s="16" t="n"/>
      <c r="P147" s="16" t="n"/>
      <c r="Q147" s="16" t="n"/>
      <c r="W147" s="12">
        <f>IF(AND(K147&lt;&gt;"",L147&lt;&gt;""),ROUND((L147-K147)/30.4375,1),"")</f>
        <v/>
      </c>
      <c r="X147" s="12">
        <f>IF(OR(A147="",M147="En ejecución",L147=""),"",YEAR(L147))</f>
        <v/>
      </c>
      <c r="Y147" s="13">
        <f>IF(X147="","",IFERROR(VLOOKUP(X147,SMMLV!$A$2:$B$38,2,FALSE),""))</f>
        <v/>
      </c>
      <c r="Z147" s="17">
        <f>IF(OR(Y147="",P147=""),"",ROUND(P147/Y147,2))</f>
        <v/>
      </c>
      <c r="AA147" s="13">
        <f>IF(Z147="","",ROUND(Z147*SMMLV!$E$4,0))</f>
        <v/>
      </c>
      <c r="AB147" s="13">
        <f>IF(AND(M147="En ejecución",P147&lt;&gt;"",Q147&lt;&gt;""),MAX(P147-Q147,0),"")</f>
        <v/>
      </c>
      <c r="AC147" s="12">
        <f>IF(A147="","",IF(B147="","Falta número de contrato; ","")&amp;IF(C147="","Falta entidad; ","")&amp;IF(E147="","Falta objeto; ","")&amp;IF(F147="","Falta especialidad; ","")&amp;IF(K147="","Falta fecha de inicio (recomendada); ","")&amp;IF(AND(M147&lt;&gt;"En ejecución",L147=""),"Falta fecha de terminación; ","")&amp;IF(AND(K147&lt;&gt;"",L147&lt;&gt;"",L147&lt;K147),"Terminación anterior al inicio; ","")&amp;IF(M147="","Falta estado; ","")&amp;IF(OR(P147="",P147&lt;=0),"Falta valor del contrato; ","")&amp;IF(AND(M147="En ejecución",Q147=""),"En ejecución sin valor ejecutado; ","")&amp;IF(AND(M147="En ejecución",L147&lt;&gt;"",L147&lt;TODAY()),"Dice en ejecución pero su terminación ya pasó; ","")&amp;IF(M147="En ejecución","En ejecución: no acredita experiencia; ","")&amp;IF(AND(M147&lt;&gt;"En ejecución",L147&lt;&gt;"",X147&lt;&gt;"",Y147=""),"El año no está en la hoja SMMLV; ","")&amp;IF(AND(B147&lt;&gt;"",COUNTIFS($B$2:$B$601,B147,$C$2:$C$601,C147)&gt;1),"Posible duplicado (mismo número y entidad); ","")&amp;IF(COUNTIF(PARTICIPACIONES!$A$2:$A$601,A147)=0,"Sin participaciones; ","")&amp;IF(SUMIFS(PARTICIPACIONES!$E$2:$E$601,PARTICIPACIONES!$A$2:$A$601,A147)&gt;1.0001,"Las participaciones suman más de 100 %; ",""))</f>
        <v/>
      </c>
    </row>
    <row r="148">
      <c r="J148" s="15" t="n"/>
      <c r="K148" s="15" t="n"/>
      <c r="L148" s="15" t="n"/>
      <c r="N148" s="15" t="n"/>
      <c r="O148" s="16" t="n"/>
      <c r="P148" s="16" t="n"/>
      <c r="Q148" s="16" t="n"/>
      <c r="W148" s="12">
        <f>IF(AND(K148&lt;&gt;"",L148&lt;&gt;""),ROUND((L148-K148)/30.4375,1),"")</f>
        <v/>
      </c>
      <c r="X148" s="12">
        <f>IF(OR(A148="",M148="En ejecución",L148=""),"",YEAR(L148))</f>
        <v/>
      </c>
      <c r="Y148" s="13">
        <f>IF(X148="","",IFERROR(VLOOKUP(X148,SMMLV!$A$2:$B$38,2,FALSE),""))</f>
        <v/>
      </c>
      <c r="Z148" s="17">
        <f>IF(OR(Y148="",P148=""),"",ROUND(P148/Y148,2))</f>
        <v/>
      </c>
      <c r="AA148" s="13">
        <f>IF(Z148="","",ROUND(Z148*SMMLV!$E$4,0))</f>
        <v/>
      </c>
      <c r="AB148" s="13">
        <f>IF(AND(M148="En ejecución",P148&lt;&gt;"",Q148&lt;&gt;""),MAX(P148-Q148,0),"")</f>
        <v/>
      </c>
      <c r="AC148" s="12">
        <f>IF(A148="","",IF(B148="","Falta número de contrato; ","")&amp;IF(C148="","Falta entidad; ","")&amp;IF(E148="","Falta objeto; ","")&amp;IF(F148="","Falta especialidad; ","")&amp;IF(K148="","Falta fecha de inicio (recomendada); ","")&amp;IF(AND(M148&lt;&gt;"En ejecución",L148=""),"Falta fecha de terminación; ","")&amp;IF(AND(K148&lt;&gt;"",L148&lt;&gt;"",L148&lt;K148),"Terminación anterior al inicio; ","")&amp;IF(M148="","Falta estado; ","")&amp;IF(OR(P148="",P148&lt;=0),"Falta valor del contrato; ","")&amp;IF(AND(M148="En ejecución",Q148=""),"En ejecución sin valor ejecutado; ","")&amp;IF(AND(M148="En ejecución",L148&lt;&gt;"",L148&lt;TODAY()),"Dice en ejecución pero su terminación ya pasó; ","")&amp;IF(M148="En ejecución","En ejecución: no acredita experiencia; ","")&amp;IF(AND(M148&lt;&gt;"En ejecución",L148&lt;&gt;"",X148&lt;&gt;"",Y148=""),"El año no está en la hoja SMMLV; ","")&amp;IF(AND(B148&lt;&gt;"",COUNTIFS($B$2:$B$601,B148,$C$2:$C$601,C148)&gt;1),"Posible duplicado (mismo número y entidad); ","")&amp;IF(COUNTIF(PARTICIPACIONES!$A$2:$A$601,A148)=0,"Sin participaciones; ","")&amp;IF(SUMIFS(PARTICIPACIONES!$E$2:$E$601,PARTICIPACIONES!$A$2:$A$601,A148)&gt;1.0001,"Las participaciones suman más de 100 %; ",""))</f>
        <v/>
      </c>
    </row>
    <row r="149">
      <c r="J149" s="15" t="n"/>
      <c r="K149" s="15" t="n"/>
      <c r="L149" s="15" t="n"/>
      <c r="N149" s="15" t="n"/>
      <c r="O149" s="16" t="n"/>
      <c r="P149" s="16" t="n"/>
      <c r="Q149" s="16" t="n"/>
      <c r="W149" s="12">
        <f>IF(AND(K149&lt;&gt;"",L149&lt;&gt;""),ROUND((L149-K149)/30.4375,1),"")</f>
        <v/>
      </c>
      <c r="X149" s="12">
        <f>IF(OR(A149="",M149="En ejecución",L149=""),"",YEAR(L149))</f>
        <v/>
      </c>
      <c r="Y149" s="13">
        <f>IF(X149="","",IFERROR(VLOOKUP(X149,SMMLV!$A$2:$B$38,2,FALSE),""))</f>
        <v/>
      </c>
      <c r="Z149" s="17">
        <f>IF(OR(Y149="",P149=""),"",ROUND(P149/Y149,2))</f>
        <v/>
      </c>
      <c r="AA149" s="13">
        <f>IF(Z149="","",ROUND(Z149*SMMLV!$E$4,0))</f>
        <v/>
      </c>
      <c r="AB149" s="13">
        <f>IF(AND(M149="En ejecución",P149&lt;&gt;"",Q149&lt;&gt;""),MAX(P149-Q149,0),"")</f>
        <v/>
      </c>
      <c r="AC149" s="12">
        <f>IF(A149="","",IF(B149="","Falta número de contrato; ","")&amp;IF(C149="","Falta entidad; ","")&amp;IF(E149="","Falta objeto; ","")&amp;IF(F149="","Falta especialidad; ","")&amp;IF(K149="","Falta fecha de inicio (recomendada); ","")&amp;IF(AND(M149&lt;&gt;"En ejecución",L149=""),"Falta fecha de terminación; ","")&amp;IF(AND(K149&lt;&gt;"",L149&lt;&gt;"",L149&lt;K149),"Terminación anterior al inicio; ","")&amp;IF(M149="","Falta estado; ","")&amp;IF(OR(P149="",P149&lt;=0),"Falta valor del contrato; ","")&amp;IF(AND(M149="En ejecución",Q149=""),"En ejecución sin valor ejecutado; ","")&amp;IF(AND(M149="En ejecución",L149&lt;&gt;"",L149&lt;TODAY()),"Dice en ejecución pero su terminación ya pasó; ","")&amp;IF(M149="En ejecución","En ejecución: no acredita experiencia; ","")&amp;IF(AND(M149&lt;&gt;"En ejecución",L149&lt;&gt;"",X149&lt;&gt;"",Y149=""),"El año no está en la hoja SMMLV; ","")&amp;IF(AND(B149&lt;&gt;"",COUNTIFS($B$2:$B$601,B149,$C$2:$C$601,C149)&gt;1),"Posible duplicado (mismo número y entidad); ","")&amp;IF(COUNTIF(PARTICIPACIONES!$A$2:$A$601,A149)=0,"Sin participaciones; ","")&amp;IF(SUMIFS(PARTICIPACIONES!$E$2:$E$601,PARTICIPACIONES!$A$2:$A$601,A149)&gt;1.0001,"Las participaciones suman más de 100 %; ",""))</f>
        <v/>
      </c>
    </row>
    <row r="150">
      <c r="J150" s="15" t="n"/>
      <c r="K150" s="15" t="n"/>
      <c r="L150" s="15" t="n"/>
      <c r="N150" s="15" t="n"/>
      <c r="O150" s="16" t="n"/>
      <c r="P150" s="16" t="n"/>
      <c r="Q150" s="16" t="n"/>
      <c r="W150" s="12">
        <f>IF(AND(K150&lt;&gt;"",L150&lt;&gt;""),ROUND((L150-K150)/30.4375,1),"")</f>
        <v/>
      </c>
      <c r="X150" s="12">
        <f>IF(OR(A150="",M150="En ejecución",L150=""),"",YEAR(L150))</f>
        <v/>
      </c>
      <c r="Y150" s="13">
        <f>IF(X150="","",IFERROR(VLOOKUP(X150,SMMLV!$A$2:$B$38,2,FALSE),""))</f>
        <v/>
      </c>
      <c r="Z150" s="17">
        <f>IF(OR(Y150="",P150=""),"",ROUND(P150/Y150,2))</f>
        <v/>
      </c>
      <c r="AA150" s="13">
        <f>IF(Z150="","",ROUND(Z150*SMMLV!$E$4,0))</f>
        <v/>
      </c>
      <c r="AB150" s="13">
        <f>IF(AND(M150="En ejecución",P150&lt;&gt;"",Q150&lt;&gt;""),MAX(P150-Q150,0),"")</f>
        <v/>
      </c>
      <c r="AC150" s="12">
        <f>IF(A150="","",IF(B150="","Falta número de contrato; ","")&amp;IF(C150="","Falta entidad; ","")&amp;IF(E150="","Falta objeto; ","")&amp;IF(F150="","Falta especialidad; ","")&amp;IF(K150="","Falta fecha de inicio (recomendada); ","")&amp;IF(AND(M150&lt;&gt;"En ejecución",L150=""),"Falta fecha de terminación; ","")&amp;IF(AND(K150&lt;&gt;"",L150&lt;&gt;"",L150&lt;K150),"Terminación anterior al inicio; ","")&amp;IF(M150="","Falta estado; ","")&amp;IF(OR(P150="",P150&lt;=0),"Falta valor del contrato; ","")&amp;IF(AND(M150="En ejecución",Q150=""),"En ejecución sin valor ejecutado; ","")&amp;IF(AND(M150="En ejecución",L150&lt;&gt;"",L150&lt;TODAY()),"Dice en ejecución pero su terminación ya pasó; ","")&amp;IF(M150="En ejecución","En ejecución: no acredita experiencia; ","")&amp;IF(AND(M150&lt;&gt;"En ejecución",L150&lt;&gt;"",X150&lt;&gt;"",Y150=""),"El año no está en la hoja SMMLV; ","")&amp;IF(AND(B150&lt;&gt;"",COUNTIFS($B$2:$B$601,B150,$C$2:$C$601,C150)&gt;1),"Posible duplicado (mismo número y entidad); ","")&amp;IF(COUNTIF(PARTICIPACIONES!$A$2:$A$601,A150)=0,"Sin participaciones; ","")&amp;IF(SUMIFS(PARTICIPACIONES!$E$2:$E$601,PARTICIPACIONES!$A$2:$A$601,A150)&gt;1.0001,"Las participaciones suman más de 100 %; ",""))</f>
        <v/>
      </c>
    </row>
    <row r="151">
      <c r="J151" s="15" t="n"/>
      <c r="K151" s="15" t="n"/>
      <c r="L151" s="15" t="n"/>
      <c r="N151" s="15" t="n"/>
      <c r="O151" s="16" t="n"/>
      <c r="P151" s="16" t="n"/>
      <c r="Q151" s="16" t="n"/>
      <c r="W151" s="12">
        <f>IF(AND(K151&lt;&gt;"",L151&lt;&gt;""),ROUND((L151-K151)/30.4375,1),"")</f>
        <v/>
      </c>
      <c r="X151" s="12">
        <f>IF(OR(A151="",M151="En ejecución",L151=""),"",YEAR(L151))</f>
        <v/>
      </c>
      <c r="Y151" s="13">
        <f>IF(X151="","",IFERROR(VLOOKUP(X151,SMMLV!$A$2:$B$38,2,FALSE),""))</f>
        <v/>
      </c>
      <c r="Z151" s="17">
        <f>IF(OR(Y151="",P151=""),"",ROUND(P151/Y151,2))</f>
        <v/>
      </c>
      <c r="AA151" s="13">
        <f>IF(Z151="","",ROUND(Z151*SMMLV!$E$4,0))</f>
        <v/>
      </c>
      <c r="AB151" s="13">
        <f>IF(AND(M151="En ejecución",P151&lt;&gt;"",Q151&lt;&gt;""),MAX(P151-Q151,0),"")</f>
        <v/>
      </c>
      <c r="AC151" s="12">
        <f>IF(A151="","",IF(B151="","Falta número de contrato; ","")&amp;IF(C151="","Falta entidad; ","")&amp;IF(E151="","Falta objeto; ","")&amp;IF(F151="","Falta especialidad; ","")&amp;IF(K151="","Falta fecha de inicio (recomendada); ","")&amp;IF(AND(M151&lt;&gt;"En ejecución",L151=""),"Falta fecha de terminación; ","")&amp;IF(AND(K151&lt;&gt;"",L151&lt;&gt;"",L151&lt;K151),"Terminación anterior al inicio; ","")&amp;IF(M151="","Falta estado; ","")&amp;IF(OR(P151="",P151&lt;=0),"Falta valor del contrato; ","")&amp;IF(AND(M151="En ejecución",Q151=""),"En ejecución sin valor ejecutado; ","")&amp;IF(AND(M151="En ejecución",L151&lt;&gt;"",L151&lt;TODAY()),"Dice en ejecución pero su terminación ya pasó; ","")&amp;IF(M151="En ejecución","En ejecución: no acredita experiencia; ","")&amp;IF(AND(M151&lt;&gt;"En ejecución",L151&lt;&gt;"",X151&lt;&gt;"",Y151=""),"El año no está en la hoja SMMLV; ","")&amp;IF(AND(B151&lt;&gt;"",COUNTIFS($B$2:$B$601,B151,$C$2:$C$601,C151)&gt;1),"Posible duplicado (mismo número y entidad); ","")&amp;IF(COUNTIF(PARTICIPACIONES!$A$2:$A$601,A151)=0,"Sin participaciones; ","")&amp;IF(SUMIFS(PARTICIPACIONES!$E$2:$E$601,PARTICIPACIONES!$A$2:$A$601,A151)&gt;1.0001,"Las participaciones suman más de 100 %; ",""))</f>
        <v/>
      </c>
    </row>
    <row r="152">
      <c r="J152" s="15" t="n"/>
      <c r="K152" s="15" t="n"/>
      <c r="L152" s="15" t="n"/>
      <c r="N152" s="15" t="n"/>
      <c r="O152" s="16" t="n"/>
      <c r="P152" s="16" t="n"/>
      <c r="Q152" s="16" t="n"/>
      <c r="W152" s="12">
        <f>IF(AND(K152&lt;&gt;"",L152&lt;&gt;""),ROUND((L152-K152)/30.4375,1),"")</f>
        <v/>
      </c>
      <c r="X152" s="12">
        <f>IF(OR(A152="",M152="En ejecución",L152=""),"",YEAR(L152))</f>
        <v/>
      </c>
      <c r="Y152" s="13">
        <f>IF(X152="","",IFERROR(VLOOKUP(X152,SMMLV!$A$2:$B$38,2,FALSE),""))</f>
        <v/>
      </c>
      <c r="Z152" s="17">
        <f>IF(OR(Y152="",P152=""),"",ROUND(P152/Y152,2))</f>
        <v/>
      </c>
      <c r="AA152" s="13">
        <f>IF(Z152="","",ROUND(Z152*SMMLV!$E$4,0))</f>
        <v/>
      </c>
      <c r="AB152" s="13">
        <f>IF(AND(M152="En ejecución",P152&lt;&gt;"",Q152&lt;&gt;""),MAX(P152-Q152,0),"")</f>
        <v/>
      </c>
      <c r="AC152" s="12">
        <f>IF(A152="","",IF(B152="","Falta número de contrato; ","")&amp;IF(C152="","Falta entidad; ","")&amp;IF(E152="","Falta objeto; ","")&amp;IF(F152="","Falta especialidad; ","")&amp;IF(K152="","Falta fecha de inicio (recomendada); ","")&amp;IF(AND(M152&lt;&gt;"En ejecución",L152=""),"Falta fecha de terminación; ","")&amp;IF(AND(K152&lt;&gt;"",L152&lt;&gt;"",L152&lt;K152),"Terminación anterior al inicio; ","")&amp;IF(M152="","Falta estado; ","")&amp;IF(OR(P152="",P152&lt;=0),"Falta valor del contrato; ","")&amp;IF(AND(M152="En ejecución",Q152=""),"En ejecución sin valor ejecutado; ","")&amp;IF(AND(M152="En ejecución",L152&lt;&gt;"",L152&lt;TODAY()),"Dice en ejecución pero su terminación ya pasó; ","")&amp;IF(M152="En ejecución","En ejecución: no acredita experiencia; ","")&amp;IF(AND(M152&lt;&gt;"En ejecución",L152&lt;&gt;"",X152&lt;&gt;"",Y152=""),"El año no está en la hoja SMMLV; ","")&amp;IF(AND(B152&lt;&gt;"",COUNTIFS($B$2:$B$601,B152,$C$2:$C$601,C152)&gt;1),"Posible duplicado (mismo número y entidad); ","")&amp;IF(COUNTIF(PARTICIPACIONES!$A$2:$A$601,A152)=0,"Sin participaciones; ","")&amp;IF(SUMIFS(PARTICIPACIONES!$E$2:$E$601,PARTICIPACIONES!$A$2:$A$601,A152)&gt;1.0001,"Las participaciones suman más de 100 %; ",""))</f>
        <v/>
      </c>
    </row>
    <row r="153">
      <c r="J153" s="15" t="n"/>
      <c r="K153" s="15" t="n"/>
      <c r="L153" s="15" t="n"/>
      <c r="N153" s="15" t="n"/>
      <c r="O153" s="16" t="n"/>
      <c r="P153" s="16" t="n"/>
      <c r="Q153" s="16" t="n"/>
      <c r="W153" s="12">
        <f>IF(AND(K153&lt;&gt;"",L153&lt;&gt;""),ROUND((L153-K153)/30.4375,1),"")</f>
        <v/>
      </c>
      <c r="X153" s="12">
        <f>IF(OR(A153="",M153="En ejecución",L153=""),"",YEAR(L153))</f>
        <v/>
      </c>
      <c r="Y153" s="13">
        <f>IF(X153="","",IFERROR(VLOOKUP(X153,SMMLV!$A$2:$B$38,2,FALSE),""))</f>
        <v/>
      </c>
      <c r="Z153" s="17">
        <f>IF(OR(Y153="",P153=""),"",ROUND(P153/Y153,2))</f>
        <v/>
      </c>
      <c r="AA153" s="13">
        <f>IF(Z153="","",ROUND(Z153*SMMLV!$E$4,0))</f>
        <v/>
      </c>
      <c r="AB153" s="13">
        <f>IF(AND(M153="En ejecución",P153&lt;&gt;"",Q153&lt;&gt;""),MAX(P153-Q153,0),"")</f>
        <v/>
      </c>
      <c r="AC153" s="12">
        <f>IF(A153="","",IF(B153="","Falta número de contrato; ","")&amp;IF(C153="","Falta entidad; ","")&amp;IF(E153="","Falta objeto; ","")&amp;IF(F153="","Falta especialidad; ","")&amp;IF(K153="","Falta fecha de inicio (recomendada); ","")&amp;IF(AND(M153&lt;&gt;"En ejecución",L153=""),"Falta fecha de terminación; ","")&amp;IF(AND(K153&lt;&gt;"",L153&lt;&gt;"",L153&lt;K153),"Terminación anterior al inicio; ","")&amp;IF(M153="","Falta estado; ","")&amp;IF(OR(P153="",P153&lt;=0),"Falta valor del contrato; ","")&amp;IF(AND(M153="En ejecución",Q153=""),"En ejecución sin valor ejecutado; ","")&amp;IF(AND(M153="En ejecución",L153&lt;&gt;"",L153&lt;TODAY()),"Dice en ejecución pero su terminación ya pasó; ","")&amp;IF(M153="En ejecución","En ejecución: no acredita experiencia; ","")&amp;IF(AND(M153&lt;&gt;"En ejecución",L153&lt;&gt;"",X153&lt;&gt;"",Y153=""),"El año no está en la hoja SMMLV; ","")&amp;IF(AND(B153&lt;&gt;"",COUNTIFS($B$2:$B$601,B153,$C$2:$C$601,C153)&gt;1),"Posible duplicado (mismo número y entidad); ","")&amp;IF(COUNTIF(PARTICIPACIONES!$A$2:$A$601,A153)=0,"Sin participaciones; ","")&amp;IF(SUMIFS(PARTICIPACIONES!$E$2:$E$601,PARTICIPACIONES!$A$2:$A$601,A153)&gt;1.0001,"Las participaciones suman más de 100 %; ",""))</f>
        <v/>
      </c>
    </row>
    <row r="154">
      <c r="J154" s="15" t="n"/>
      <c r="K154" s="15" t="n"/>
      <c r="L154" s="15" t="n"/>
      <c r="N154" s="15" t="n"/>
      <c r="O154" s="16" t="n"/>
      <c r="P154" s="16" t="n"/>
      <c r="Q154" s="16" t="n"/>
      <c r="W154" s="12">
        <f>IF(AND(K154&lt;&gt;"",L154&lt;&gt;""),ROUND((L154-K154)/30.4375,1),"")</f>
        <v/>
      </c>
      <c r="X154" s="12">
        <f>IF(OR(A154="",M154="En ejecución",L154=""),"",YEAR(L154))</f>
        <v/>
      </c>
      <c r="Y154" s="13">
        <f>IF(X154="","",IFERROR(VLOOKUP(X154,SMMLV!$A$2:$B$38,2,FALSE),""))</f>
        <v/>
      </c>
      <c r="Z154" s="17">
        <f>IF(OR(Y154="",P154=""),"",ROUND(P154/Y154,2))</f>
        <v/>
      </c>
      <c r="AA154" s="13">
        <f>IF(Z154="","",ROUND(Z154*SMMLV!$E$4,0))</f>
        <v/>
      </c>
      <c r="AB154" s="13">
        <f>IF(AND(M154="En ejecución",P154&lt;&gt;"",Q154&lt;&gt;""),MAX(P154-Q154,0),"")</f>
        <v/>
      </c>
      <c r="AC154" s="12">
        <f>IF(A154="","",IF(B154="","Falta número de contrato; ","")&amp;IF(C154="","Falta entidad; ","")&amp;IF(E154="","Falta objeto; ","")&amp;IF(F154="","Falta especialidad; ","")&amp;IF(K154="","Falta fecha de inicio (recomendada); ","")&amp;IF(AND(M154&lt;&gt;"En ejecución",L154=""),"Falta fecha de terminación; ","")&amp;IF(AND(K154&lt;&gt;"",L154&lt;&gt;"",L154&lt;K154),"Terminación anterior al inicio; ","")&amp;IF(M154="","Falta estado; ","")&amp;IF(OR(P154="",P154&lt;=0),"Falta valor del contrato; ","")&amp;IF(AND(M154="En ejecución",Q154=""),"En ejecución sin valor ejecutado; ","")&amp;IF(AND(M154="En ejecución",L154&lt;&gt;"",L154&lt;TODAY()),"Dice en ejecución pero su terminación ya pasó; ","")&amp;IF(M154="En ejecución","En ejecución: no acredita experiencia; ","")&amp;IF(AND(M154&lt;&gt;"En ejecución",L154&lt;&gt;"",X154&lt;&gt;"",Y154=""),"El año no está en la hoja SMMLV; ","")&amp;IF(AND(B154&lt;&gt;"",COUNTIFS($B$2:$B$601,B154,$C$2:$C$601,C154)&gt;1),"Posible duplicado (mismo número y entidad); ","")&amp;IF(COUNTIF(PARTICIPACIONES!$A$2:$A$601,A154)=0,"Sin participaciones; ","")&amp;IF(SUMIFS(PARTICIPACIONES!$E$2:$E$601,PARTICIPACIONES!$A$2:$A$601,A154)&gt;1.0001,"Las participaciones suman más de 100 %; ",""))</f>
        <v/>
      </c>
    </row>
    <row r="155">
      <c r="J155" s="15" t="n"/>
      <c r="K155" s="15" t="n"/>
      <c r="L155" s="15" t="n"/>
      <c r="N155" s="15" t="n"/>
      <c r="O155" s="16" t="n"/>
      <c r="P155" s="16" t="n"/>
      <c r="Q155" s="16" t="n"/>
      <c r="W155" s="12">
        <f>IF(AND(K155&lt;&gt;"",L155&lt;&gt;""),ROUND((L155-K155)/30.4375,1),"")</f>
        <v/>
      </c>
      <c r="X155" s="12">
        <f>IF(OR(A155="",M155="En ejecución",L155=""),"",YEAR(L155))</f>
        <v/>
      </c>
      <c r="Y155" s="13">
        <f>IF(X155="","",IFERROR(VLOOKUP(X155,SMMLV!$A$2:$B$38,2,FALSE),""))</f>
        <v/>
      </c>
      <c r="Z155" s="17">
        <f>IF(OR(Y155="",P155=""),"",ROUND(P155/Y155,2))</f>
        <v/>
      </c>
      <c r="AA155" s="13">
        <f>IF(Z155="","",ROUND(Z155*SMMLV!$E$4,0))</f>
        <v/>
      </c>
      <c r="AB155" s="13">
        <f>IF(AND(M155="En ejecución",P155&lt;&gt;"",Q155&lt;&gt;""),MAX(P155-Q155,0),"")</f>
        <v/>
      </c>
      <c r="AC155" s="12">
        <f>IF(A155="","",IF(B155="","Falta número de contrato; ","")&amp;IF(C155="","Falta entidad; ","")&amp;IF(E155="","Falta objeto; ","")&amp;IF(F155="","Falta especialidad; ","")&amp;IF(K155="","Falta fecha de inicio (recomendada); ","")&amp;IF(AND(M155&lt;&gt;"En ejecución",L155=""),"Falta fecha de terminación; ","")&amp;IF(AND(K155&lt;&gt;"",L155&lt;&gt;"",L155&lt;K155),"Terminación anterior al inicio; ","")&amp;IF(M155="","Falta estado; ","")&amp;IF(OR(P155="",P155&lt;=0),"Falta valor del contrato; ","")&amp;IF(AND(M155="En ejecución",Q155=""),"En ejecución sin valor ejecutado; ","")&amp;IF(AND(M155="En ejecución",L155&lt;&gt;"",L155&lt;TODAY()),"Dice en ejecución pero su terminación ya pasó; ","")&amp;IF(M155="En ejecución","En ejecución: no acredita experiencia; ","")&amp;IF(AND(M155&lt;&gt;"En ejecución",L155&lt;&gt;"",X155&lt;&gt;"",Y155=""),"El año no está en la hoja SMMLV; ","")&amp;IF(AND(B155&lt;&gt;"",COUNTIFS($B$2:$B$601,B155,$C$2:$C$601,C155)&gt;1),"Posible duplicado (mismo número y entidad); ","")&amp;IF(COUNTIF(PARTICIPACIONES!$A$2:$A$601,A155)=0,"Sin participaciones; ","")&amp;IF(SUMIFS(PARTICIPACIONES!$E$2:$E$601,PARTICIPACIONES!$A$2:$A$601,A155)&gt;1.0001,"Las participaciones suman más de 100 %; ",""))</f>
        <v/>
      </c>
    </row>
    <row r="156">
      <c r="J156" s="15" t="n"/>
      <c r="K156" s="15" t="n"/>
      <c r="L156" s="15" t="n"/>
      <c r="N156" s="15" t="n"/>
      <c r="O156" s="16" t="n"/>
      <c r="P156" s="16" t="n"/>
      <c r="Q156" s="16" t="n"/>
      <c r="W156" s="12">
        <f>IF(AND(K156&lt;&gt;"",L156&lt;&gt;""),ROUND((L156-K156)/30.4375,1),"")</f>
        <v/>
      </c>
      <c r="X156" s="12">
        <f>IF(OR(A156="",M156="En ejecución",L156=""),"",YEAR(L156))</f>
        <v/>
      </c>
      <c r="Y156" s="13">
        <f>IF(X156="","",IFERROR(VLOOKUP(X156,SMMLV!$A$2:$B$38,2,FALSE),""))</f>
        <v/>
      </c>
      <c r="Z156" s="17">
        <f>IF(OR(Y156="",P156=""),"",ROUND(P156/Y156,2))</f>
        <v/>
      </c>
      <c r="AA156" s="13">
        <f>IF(Z156="","",ROUND(Z156*SMMLV!$E$4,0))</f>
        <v/>
      </c>
      <c r="AB156" s="13">
        <f>IF(AND(M156="En ejecución",P156&lt;&gt;"",Q156&lt;&gt;""),MAX(P156-Q156,0),"")</f>
        <v/>
      </c>
      <c r="AC156" s="12">
        <f>IF(A156="","",IF(B156="","Falta número de contrato; ","")&amp;IF(C156="","Falta entidad; ","")&amp;IF(E156="","Falta objeto; ","")&amp;IF(F156="","Falta especialidad; ","")&amp;IF(K156="","Falta fecha de inicio (recomendada); ","")&amp;IF(AND(M156&lt;&gt;"En ejecución",L156=""),"Falta fecha de terminación; ","")&amp;IF(AND(K156&lt;&gt;"",L156&lt;&gt;"",L156&lt;K156),"Terminación anterior al inicio; ","")&amp;IF(M156="","Falta estado; ","")&amp;IF(OR(P156="",P156&lt;=0),"Falta valor del contrato; ","")&amp;IF(AND(M156="En ejecución",Q156=""),"En ejecución sin valor ejecutado; ","")&amp;IF(AND(M156="En ejecución",L156&lt;&gt;"",L156&lt;TODAY()),"Dice en ejecución pero su terminación ya pasó; ","")&amp;IF(M156="En ejecución","En ejecución: no acredita experiencia; ","")&amp;IF(AND(M156&lt;&gt;"En ejecución",L156&lt;&gt;"",X156&lt;&gt;"",Y156=""),"El año no está en la hoja SMMLV; ","")&amp;IF(AND(B156&lt;&gt;"",COUNTIFS($B$2:$B$601,B156,$C$2:$C$601,C156)&gt;1),"Posible duplicado (mismo número y entidad); ","")&amp;IF(COUNTIF(PARTICIPACIONES!$A$2:$A$601,A156)=0,"Sin participaciones; ","")&amp;IF(SUMIFS(PARTICIPACIONES!$E$2:$E$601,PARTICIPACIONES!$A$2:$A$601,A156)&gt;1.0001,"Las participaciones suman más de 100 %; ",""))</f>
        <v/>
      </c>
    </row>
    <row r="157">
      <c r="J157" s="15" t="n"/>
      <c r="K157" s="15" t="n"/>
      <c r="L157" s="15" t="n"/>
      <c r="N157" s="15" t="n"/>
      <c r="O157" s="16" t="n"/>
      <c r="P157" s="16" t="n"/>
      <c r="Q157" s="16" t="n"/>
      <c r="W157" s="12">
        <f>IF(AND(K157&lt;&gt;"",L157&lt;&gt;""),ROUND((L157-K157)/30.4375,1),"")</f>
        <v/>
      </c>
      <c r="X157" s="12">
        <f>IF(OR(A157="",M157="En ejecución",L157=""),"",YEAR(L157))</f>
        <v/>
      </c>
      <c r="Y157" s="13">
        <f>IF(X157="","",IFERROR(VLOOKUP(X157,SMMLV!$A$2:$B$38,2,FALSE),""))</f>
        <v/>
      </c>
      <c r="Z157" s="17">
        <f>IF(OR(Y157="",P157=""),"",ROUND(P157/Y157,2))</f>
        <v/>
      </c>
      <c r="AA157" s="13">
        <f>IF(Z157="","",ROUND(Z157*SMMLV!$E$4,0))</f>
        <v/>
      </c>
      <c r="AB157" s="13">
        <f>IF(AND(M157="En ejecución",P157&lt;&gt;"",Q157&lt;&gt;""),MAX(P157-Q157,0),"")</f>
        <v/>
      </c>
      <c r="AC157" s="12">
        <f>IF(A157="","",IF(B157="","Falta número de contrato; ","")&amp;IF(C157="","Falta entidad; ","")&amp;IF(E157="","Falta objeto; ","")&amp;IF(F157="","Falta especialidad; ","")&amp;IF(K157="","Falta fecha de inicio (recomendada); ","")&amp;IF(AND(M157&lt;&gt;"En ejecución",L157=""),"Falta fecha de terminación; ","")&amp;IF(AND(K157&lt;&gt;"",L157&lt;&gt;"",L157&lt;K157),"Terminación anterior al inicio; ","")&amp;IF(M157="","Falta estado; ","")&amp;IF(OR(P157="",P157&lt;=0),"Falta valor del contrato; ","")&amp;IF(AND(M157="En ejecución",Q157=""),"En ejecución sin valor ejecutado; ","")&amp;IF(AND(M157="En ejecución",L157&lt;&gt;"",L157&lt;TODAY()),"Dice en ejecución pero su terminación ya pasó; ","")&amp;IF(M157="En ejecución","En ejecución: no acredita experiencia; ","")&amp;IF(AND(M157&lt;&gt;"En ejecución",L157&lt;&gt;"",X157&lt;&gt;"",Y157=""),"El año no está en la hoja SMMLV; ","")&amp;IF(AND(B157&lt;&gt;"",COUNTIFS($B$2:$B$601,B157,$C$2:$C$601,C157)&gt;1),"Posible duplicado (mismo número y entidad); ","")&amp;IF(COUNTIF(PARTICIPACIONES!$A$2:$A$601,A157)=0,"Sin participaciones; ","")&amp;IF(SUMIFS(PARTICIPACIONES!$E$2:$E$601,PARTICIPACIONES!$A$2:$A$601,A157)&gt;1.0001,"Las participaciones suman más de 100 %; ",""))</f>
        <v/>
      </c>
    </row>
    <row r="158">
      <c r="J158" s="15" t="n"/>
      <c r="K158" s="15" t="n"/>
      <c r="L158" s="15" t="n"/>
      <c r="N158" s="15" t="n"/>
      <c r="O158" s="16" t="n"/>
      <c r="P158" s="16" t="n"/>
      <c r="Q158" s="16" t="n"/>
      <c r="W158" s="12">
        <f>IF(AND(K158&lt;&gt;"",L158&lt;&gt;""),ROUND((L158-K158)/30.4375,1),"")</f>
        <v/>
      </c>
      <c r="X158" s="12">
        <f>IF(OR(A158="",M158="En ejecución",L158=""),"",YEAR(L158))</f>
        <v/>
      </c>
      <c r="Y158" s="13">
        <f>IF(X158="","",IFERROR(VLOOKUP(X158,SMMLV!$A$2:$B$38,2,FALSE),""))</f>
        <v/>
      </c>
      <c r="Z158" s="17">
        <f>IF(OR(Y158="",P158=""),"",ROUND(P158/Y158,2))</f>
        <v/>
      </c>
      <c r="AA158" s="13">
        <f>IF(Z158="","",ROUND(Z158*SMMLV!$E$4,0))</f>
        <v/>
      </c>
      <c r="AB158" s="13">
        <f>IF(AND(M158="En ejecución",P158&lt;&gt;"",Q158&lt;&gt;""),MAX(P158-Q158,0),"")</f>
        <v/>
      </c>
      <c r="AC158" s="12">
        <f>IF(A158="","",IF(B158="","Falta número de contrato; ","")&amp;IF(C158="","Falta entidad; ","")&amp;IF(E158="","Falta objeto; ","")&amp;IF(F158="","Falta especialidad; ","")&amp;IF(K158="","Falta fecha de inicio (recomendada); ","")&amp;IF(AND(M158&lt;&gt;"En ejecución",L158=""),"Falta fecha de terminación; ","")&amp;IF(AND(K158&lt;&gt;"",L158&lt;&gt;"",L158&lt;K158),"Terminación anterior al inicio; ","")&amp;IF(M158="","Falta estado; ","")&amp;IF(OR(P158="",P158&lt;=0),"Falta valor del contrato; ","")&amp;IF(AND(M158="En ejecución",Q158=""),"En ejecución sin valor ejecutado; ","")&amp;IF(AND(M158="En ejecución",L158&lt;&gt;"",L158&lt;TODAY()),"Dice en ejecución pero su terminación ya pasó; ","")&amp;IF(M158="En ejecución","En ejecución: no acredita experiencia; ","")&amp;IF(AND(M158&lt;&gt;"En ejecución",L158&lt;&gt;"",X158&lt;&gt;"",Y158=""),"El año no está en la hoja SMMLV; ","")&amp;IF(AND(B158&lt;&gt;"",COUNTIFS($B$2:$B$601,B158,$C$2:$C$601,C158)&gt;1),"Posible duplicado (mismo número y entidad); ","")&amp;IF(COUNTIF(PARTICIPACIONES!$A$2:$A$601,A158)=0,"Sin participaciones; ","")&amp;IF(SUMIFS(PARTICIPACIONES!$E$2:$E$601,PARTICIPACIONES!$A$2:$A$601,A158)&gt;1.0001,"Las participaciones suman más de 100 %; ",""))</f>
        <v/>
      </c>
    </row>
    <row r="159">
      <c r="J159" s="15" t="n"/>
      <c r="K159" s="15" t="n"/>
      <c r="L159" s="15" t="n"/>
      <c r="N159" s="15" t="n"/>
      <c r="O159" s="16" t="n"/>
      <c r="P159" s="16" t="n"/>
      <c r="Q159" s="16" t="n"/>
      <c r="W159" s="12">
        <f>IF(AND(K159&lt;&gt;"",L159&lt;&gt;""),ROUND((L159-K159)/30.4375,1),"")</f>
        <v/>
      </c>
      <c r="X159" s="12">
        <f>IF(OR(A159="",M159="En ejecución",L159=""),"",YEAR(L159))</f>
        <v/>
      </c>
      <c r="Y159" s="13">
        <f>IF(X159="","",IFERROR(VLOOKUP(X159,SMMLV!$A$2:$B$38,2,FALSE),""))</f>
        <v/>
      </c>
      <c r="Z159" s="17">
        <f>IF(OR(Y159="",P159=""),"",ROUND(P159/Y159,2))</f>
        <v/>
      </c>
      <c r="AA159" s="13">
        <f>IF(Z159="","",ROUND(Z159*SMMLV!$E$4,0))</f>
        <v/>
      </c>
      <c r="AB159" s="13">
        <f>IF(AND(M159="En ejecución",P159&lt;&gt;"",Q159&lt;&gt;""),MAX(P159-Q159,0),"")</f>
        <v/>
      </c>
      <c r="AC159" s="12">
        <f>IF(A159="","",IF(B159="","Falta número de contrato; ","")&amp;IF(C159="","Falta entidad; ","")&amp;IF(E159="","Falta objeto; ","")&amp;IF(F159="","Falta especialidad; ","")&amp;IF(K159="","Falta fecha de inicio (recomendada); ","")&amp;IF(AND(M159&lt;&gt;"En ejecución",L159=""),"Falta fecha de terminación; ","")&amp;IF(AND(K159&lt;&gt;"",L159&lt;&gt;"",L159&lt;K159),"Terminación anterior al inicio; ","")&amp;IF(M159="","Falta estado; ","")&amp;IF(OR(P159="",P159&lt;=0),"Falta valor del contrato; ","")&amp;IF(AND(M159="En ejecución",Q159=""),"En ejecución sin valor ejecutado; ","")&amp;IF(AND(M159="En ejecución",L159&lt;&gt;"",L159&lt;TODAY()),"Dice en ejecución pero su terminación ya pasó; ","")&amp;IF(M159="En ejecución","En ejecución: no acredita experiencia; ","")&amp;IF(AND(M159&lt;&gt;"En ejecución",L159&lt;&gt;"",X159&lt;&gt;"",Y159=""),"El año no está en la hoja SMMLV; ","")&amp;IF(AND(B159&lt;&gt;"",COUNTIFS($B$2:$B$601,B159,$C$2:$C$601,C159)&gt;1),"Posible duplicado (mismo número y entidad); ","")&amp;IF(COUNTIF(PARTICIPACIONES!$A$2:$A$601,A159)=0,"Sin participaciones; ","")&amp;IF(SUMIFS(PARTICIPACIONES!$E$2:$E$601,PARTICIPACIONES!$A$2:$A$601,A159)&gt;1.0001,"Las participaciones suman más de 100 %; ",""))</f>
        <v/>
      </c>
    </row>
    <row r="160">
      <c r="J160" s="15" t="n"/>
      <c r="K160" s="15" t="n"/>
      <c r="L160" s="15" t="n"/>
      <c r="N160" s="15" t="n"/>
      <c r="O160" s="16" t="n"/>
      <c r="P160" s="16" t="n"/>
      <c r="Q160" s="16" t="n"/>
      <c r="W160" s="12">
        <f>IF(AND(K160&lt;&gt;"",L160&lt;&gt;""),ROUND((L160-K160)/30.4375,1),"")</f>
        <v/>
      </c>
      <c r="X160" s="12">
        <f>IF(OR(A160="",M160="En ejecución",L160=""),"",YEAR(L160))</f>
        <v/>
      </c>
      <c r="Y160" s="13">
        <f>IF(X160="","",IFERROR(VLOOKUP(X160,SMMLV!$A$2:$B$38,2,FALSE),""))</f>
        <v/>
      </c>
      <c r="Z160" s="17">
        <f>IF(OR(Y160="",P160=""),"",ROUND(P160/Y160,2))</f>
        <v/>
      </c>
      <c r="AA160" s="13">
        <f>IF(Z160="","",ROUND(Z160*SMMLV!$E$4,0))</f>
        <v/>
      </c>
      <c r="AB160" s="13">
        <f>IF(AND(M160="En ejecución",P160&lt;&gt;"",Q160&lt;&gt;""),MAX(P160-Q160,0),"")</f>
        <v/>
      </c>
      <c r="AC160" s="12">
        <f>IF(A160="","",IF(B160="","Falta número de contrato; ","")&amp;IF(C160="","Falta entidad; ","")&amp;IF(E160="","Falta objeto; ","")&amp;IF(F160="","Falta especialidad; ","")&amp;IF(K160="","Falta fecha de inicio (recomendada); ","")&amp;IF(AND(M160&lt;&gt;"En ejecución",L160=""),"Falta fecha de terminación; ","")&amp;IF(AND(K160&lt;&gt;"",L160&lt;&gt;"",L160&lt;K160),"Terminación anterior al inicio; ","")&amp;IF(M160="","Falta estado; ","")&amp;IF(OR(P160="",P160&lt;=0),"Falta valor del contrato; ","")&amp;IF(AND(M160="En ejecución",Q160=""),"En ejecución sin valor ejecutado; ","")&amp;IF(AND(M160="En ejecución",L160&lt;&gt;"",L160&lt;TODAY()),"Dice en ejecución pero su terminación ya pasó; ","")&amp;IF(M160="En ejecución","En ejecución: no acredita experiencia; ","")&amp;IF(AND(M160&lt;&gt;"En ejecución",L160&lt;&gt;"",X160&lt;&gt;"",Y160=""),"El año no está en la hoja SMMLV; ","")&amp;IF(AND(B160&lt;&gt;"",COUNTIFS($B$2:$B$601,B160,$C$2:$C$601,C160)&gt;1),"Posible duplicado (mismo número y entidad); ","")&amp;IF(COUNTIF(PARTICIPACIONES!$A$2:$A$601,A160)=0,"Sin participaciones; ","")&amp;IF(SUMIFS(PARTICIPACIONES!$E$2:$E$601,PARTICIPACIONES!$A$2:$A$601,A160)&gt;1.0001,"Las participaciones suman más de 100 %; ",""))</f>
        <v/>
      </c>
    </row>
    <row r="161">
      <c r="J161" s="15" t="n"/>
      <c r="K161" s="15" t="n"/>
      <c r="L161" s="15" t="n"/>
      <c r="N161" s="15" t="n"/>
      <c r="O161" s="16" t="n"/>
      <c r="P161" s="16" t="n"/>
      <c r="Q161" s="16" t="n"/>
      <c r="W161" s="12">
        <f>IF(AND(K161&lt;&gt;"",L161&lt;&gt;""),ROUND((L161-K161)/30.4375,1),"")</f>
        <v/>
      </c>
      <c r="X161" s="12">
        <f>IF(OR(A161="",M161="En ejecución",L161=""),"",YEAR(L161))</f>
        <v/>
      </c>
      <c r="Y161" s="13">
        <f>IF(X161="","",IFERROR(VLOOKUP(X161,SMMLV!$A$2:$B$38,2,FALSE),""))</f>
        <v/>
      </c>
      <c r="Z161" s="17">
        <f>IF(OR(Y161="",P161=""),"",ROUND(P161/Y161,2))</f>
        <v/>
      </c>
      <c r="AA161" s="13">
        <f>IF(Z161="","",ROUND(Z161*SMMLV!$E$4,0))</f>
        <v/>
      </c>
      <c r="AB161" s="13">
        <f>IF(AND(M161="En ejecución",P161&lt;&gt;"",Q161&lt;&gt;""),MAX(P161-Q161,0),"")</f>
        <v/>
      </c>
      <c r="AC161" s="12">
        <f>IF(A161="","",IF(B161="","Falta número de contrato; ","")&amp;IF(C161="","Falta entidad; ","")&amp;IF(E161="","Falta objeto; ","")&amp;IF(F161="","Falta especialidad; ","")&amp;IF(K161="","Falta fecha de inicio (recomendada); ","")&amp;IF(AND(M161&lt;&gt;"En ejecución",L161=""),"Falta fecha de terminación; ","")&amp;IF(AND(K161&lt;&gt;"",L161&lt;&gt;"",L161&lt;K161),"Terminación anterior al inicio; ","")&amp;IF(M161="","Falta estado; ","")&amp;IF(OR(P161="",P161&lt;=0),"Falta valor del contrato; ","")&amp;IF(AND(M161="En ejecución",Q161=""),"En ejecución sin valor ejecutado; ","")&amp;IF(AND(M161="En ejecución",L161&lt;&gt;"",L161&lt;TODAY()),"Dice en ejecución pero su terminación ya pasó; ","")&amp;IF(M161="En ejecución","En ejecución: no acredita experiencia; ","")&amp;IF(AND(M161&lt;&gt;"En ejecución",L161&lt;&gt;"",X161&lt;&gt;"",Y161=""),"El año no está en la hoja SMMLV; ","")&amp;IF(AND(B161&lt;&gt;"",COUNTIFS($B$2:$B$601,B161,$C$2:$C$601,C161)&gt;1),"Posible duplicado (mismo número y entidad); ","")&amp;IF(COUNTIF(PARTICIPACIONES!$A$2:$A$601,A161)=0,"Sin participaciones; ","")&amp;IF(SUMIFS(PARTICIPACIONES!$E$2:$E$601,PARTICIPACIONES!$A$2:$A$601,A161)&gt;1.0001,"Las participaciones suman más de 100 %; ",""))</f>
        <v/>
      </c>
    </row>
    <row r="162">
      <c r="J162" s="15" t="n"/>
      <c r="K162" s="15" t="n"/>
      <c r="L162" s="15" t="n"/>
      <c r="N162" s="15" t="n"/>
      <c r="O162" s="16" t="n"/>
      <c r="P162" s="16" t="n"/>
      <c r="Q162" s="16" t="n"/>
      <c r="W162" s="12">
        <f>IF(AND(K162&lt;&gt;"",L162&lt;&gt;""),ROUND((L162-K162)/30.4375,1),"")</f>
        <v/>
      </c>
      <c r="X162" s="12">
        <f>IF(OR(A162="",M162="En ejecución",L162=""),"",YEAR(L162))</f>
        <v/>
      </c>
      <c r="Y162" s="13">
        <f>IF(X162="","",IFERROR(VLOOKUP(X162,SMMLV!$A$2:$B$38,2,FALSE),""))</f>
        <v/>
      </c>
      <c r="Z162" s="17">
        <f>IF(OR(Y162="",P162=""),"",ROUND(P162/Y162,2))</f>
        <v/>
      </c>
      <c r="AA162" s="13">
        <f>IF(Z162="","",ROUND(Z162*SMMLV!$E$4,0))</f>
        <v/>
      </c>
      <c r="AB162" s="13">
        <f>IF(AND(M162="En ejecución",P162&lt;&gt;"",Q162&lt;&gt;""),MAX(P162-Q162,0),"")</f>
        <v/>
      </c>
      <c r="AC162" s="12">
        <f>IF(A162="","",IF(B162="","Falta número de contrato; ","")&amp;IF(C162="","Falta entidad; ","")&amp;IF(E162="","Falta objeto; ","")&amp;IF(F162="","Falta especialidad; ","")&amp;IF(K162="","Falta fecha de inicio (recomendada); ","")&amp;IF(AND(M162&lt;&gt;"En ejecución",L162=""),"Falta fecha de terminación; ","")&amp;IF(AND(K162&lt;&gt;"",L162&lt;&gt;"",L162&lt;K162),"Terminación anterior al inicio; ","")&amp;IF(M162="","Falta estado; ","")&amp;IF(OR(P162="",P162&lt;=0),"Falta valor del contrato; ","")&amp;IF(AND(M162="En ejecución",Q162=""),"En ejecución sin valor ejecutado; ","")&amp;IF(AND(M162="En ejecución",L162&lt;&gt;"",L162&lt;TODAY()),"Dice en ejecución pero su terminación ya pasó; ","")&amp;IF(M162="En ejecución","En ejecución: no acredita experiencia; ","")&amp;IF(AND(M162&lt;&gt;"En ejecución",L162&lt;&gt;"",X162&lt;&gt;"",Y162=""),"El año no está en la hoja SMMLV; ","")&amp;IF(AND(B162&lt;&gt;"",COUNTIFS($B$2:$B$601,B162,$C$2:$C$601,C162)&gt;1),"Posible duplicado (mismo número y entidad); ","")&amp;IF(COUNTIF(PARTICIPACIONES!$A$2:$A$601,A162)=0,"Sin participaciones; ","")&amp;IF(SUMIFS(PARTICIPACIONES!$E$2:$E$601,PARTICIPACIONES!$A$2:$A$601,A162)&gt;1.0001,"Las participaciones suman más de 100 %; ",""))</f>
        <v/>
      </c>
    </row>
    <row r="163">
      <c r="J163" s="15" t="n"/>
      <c r="K163" s="15" t="n"/>
      <c r="L163" s="15" t="n"/>
      <c r="N163" s="15" t="n"/>
      <c r="O163" s="16" t="n"/>
      <c r="P163" s="16" t="n"/>
      <c r="Q163" s="16" t="n"/>
      <c r="W163" s="12">
        <f>IF(AND(K163&lt;&gt;"",L163&lt;&gt;""),ROUND((L163-K163)/30.4375,1),"")</f>
        <v/>
      </c>
      <c r="X163" s="12">
        <f>IF(OR(A163="",M163="En ejecución",L163=""),"",YEAR(L163))</f>
        <v/>
      </c>
      <c r="Y163" s="13">
        <f>IF(X163="","",IFERROR(VLOOKUP(X163,SMMLV!$A$2:$B$38,2,FALSE),""))</f>
        <v/>
      </c>
      <c r="Z163" s="17">
        <f>IF(OR(Y163="",P163=""),"",ROUND(P163/Y163,2))</f>
        <v/>
      </c>
      <c r="AA163" s="13">
        <f>IF(Z163="","",ROUND(Z163*SMMLV!$E$4,0))</f>
        <v/>
      </c>
      <c r="AB163" s="13">
        <f>IF(AND(M163="En ejecución",P163&lt;&gt;"",Q163&lt;&gt;""),MAX(P163-Q163,0),"")</f>
        <v/>
      </c>
      <c r="AC163" s="12">
        <f>IF(A163="","",IF(B163="","Falta número de contrato; ","")&amp;IF(C163="","Falta entidad; ","")&amp;IF(E163="","Falta objeto; ","")&amp;IF(F163="","Falta especialidad; ","")&amp;IF(K163="","Falta fecha de inicio (recomendada); ","")&amp;IF(AND(M163&lt;&gt;"En ejecución",L163=""),"Falta fecha de terminación; ","")&amp;IF(AND(K163&lt;&gt;"",L163&lt;&gt;"",L163&lt;K163),"Terminación anterior al inicio; ","")&amp;IF(M163="","Falta estado; ","")&amp;IF(OR(P163="",P163&lt;=0),"Falta valor del contrato; ","")&amp;IF(AND(M163="En ejecución",Q163=""),"En ejecución sin valor ejecutado; ","")&amp;IF(AND(M163="En ejecución",L163&lt;&gt;"",L163&lt;TODAY()),"Dice en ejecución pero su terminación ya pasó; ","")&amp;IF(M163="En ejecución","En ejecución: no acredita experiencia; ","")&amp;IF(AND(M163&lt;&gt;"En ejecución",L163&lt;&gt;"",X163&lt;&gt;"",Y163=""),"El año no está en la hoja SMMLV; ","")&amp;IF(AND(B163&lt;&gt;"",COUNTIFS($B$2:$B$601,B163,$C$2:$C$601,C163)&gt;1),"Posible duplicado (mismo número y entidad); ","")&amp;IF(COUNTIF(PARTICIPACIONES!$A$2:$A$601,A163)=0,"Sin participaciones; ","")&amp;IF(SUMIFS(PARTICIPACIONES!$E$2:$E$601,PARTICIPACIONES!$A$2:$A$601,A163)&gt;1.0001,"Las participaciones suman más de 100 %; ",""))</f>
        <v/>
      </c>
    </row>
    <row r="164">
      <c r="J164" s="15" t="n"/>
      <c r="K164" s="15" t="n"/>
      <c r="L164" s="15" t="n"/>
      <c r="N164" s="15" t="n"/>
      <c r="O164" s="16" t="n"/>
      <c r="P164" s="16" t="n"/>
      <c r="Q164" s="16" t="n"/>
      <c r="W164" s="12">
        <f>IF(AND(K164&lt;&gt;"",L164&lt;&gt;""),ROUND((L164-K164)/30.4375,1),"")</f>
        <v/>
      </c>
      <c r="X164" s="12">
        <f>IF(OR(A164="",M164="En ejecución",L164=""),"",YEAR(L164))</f>
        <v/>
      </c>
      <c r="Y164" s="13">
        <f>IF(X164="","",IFERROR(VLOOKUP(X164,SMMLV!$A$2:$B$38,2,FALSE),""))</f>
        <v/>
      </c>
      <c r="Z164" s="17">
        <f>IF(OR(Y164="",P164=""),"",ROUND(P164/Y164,2))</f>
        <v/>
      </c>
      <c r="AA164" s="13">
        <f>IF(Z164="","",ROUND(Z164*SMMLV!$E$4,0))</f>
        <v/>
      </c>
      <c r="AB164" s="13">
        <f>IF(AND(M164="En ejecución",P164&lt;&gt;"",Q164&lt;&gt;""),MAX(P164-Q164,0),"")</f>
        <v/>
      </c>
      <c r="AC164" s="12">
        <f>IF(A164="","",IF(B164="","Falta número de contrato; ","")&amp;IF(C164="","Falta entidad; ","")&amp;IF(E164="","Falta objeto; ","")&amp;IF(F164="","Falta especialidad; ","")&amp;IF(K164="","Falta fecha de inicio (recomendada); ","")&amp;IF(AND(M164&lt;&gt;"En ejecución",L164=""),"Falta fecha de terminación; ","")&amp;IF(AND(K164&lt;&gt;"",L164&lt;&gt;"",L164&lt;K164),"Terminación anterior al inicio; ","")&amp;IF(M164="","Falta estado; ","")&amp;IF(OR(P164="",P164&lt;=0),"Falta valor del contrato; ","")&amp;IF(AND(M164="En ejecución",Q164=""),"En ejecución sin valor ejecutado; ","")&amp;IF(AND(M164="En ejecución",L164&lt;&gt;"",L164&lt;TODAY()),"Dice en ejecución pero su terminación ya pasó; ","")&amp;IF(M164="En ejecución","En ejecución: no acredita experiencia; ","")&amp;IF(AND(M164&lt;&gt;"En ejecución",L164&lt;&gt;"",X164&lt;&gt;"",Y164=""),"El año no está en la hoja SMMLV; ","")&amp;IF(AND(B164&lt;&gt;"",COUNTIFS($B$2:$B$601,B164,$C$2:$C$601,C164)&gt;1),"Posible duplicado (mismo número y entidad); ","")&amp;IF(COUNTIF(PARTICIPACIONES!$A$2:$A$601,A164)=0,"Sin participaciones; ","")&amp;IF(SUMIFS(PARTICIPACIONES!$E$2:$E$601,PARTICIPACIONES!$A$2:$A$601,A164)&gt;1.0001,"Las participaciones suman más de 100 %; ",""))</f>
        <v/>
      </c>
    </row>
    <row r="165">
      <c r="J165" s="15" t="n"/>
      <c r="K165" s="15" t="n"/>
      <c r="L165" s="15" t="n"/>
      <c r="N165" s="15" t="n"/>
      <c r="O165" s="16" t="n"/>
      <c r="P165" s="16" t="n"/>
      <c r="Q165" s="16" t="n"/>
      <c r="W165" s="12">
        <f>IF(AND(K165&lt;&gt;"",L165&lt;&gt;""),ROUND((L165-K165)/30.4375,1),"")</f>
        <v/>
      </c>
      <c r="X165" s="12">
        <f>IF(OR(A165="",M165="En ejecución",L165=""),"",YEAR(L165))</f>
        <v/>
      </c>
      <c r="Y165" s="13">
        <f>IF(X165="","",IFERROR(VLOOKUP(X165,SMMLV!$A$2:$B$38,2,FALSE),""))</f>
        <v/>
      </c>
      <c r="Z165" s="17">
        <f>IF(OR(Y165="",P165=""),"",ROUND(P165/Y165,2))</f>
        <v/>
      </c>
      <c r="AA165" s="13">
        <f>IF(Z165="","",ROUND(Z165*SMMLV!$E$4,0))</f>
        <v/>
      </c>
      <c r="AB165" s="13">
        <f>IF(AND(M165="En ejecución",P165&lt;&gt;"",Q165&lt;&gt;""),MAX(P165-Q165,0),"")</f>
        <v/>
      </c>
      <c r="AC165" s="12">
        <f>IF(A165="","",IF(B165="","Falta número de contrato; ","")&amp;IF(C165="","Falta entidad; ","")&amp;IF(E165="","Falta objeto; ","")&amp;IF(F165="","Falta especialidad; ","")&amp;IF(K165="","Falta fecha de inicio (recomendada); ","")&amp;IF(AND(M165&lt;&gt;"En ejecución",L165=""),"Falta fecha de terminación; ","")&amp;IF(AND(K165&lt;&gt;"",L165&lt;&gt;"",L165&lt;K165),"Terminación anterior al inicio; ","")&amp;IF(M165="","Falta estado; ","")&amp;IF(OR(P165="",P165&lt;=0),"Falta valor del contrato; ","")&amp;IF(AND(M165="En ejecución",Q165=""),"En ejecución sin valor ejecutado; ","")&amp;IF(AND(M165="En ejecución",L165&lt;&gt;"",L165&lt;TODAY()),"Dice en ejecución pero su terminación ya pasó; ","")&amp;IF(M165="En ejecución","En ejecución: no acredita experiencia; ","")&amp;IF(AND(M165&lt;&gt;"En ejecución",L165&lt;&gt;"",X165&lt;&gt;"",Y165=""),"El año no está en la hoja SMMLV; ","")&amp;IF(AND(B165&lt;&gt;"",COUNTIFS($B$2:$B$601,B165,$C$2:$C$601,C165)&gt;1),"Posible duplicado (mismo número y entidad); ","")&amp;IF(COUNTIF(PARTICIPACIONES!$A$2:$A$601,A165)=0,"Sin participaciones; ","")&amp;IF(SUMIFS(PARTICIPACIONES!$E$2:$E$601,PARTICIPACIONES!$A$2:$A$601,A165)&gt;1.0001,"Las participaciones suman más de 100 %; ",""))</f>
        <v/>
      </c>
    </row>
    <row r="166">
      <c r="J166" s="15" t="n"/>
      <c r="K166" s="15" t="n"/>
      <c r="L166" s="15" t="n"/>
      <c r="N166" s="15" t="n"/>
      <c r="O166" s="16" t="n"/>
      <c r="P166" s="16" t="n"/>
      <c r="Q166" s="16" t="n"/>
      <c r="W166" s="12">
        <f>IF(AND(K166&lt;&gt;"",L166&lt;&gt;""),ROUND((L166-K166)/30.4375,1),"")</f>
        <v/>
      </c>
      <c r="X166" s="12">
        <f>IF(OR(A166="",M166="En ejecución",L166=""),"",YEAR(L166))</f>
        <v/>
      </c>
      <c r="Y166" s="13">
        <f>IF(X166="","",IFERROR(VLOOKUP(X166,SMMLV!$A$2:$B$38,2,FALSE),""))</f>
        <v/>
      </c>
      <c r="Z166" s="17">
        <f>IF(OR(Y166="",P166=""),"",ROUND(P166/Y166,2))</f>
        <v/>
      </c>
      <c r="AA166" s="13">
        <f>IF(Z166="","",ROUND(Z166*SMMLV!$E$4,0))</f>
        <v/>
      </c>
      <c r="AB166" s="13">
        <f>IF(AND(M166="En ejecución",P166&lt;&gt;"",Q166&lt;&gt;""),MAX(P166-Q166,0),"")</f>
        <v/>
      </c>
      <c r="AC166" s="12">
        <f>IF(A166="","",IF(B166="","Falta número de contrato; ","")&amp;IF(C166="","Falta entidad; ","")&amp;IF(E166="","Falta objeto; ","")&amp;IF(F166="","Falta especialidad; ","")&amp;IF(K166="","Falta fecha de inicio (recomendada); ","")&amp;IF(AND(M166&lt;&gt;"En ejecución",L166=""),"Falta fecha de terminación; ","")&amp;IF(AND(K166&lt;&gt;"",L166&lt;&gt;"",L166&lt;K166),"Terminación anterior al inicio; ","")&amp;IF(M166="","Falta estado; ","")&amp;IF(OR(P166="",P166&lt;=0),"Falta valor del contrato; ","")&amp;IF(AND(M166="En ejecución",Q166=""),"En ejecución sin valor ejecutado; ","")&amp;IF(AND(M166="En ejecución",L166&lt;&gt;"",L166&lt;TODAY()),"Dice en ejecución pero su terminación ya pasó; ","")&amp;IF(M166="En ejecución","En ejecución: no acredita experiencia; ","")&amp;IF(AND(M166&lt;&gt;"En ejecución",L166&lt;&gt;"",X166&lt;&gt;"",Y166=""),"El año no está en la hoja SMMLV; ","")&amp;IF(AND(B166&lt;&gt;"",COUNTIFS($B$2:$B$601,B166,$C$2:$C$601,C166)&gt;1),"Posible duplicado (mismo número y entidad); ","")&amp;IF(COUNTIF(PARTICIPACIONES!$A$2:$A$601,A166)=0,"Sin participaciones; ","")&amp;IF(SUMIFS(PARTICIPACIONES!$E$2:$E$601,PARTICIPACIONES!$A$2:$A$601,A166)&gt;1.0001,"Las participaciones suman más de 100 %; ",""))</f>
        <v/>
      </c>
    </row>
    <row r="167">
      <c r="J167" s="15" t="n"/>
      <c r="K167" s="15" t="n"/>
      <c r="L167" s="15" t="n"/>
      <c r="N167" s="15" t="n"/>
      <c r="O167" s="16" t="n"/>
      <c r="P167" s="16" t="n"/>
      <c r="Q167" s="16" t="n"/>
      <c r="W167" s="12">
        <f>IF(AND(K167&lt;&gt;"",L167&lt;&gt;""),ROUND((L167-K167)/30.4375,1),"")</f>
        <v/>
      </c>
      <c r="X167" s="12">
        <f>IF(OR(A167="",M167="En ejecución",L167=""),"",YEAR(L167))</f>
        <v/>
      </c>
      <c r="Y167" s="13">
        <f>IF(X167="","",IFERROR(VLOOKUP(X167,SMMLV!$A$2:$B$38,2,FALSE),""))</f>
        <v/>
      </c>
      <c r="Z167" s="17">
        <f>IF(OR(Y167="",P167=""),"",ROUND(P167/Y167,2))</f>
        <v/>
      </c>
      <c r="AA167" s="13">
        <f>IF(Z167="","",ROUND(Z167*SMMLV!$E$4,0))</f>
        <v/>
      </c>
      <c r="AB167" s="13">
        <f>IF(AND(M167="En ejecución",P167&lt;&gt;"",Q167&lt;&gt;""),MAX(P167-Q167,0),"")</f>
        <v/>
      </c>
      <c r="AC167" s="12">
        <f>IF(A167="","",IF(B167="","Falta número de contrato; ","")&amp;IF(C167="","Falta entidad; ","")&amp;IF(E167="","Falta objeto; ","")&amp;IF(F167="","Falta especialidad; ","")&amp;IF(K167="","Falta fecha de inicio (recomendada); ","")&amp;IF(AND(M167&lt;&gt;"En ejecución",L167=""),"Falta fecha de terminación; ","")&amp;IF(AND(K167&lt;&gt;"",L167&lt;&gt;"",L167&lt;K167),"Terminación anterior al inicio; ","")&amp;IF(M167="","Falta estado; ","")&amp;IF(OR(P167="",P167&lt;=0),"Falta valor del contrato; ","")&amp;IF(AND(M167="En ejecución",Q167=""),"En ejecución sin valor ejecutado; ","")&amp;IF(AND(M167="En ejecución",L167&lt;&gt;"",L167&lt;TODAY()),"Dice en ejecución pero su terminación ya pasó; ","")&amp;IF(M167="En ejecución","En ejecución: no acredita experiencia; ","")&amp;IF(AND(M167&lt;&gt;"En ejecución",L167&lt;&gt;"",X167&lt;&gt;"",Y167=""),"El año no está en la hoja SMMLV; ","")&amp;IF(AND(B167&lt;&gt;"",COUNTIFS($B$2:$B$601,B167,$C$2:$C$601,C167)&gt;1),"Posible duplicado (mismo número y entidad); ","")&amp;IF(COUNTIF(PARTICIPACIONES!$A$2:$A$601,A167)=0,"Sin participaciones; ","")&amp;IF(SUMIFS(PARTICIPACIONES!$E$2:$E$601,PARTICIPACIONES!$A$2:$A$601,A167)&gt;1.0001,"Las participaciones suman más de 100 %; ",""))</f>
        <v/>
      </c>
    </row>
    <row r="168">
      <c r="J168" s="15" t="n"/>
      <c r="K168" s="15" t="n"/>
      <c r="L168" s="15" t="n"/>
      <c r="N168" s="15" t="n"/>
      <c r="O168" s="16" t="n"/>
      <c r="P168" s="16" t="n"/>
      <c r="Q168" s="16" t="n"/>
      <c r="W168" s="12">
        <f>IF(AND(K168&lt;&gt;"",L168&lt;&gt;""),ROUND((L168-K168)/30.4375,1),"")</f>
        <v/>
      </c>
      <c r="X168" s="12">
        <f>IF(OR(A168="",M168="En ejecución",L168=""),"",YEAR(L168))</f>
        <v/>
      </c>
      <c r="Y168" s="13">
        <f>IF(X168="","",IFERROR(VLOOKUP(X168,SMMLV!$A$2:$B$38,2,FALSE),""))</f>
        <v/>
      </c>
      <c r="Z168" s="17">
        <f>IF(OR(Y168="",P168=""),"",ROUND(P168/Y168,2))</f>
        <v/>
      </c>
      <c r="AA168" s="13">
        <f>IF(Z168="","",ROUND(Z168*SMMLV!$E$4,0))</f>
        <v/>
      </c>
      <c r="AB168" s="13">
        <f>IF(AND(M168="En ejecución",P168&lt;&gt;"",Q168&lt;&gt;""),MAX(P168-Q168,0),"")</f>
        <v/>
      </c>
      <c r="AC168" s="12">
        <f>IF(A168="","",IF(B168="","Falta número de contrato; ","")&amp;IF(C168="","Falta entidad; ","")&amp;IF(E168="","Falta objeto; ","")&amp;IF(F168="","Falta especialidad; ","")&amp;IF(K168="","Falta fecha de inicio (recomendada); ","")&amp;IF(AND(M168&lt;&gt;"En ejecución",L168=""),"Falta fecha de terminación; ","")&amp;IF(AND(K168&lt;&gt;"",L168&lt;&gt;"",L168&lt;K168),"Terminación anterior al inicio; ","")&amp;IF(M168="","Falta estado; ","")&amp;IF(OR(P168="",P168&lt;=0),"Falta valor del contrato; ","")&amp;IF(AND(M168="En ejecución",Q168=""),"En ejecución sin valor ejecutado; ","")&amp;IF(AND(M168="En ejecución",L168&lt;&gt;"",L168&lt;TODAY()),"Dice en ejecución pero su terminación ya pasó; ","")&amp;IF(M168="En ejecución","En ejecución: no acredita experiencia; ","")&amp;IF(AND(M168&lt;&gt;"En ejecución",L168&lt;&gt;"",X168&lt;&gt;"",Y168=""),"El año no está en la hoja SMMLV; ","")&amp;IF(AND(B168&lt;&gt;"",COUNTIFS($B$2:$B$601,B168,$C$2:$C$601,C168)&gt;1),"Posible duplicado (mismo número y entidad); ","")&amp;IF(COUNTIF(PARTICIPACIONES!$A$2:$A$601,A168)=0,"Sin participaciones; ","")&amp;IF(SUMIFS(PARTICIPACIONES!$E$2:$E$601,PARTICIPACIONES!$A$2:$A$601,A168)&gt;1.0001,"Las participaciones suman más de 100 %; ",""))</f>
        <v/>
      </c>
    </row>
    <row r="169">
      <c r="J169" s="15" t="n"/>
      <c r="K169" s="15" t="n"/>
      <c r="L169" s="15" t="n"/>
      <c r="N169" s="15" t="n"/>
      <c r="O169" s="16" t="n"/>
      <c r="P169" s="16" t="n"/>
      <c r="Q169" s="16" t="n"/>
      <c r="W169" s="12">
        <f>IF(AND(K169&lt;&gt;"",L169&lt;&gt;""),ROUND((L169-K169)/30.4375,1),"")</f>
        <v/>
      </c>
      <c r="X169" s="12">
        <f>IF(OR(A169="",M169="En ejecución",L169=""),"",YEAR(L169))</f>
        <v/>
      </c>
      <c r="Y169" s="13">
        <f>IF(X169="","",IFERROR(VLOOKUP(X169,SMMLV!$A$2:$B$38,2,FALSE),""))</f>
        <v/>
      </c>
      <c r="Z169" s="17">
        <f>IF(OR(Y169="",P169=""),"",ROUND(P169/Y169,2))</f>
        <v/>
      </c>
      <c r="AA169" s="13">
        <f>IF(Z169="","",ROUND(Z169*SMMLV!$E$4,0))</f>
        <v/>
      </c>
      <c r="AB169" s="13">
        <f>IF(AND(M169="En ejecución",P169&lt;&gt;"",Q169&lt;&gt;""),MAX(P169-Q169,0),"")</f>
        <v/>
      </c>
      <c r="AC169" s="12">
        <f>IF(A169="","",IF(B169="","Falta número de contrato; ","")&amp;IF(C169="","Falta entidad; ","")&amp;IF(E169="","Falta objeto; ","")&amp;IF(F169="","Falta especialidad; ","")&amp;IF(K169="","Falta fecha de inicio (recomendada); ","")&amp;IF(AND(M169&lt;&gt;"En ejecución",L169=""),"Falta fecha de terminación; ","")&amp;IF(AND(K169&lt;&gt;"",L169&lt;&gt;"",L169&lt;K169),"Terminación anterior al inicio; ","")&amp;IF(M169="","Falta estado; ","")&amp;IF(OR(P169="",P169&lt;=0),"Falta valor del contrato; ","")&amp;IF(AND(M169="En ejecución",Q169=""),"En ejecución sin valor ejecutado; ","")&amp;IF(AND(M169="En ejecución",L169&lt;&gt;"",L169&lt;TODAY()),"Dice en ejecución pero su terminación ya pasó; ","")&amp;IF(M169="En ejecución","En ejecución: no acredita experiencia; ","")&amp;IF(AND(M169&lt;&gt;"En ejecución",L169&lt;&gt;"",X169&lt;&gt;"",Y169=""),"El año no está en la hoja SMMLV; ","")&amp;IF(AND(B169&lt;&gt;"",COUNTIFS($B$2:$B$601,B169,$C$2:$C$601,C169)&gt;1),"Posible duplicado (mismo número y entidad); ","")&amp;IF(COUNTIF(PARTICIPACIONES!$A$2:$A$601,A169)=0,"Sin participaciones; ","")&amp;IF(SUMIFS(PARTICIPACIONES!$E$2:$E$601,PARTICIPACIONES!$A$2:$A$601,A169)&gt;1.0001,"Las participaciones suman más de 100 %; ",""))</f>
        <v/>
      </c>
    </row>
    <row r="170">
      <c r="J170" s="15" t="n"/>
      <c r="K170" s="15" t="n"/>
      <c r="L170" s="15" t="n"/>
      <c r="N170" s="15" t="n"/>
      <c r="O170" s="16" t="n"/>
      <c r="P170" s="16" t="n"/>
      <c r="Q170" s="16" t="n"/>
      <c r="W170" s="12">
        <f>IF(AND(K170&lt;&gt;"",L170&lt;&gt;""),ROUND((L170-K170)/30.4375,1),"")</f>
        <v/>
      </c>
      <c r="X170" s="12">
        <f>IF(OR(A170="",M170="En ejecución",L170=""),"",YEAR(L170))</f>
        <v/>
      </c>
      <c r="Y170" s="13">
        <f>IF(X170="","",IFERROR(VLOOKUP(X170,SMMLV!$A$2:$B$38,2,FALSE),""))</f>
        <v/>
      </c>
      <c r="Z170" s="17">
        <f>IF(OR(Y170="",P170=""),"",ROUND(P170/Y170,2))</f>
        <v/>
      </c>
      <c r="AA170" s="13">
        <f>IF(Z170="","",ROUND(Z170*SMMLV!$E$4,0))</f>
        <v/>
      </c>
      <c r="AB170" s="13">
        <f>IF(AND(M170="En ejecución",P170&lt;&gt;"",Q170&lt;&gt;""),MAX(P170-Q170,0),"")</f>
        <v/>
      </c>
      <c r="AC170" s="12">
        <f>IF(A170="","",IF(B170="","Falta número de contrato; ","")&amp;IF(C170="","Falta entidad; ","")&amp;IF(E170="","Falta objeto; ","")&amp;IF(F170="","Falta especialidad; ","")&amp;IF(K170="","Falta fecha de inicio (recomendada); ","")&amp;IF(AND(M170&lt;&gt;"En ejecución",L170=""),"Falta fecha de terminación; ","")&amp;IF(AND(K170&lt;&gt;"",L170&lt;&gt;"",L170&lt;K170),"Terminación anterior al inicio; ","")&amp;IF(M170="","Falta estado; ","")&amp;IF(OR(P170="",P170&lt;=0),"Falta valor del contrato; ","")&amp;IF(AND(M170="En ejecución",Q170=""),"En ejecución sin valor ejecutado; ","")&amp;IF(AND(M170="En ejecución",L170&lt;&gt;"",L170&lt;TODAY()),"Dice en ejecución pero su terminación ya pasó; ","")&amp;IF(M170="En ejecución","En ejecución: no acredita experiencia; ","")&amp;IF(AND(M170&lt;&gt;"En ejecución",L170&lt;&gt;"",X170&lt;&gt;"",Y170=""),"El año no está en la hoja SMMLV; ","")&amp;IF(AND(B170&lt;&gt;"",COUNTIFS($B$2:$B$601,B170,$C$2:$C$601,C170)&gt;1),"Posible duplicado (mismo número y entidad); ","")&amp;IF(COUNTIF(PARTICIPACIONES!$A$2:$A$601,A170)=0,"Sin participaciones; ","")&amp;IF(SUMIFS(PARTICIPACIONES!$E$2:$E$601,PARTICIPACIONES!$A$2:$A$601,A170)&gt;1.0001,"Las participaciones suman más de 100 %; ",""))</f>
        <v/>
      </c>
    </row>
    <row r="171">
      <c r="J171" s="15" t="n"/>
      <c r="K171" s="15" t="n"/>
      <c r="L171" s="15" t="n"/>
      <c r="N171" s="15" t="n"/>
      <c r="O171" s="16" t="n"/>
      <c r="P171" s="16" t="n"/>
      <c r="Q171" s="16" t="n"/>
      <c r="W171" s="12">
        <f>IF(AND(K171&lt;&gt;"",L171&lt;&gt;""),ROUND((L171-K171)/30.4375,1),"")</f>
        <v/>
      </c>
      <c r="X171" s="12">
        <f>IF(OR(A171="",M171="En ejecución",L171=""),"",YEAR(L171))</f>
        <v/>
      </c>
      <c r="Y171" s="13">
        <f>IF(X171="","",IFERROR(VLOOKUP(X171,SMMLV!$A$2:$B$38,2,FALSE),""))</f>
        <v/>
      </c>
      <c r="Z171" s="17">
        <f>IF(OR(Y171="",P171=""),"",ROUND(P171/Y171,2))</f>
        <v/>
      </c>
      <c r="AA171" s="13">
        <f>IF(Z171="","",ROUND(Z171*SMMLV!$E$4,0))</f>
        <v/>
      </c>
      <c r="AB171" s="13">
        <f>IF(AND(M171="En ejecución",P171&lt;&gt;"",Q171&lt;&gt;""),MAX(P171-Q171,0),"")</f>
        <v/>
      </c>
      <c r="AC171" s="12">
        <f>IF(A171="","",IF(B171="","Falta número de contrato; ","")&amp;IF(C171="","Falta entidad; ","")&amp;IF(E171="","Falta objeto; ","")&amp;IF(F171="","Falta especialidad; ","")&amp;IF(K171="","Falta fecha de inicio (recomendada); ","")&amp;IF(AND(M171&lt;&gt;"En ejecución",L171=""),"Falta fecha de terminación; ","")&amp;IF(AND(K171&lt;&gt;"",L171&lt;&gt;"",L171&lt;K171),"Terminación anterior al inicio; ","")&amp;IF(M171="","Falta estado; ","")&amp;IF(OR(P171="",P171&lt;=0),"Falta valor del contrato; ","")&amp;IF(AND(M171="En ejecución",Q171=""),"En ejecución sin valor ejecutado; ","")&amp;IF(AND(M171="En ejecución",L171&lt;&gt;"",L171&lt;TODAY()),"Dice en ejecución pero su terminación ya pasó; ","")&amp;IF(M171="En ejecución","En ejecución: no acredita experiencia; ","")&amp;IF(AND(M171&lt;&gt;"En ejecución",L171&lt;&gt;"",X171&lt;&gt;"",Y171=""),"El año no está en la hoja SMMLV; ","")&amp;IF(AND(B171&lt;&gt;"",COUNTIFS($B$2:$B$601,B171,$C$2:$C$601,C171)&gt;1),"Posible duplicado (mismo número y entidad); ","")&amp;IF(COUNTIF(PARTICIPACIONES!$A$2:$A$601,A171)=0,"Sin participaciones; ","")&amp;IF(SUMIFS(PARTICIPACIONES!$E$2:$E$601,PARTICIPACIONES!$A$2:$A$601,A171)&gt;1.0001,"Las participaciones suman más de 100 %; ",""))</f>
        <v/>
      </c>
    </row>
    <row r="172">
      <c r="J172" s="15" t="n"/>
      <c r="K172" s="15" t="n"/>
      <c r="L172" s="15" t="n"/>
      <c r="N172" s="15" t="n"/>
      <c r="O172" s="16" t="n"/>
      <c r="P172" s="16" t="n"/>
      <c r="Q172" s="16" t="n"/>
      <c r="W172" s="12">
        <f>IF(AND(K172&lt;&gt;"",L172&lt;&gt;""),ROUND((L172-K172)/30.4375,1),"")</f>
        <v/>
      </c>
      <c r="X172" s="12">
        <f>IF(OR(A172="",M172="En ejecución",L172=""),"",YEAR(L172))</f>
        <v/>
      </c>
      <c r="Y172" s="13">
        <f>IF(X172="","",IFERROR(VLOOKUP(X172,SMMLV!$A$2:$B$38,2,FALSE),""))</f>
        <v/>
      </c>
      <c r="Z172" s="17">
        <f>IF(OR(Y172="",P172=""),"",ROUND(P172/Y172,2))</f>
        <v/>
      </c>
      <c r="AA172" s="13">
        <f>IF(Z172="","",ROUND(Z172*SMMLV!$E$4,0))</f>
        <v/>
      </c>
      <c r="AB172" s="13">
        <f>IF(AND(M172="En ejecución",P172&lt;&gt;"",Q172&lt;&gt;""),MAX(P172-Q172,0),"")</f>
        <v/>
      </c>
      <c r="AC172" s="12">
        <f>IF(A172="","",IF(B172="","Falta número de contrato; ","")&amp;IF(C172="","Falta entidad; ","")&amp;IF(E172="","Falta objeto; ","")&amp;IF(F172="","Falta especialidad; ","")&amp;IF(K172="","Falta fecha de inicio (recomendada); ","")&amp;IF(AND(M172&lt;&gt;"En ejecución",L172=""),"Falta fecha de terminación; ","")&amp;IF(AND(K172&lt;&gt;"",L172&lt;&gt;"",L172&lt;K172),"Terminación anterior al inicio; ","")&amp;IF(M172="","Falta estado; ","")&amp;IF(OR(P172="",P172&lt;=0),"Falta valor del contrato; ","")&amp;IF(AND(M172="En ejecución",Q172=""),"En ejecución sin valor ejecutado; ","")&amp;IF(AND(M172="En ejecución",L172&lt;&gt;"",L172&lt;TODAY()),"Dice en ejecución pero su terminación ya pasó; ","")&amp;IF(M172="En ejecución","En ejecución: no acredita experiencia; ","")&amp;IF(AND(M172&lt;&gt;"En ejecución",L172&lt;&gt;"",X172&lt;&gt;"",Y172=""),"El año no está en la hoja SMMLV; ","")&amp;IF(AND(B172&lt;&gt;"",COUNTIFS($B$2:$B$601,B172,$C$2:$C$601,C172)&gt;1),"Posible duplicado (mismo número y entidad); ","")&amp;IF(COUNTIF(PARTICIPACIONES!$A$2:$A$601,A172)=0,"Sin participaciones; ","")&amp;IF(SUMIFS(PARTICIPACIONES!$E$2:$E$601,PARTICIPACIONES!$A$2:$A$601,A172)&gt;1.0001,"Las participaciones suman más de 100 %; ",""))</f>
        <v/>
      </c>
    </row>
    <row r="173">
      <c r="J173" s="15" t="n"/>
      <c r="K173" s="15" t="n"/>
      <c r="L173" s="15" t="n"/>
      <c r="N173" s="15" t="n"/>
      <c r="O173" s="16" t="n"/>
      <c r="P173" s="16" t="n"/>
      <c r="Q173" s="16" t="n"/>
      <c r="W173" s="12">
        <f>IF(AND(K173&lt;&gt;"",L173&lt;&gt;""),ROUND((L173-K173)/30.4375,1),"")</f>
        <v/>
      </c>
      <c r="X173" s="12">
        <f>IF(OR(A173="",M173="En ejecución",L173=""),"",YEAR(L173))</f>
        <v/>
      </c>
      <c r="Y173" s="13">
        <f>IF(X173="","",IFERROR(VLOOKUP(X173,SMMLV!$A$2:$B$38,2,FALSE),""))</f>
        <v/>
      </c>
      <c r="Z173" s="17">
        <f>IF(OR(Y173="",P173=""),"",ROUND(P173/Y173,2))</f>
        <v/>
      </c>
      <c r="AA173" s="13">
        <f>IF(Z173="","",ROUND(Z173*SMMLV!$E$4,0))</f>
        <v/>
      </c>
      <c r="AB173" s="13">
        <f>IF(AND(M173="En ejecución",P173&lt;&gt;"",Q173&lt;&gt;""),MAX(P173-Q173,0),"")</f>
        <v/>
      </c>
      <c r="AC173" s="12">
        <f>IF(A173="","",IF(B173="","Falta número de contrato; ","")&amp;IF(C173="","Falta entidad; ","")&amp;IF(E173="","Falta objeto; ","")&amp;IF(F173="","Falta especialidad; ","")&amp;IF(K173="","Falta fecha de inicio (recomendada); ","")&amp;IF(AND(M173&lt;&gt;"En ejecución",L173=""),"Falta fecha de terminación; ","")&amp;IF(AND(K173&lt;&gt;"",L173&lt;&gt;"",L173&lt;K173),"Terminación anterior al inicio; ","")&amp;IF(M173="","Falta estado; ","")&amp;IF(OR(P173="",P173&lt;=0),"Falta valor del contrato; ","")&amp;IF(AND(M173="En ejecución",Q173=""),"En ejecución sin valor ejecutado; ","")&amp;IF(AND(M173="En ejecución",L173&lt;&gt;"",L173&lt;TODAY()),"Dice en ejecución pero su terminación ya pasó; ","")&amp;IF(M173="En ejecución","En ejecución: no acredita experiencia; ","")&amp;IF(AND(M173&lt;&gt;"En ejecución",L173&lt;&gt;"",X173&lt;&gt;"",Y173=""),"El año no está en la hoja SMMLV; ","")&amp;IF(AND(B173&lt;&gt;"",COUNTIFS($B$2:$B$601,B173,$C$2:$C$601,C173)&gt;1),"Posible duplicado (mismo número y entidad); ","")&amp;IF(COUNTIF(PARTICIPACIONES!$A$2:$A$601,A173)=0,"Sin participaciones; ","")&amp;IF(SUMIFS(PARTICIPACIONES!$E$2:$E$601,PARTICIPACIONES!$A$2:$A$601,A173)&gt;1.0001,"Las participaciones suman más de 100 %; ",""))</f>
        <v/>
      </c>
    </row>
    <row r="174">
      <c r="J174" s="15" t="n"/>
      <c r="K174" s="15" t="n"/>
      <c r="L174" s="15" t="n"/>
      <c r="N174" s="15" t="n"/>
      <c r="O174" s="16" t="n"/>
      <c r="P174" s="16" t="n"/>
      <c r="Q174" s="16" t="n"/>
      <c r="W174" s="12">
        <f>IF(AND(K174&lt;&gt;"",L174&lt;&gt;""),ROUND((L174-K174)/30.4375,1),"")</f>
        <v/>
      </c>
      <c r="X174" s="12">
        <f>IF(OR(A174="",M174="En ejecución",L174=""),"",YEAR(L174))</f>
        <v/>
      </c>
      <c r="Y174" s="13">
        <f>IF(X174="","",IFERROR(VLOOKUP(X174,SMMLV!$A$2:$B$38,2,FALSE),""))</f>
        <v/>
      </c>
      <c r="Z174" s="17">
        <f>IF(OR(Y174="",P174=""),"",ROUND(P174/Y174,2))</f>
        <v/>
      </c>
      <c r="AA174" s="13">
        <f>IF(Z174="","",ROUND(Z174*SMMLV!$E$4,0))</f>
        <v/>
      </c>
      <c r="AB174" s="13">
        <f>IF(AND(M174="En ejecución",P174&lt;&gt;"",Q174&lt;&gt;""),MAX(P174-Q174,0),"")</f>
        <v/>
      </c>
      <c r="AC174" s="12">
        <f>IF(A174="","",IF(B174="","Falta número de contrato; ","")&amp;IF(C174="","Falta entidad; ","")&amp;IF(E174="","Falta objeto; ","")&amp;IF(F174="","Falta especialidad; ","")&amp;IF(K174="","Falta fecha de inicio (recomendada); ","")&amp;IF(AND(M174&lt;&gt;"En ejecución",L174=""),"Falta fecha de terminación; ","")&amp;IF(AND(K174&lt;&gt;"",L174&lt;&gt;"",L174&lt;K174),"Terminación anterior al inicio; ","")&amp;IF(M174="","Falta estado; ","")&amp;IF(OR(P174="",P174&lt;=0),"Falta valor del contrato; ","")&amp;IF(AND(M174="En ejecución",Q174=""),"En ejecución sin valor ejecutado; ","")&amp;IF(AND(M174="En ejecución",L174&lt;&gt;"",L174&lt;TODAY()),"Dice en ejecución pero su terminación ya pasó; ","")&amp;IF(M174="En ejecución","En ejecución: no acredita experiencia; ","")&amp;IF(AND(M174&lt;&gt;"En ejecución",L174&lt;&gt;"",X174&lt;&gt;"",Y174=""),"El año no está en la hoja SMMLV; ","")&amp;IF(AND(B174&lt;&gt;"",COUNTIFS($B$2:$B$601,B174,$C$2:$C$601,C174)&gt;1),"Posible duplicado (mismo número y entidad); ","")&amp;IF(COUNTIF(PARTICIPACIONES!$A$2:$A$601,A174)=0,"Sin participaciones; ","")&amp;IF(SUMIFS(PARTICIPACIONES!$E$2:$E$601,PARTICIPACIONES!$A$2:$A$601,A174)&gt;1.0001,"Las participaciones suman más de 100 %; ",""))</f>
        <v/>
      </c>
    </row>
    <row r="175">
      <c r="J175" s="15" t="n"/>
      <c r="K175" s="15" t="n"/>
      <c r="L175" s="15" t="n"/>
      <c r="N175" s="15" t="n"/>
      <c r="O175" s="16" t="n"/>
      <c r="P175" s="16" t="n"/>
      <c r="Q175" s="16" t="n"/>
      <c r="W175" s="12">
        <f>IF(AND(K175&lt;&gt;"",L175&lt;&gt;""),ROUND((L175-K175)/30.4375,1),"")</f>
        <v/>
      </c>
      <c r="X175" s="12">
        <f>IF(OR(A175="",M175="En ejecución",L175=""),"",YEAR(L175))</f>
        <v/>
      </c>
      <c r="Y175" s="13">
        <f>IF(X175="","",IFERROR(VLOOKUP(X175,SMMLV!$A$2:$B$38,2,FALSE),""))</f>
        <v/>
      </c>
      <c r="Z175" s="17">
        <f>IF(OR(Y175="",P175=""),"",ROUND(P175/Y175,2))</f>
        <v/>
      </c>
      <c r="AA175" s="13">
        <f>IF(Z175="","",ROUND(Z175*SMMLV!$E$4,0))</f>
        <v/>
      </c>
      <c r="AB175" s="13">
        <f>IF(AND(M175="En ejecución",P175&lt;&gt;"",Q175&lt;&gt;""),MAX(P175-Q175,0),"")</f>
        <v/>
      </c>
      <c r="AC175" s="12">
        <f>IF(A175="","",IF(B175="","Falta número de contrato; ","")&amp;IF(C175="","Falta entidad; ","")&amp;IF(E175="","Falta objeto; ","")&amp;IF(F175="","Falta especialidad; ","")&amp;IF(K175="","Falta fecha de inicio (recomendada); ","")&amp;IF(AND(M175&lt;&gt;"En ejecución",L175=""),"Falta fecha de terminación; ","")&amp;IF(AND(K175&lt;&gt;"",L175&lt;&gt;"",L175&lt;K175),"Terminación anterior al inicio; ","")&amp;IF(M175="","Falta estado; ","")&amp;IF(OR(P175="",P175&lt;=0),"Falta valor del contrato; ","")&amp;IF(AND(M175="En ejecución",Q175=""),"En ejecución sin valor ejecutado; ","")&amp;IF(AND(M175="En ejecución",L175&lt;&gt;"",L175&lt;TODAY()),"Dice en ejecución pero su terminación ya pasó; ","")&amp;IF(M175="En ejecución","En ejecución: no acredita experiencia; ","")&amp;IF(AND(M175&lt;&gt;"En ejecución",L175&lt;&gt;"",X175&lt;&gt;"",Y175=""),"El año no está en la hoja SMMLV; ","")&amp;IF(AND(B175&lt;&gt;"",COUNTIFS($B$2:$B$601,B175,$C$2:$C$601,C175)&gt;1),"Posible duplicado (mismo número y entidad); ","")&amp;IF(COUNTIF(PARTICIPACIONES!$A$2:$A$601,A175)=0,"Sin participaciones; ","")&amp;IF(SUMIFS(PARTICIPACIONES!$E$2:$E$601,PARTICIPACIONES!$A$2:$A$601,A175)&gt;1.0001,"Las participaciones suman más de 100 %; ",""))</f>
        <v/>
      </c>
    </row>
    <row r="176">
      <c r="J176" s="15" t="n"/>
      <c r="K176" s="15" t="n"/>
      <c r="L176" s="15" t="n"/>
      <c r="N176" s="15" t="n"/>
      <c r="O176" s="16" t="n"/>
      <c r="P176" s="16" t="n"/>
      <c r="Q176" s="16" t="n"/>
      <c r="W176" s="12">
        <f>IF(AND(K176&lt;&gt;"",L176&lt;&gt;""),ROUND((L176-K176)/30.4375,1),"")</f>
        <v/>
      </c>
      <c r="X176" s="12">
        <f>IF(OR(A176="",M176="En ejecución",L176=""),"",YEAR(L176))</f>
        <v/>
      </c>
      <c r="Y176" s="13">
        <f>IF(X176="","",IFERROR(VLOOKUP(X176,SMMLV!$A$2:$B$38,2,FALSE),""))</f>
        <v/>
      </c>
      <c r="Z176" s="17">
        <f>IF(OR(Y176="",P176=""),"",ROUND(P176/Y176,2))</f>
        <v/>
      </c>
      <c r="AA176" s="13">
        <f>IF(Z176="","",ROUND(Z176*SMMLV!$E$4,0))</f>
        <v/>
      </c>
      <c r="AB176" s="13">
        <f>IF(AND(M176="En ejecución",P176&lt;&gt;"",Q176&lt;&gt;""),MAX(P176-Q176,0),"")</f>
        <v/>
      </c>
      <c r="AC176" s="12">
        <f>IF(A176="","",IF(B176="","Falta número de contrato; ","")&amp;IF(C176="","Falta entidad; ","")&amp;IF(E176="","Falta objeto; ","")&amp;IF(F176="","Falta especialidad; ","")&amp;IF(K176="","Falta fecha de inicio (recomendada); ","")&amp;IF(AND(M176&lt;&gt;"En ejecución",L176=""),"Falta fecha de terminación; ","")&amp;IF(AND(K176&lt;&gt;"",L176&lt;&gt;"",L176&lt;K176),"Terminación anterior al inicio; ","")&amp;IF(M176="","Falta estado; ","")&amp;IF(OR(P176="",P176&lt;=0),"Falta valor del contrato; ","")&amp;IF(AND(M176="En ejecución",Q176=""),"En ejecución sin valor ejecutado; ","")&amp;IF(AND(M176="En ejecución",L176&lt;&gt;"",L176&lt;TODAY()),"Dice en ejecución pero su terminación ya pasó; ","")&amp;IF(M176="En ejecución","En ejecución: no acredita experiencia; ","")&amp;IF(AND(M176&lt;&gt;"En ejecución",L176&lt;&gt;"",X176&lt;&gt;"",Y176=""),"El año no está en la hoja SMMLV; ","")&amp;IF(AND(B176&lt;&gt;"",COUNTIFS($B$2:$B$601,B176,$C$2:$C$601,C176)&gt;1),"Posible duplicado (mismo número y entidad); ","")&amp;IF(COUNTIF(PARTICIPACIONES!$A$2:$A$601,A176)=0,"Sin participaciones; ","")&amp;IF(SUMIFS(PARTICIPACIONES!$E$2:$E$601,PARTICIPACIONES!$A$2:$A$601,A176)&gt;1.0001,"Las participaciones suman más de 100 %; ",""))</f>
        <v/>
      </c>
    </row>
    <row r="177">
      <c r="J177" s="15" t="n"/>
      <c r="K177" s="15" t="n"/>
      <c r="L177" s="15" t="n"/>
      <c r="N177" s="15" t="n"/>
      <c r="O177" s="16" t="n"/>
      <c r="P177" s="16" t="n"/>
      <c r="Q177" s="16" t="n"/>
      <c r="W177" s="12">
        <f>IF(AND(K177&lt;&gt;"",L177&lt;&gt;""),ROUND((L177-K177)/30.4375,1),"")</f>
        <v/>
      </c>
      <c r="X177" s="12">
        <f>IF(OR(A177="",M177="En ejecución",L177=""),"",YEAR(L177))</f>
        <v/>
      </c>
      <c r="Y177" s="13">
        <f>IF(X177="","",IFERROR(VLOOKUP(X177,SMMLV!$A$2:$B$38,2,FALSE),""))</f>
        <v/>
      </c>
      <c r="Z177" s="17">
        <f>IF(OR(Y177="",P177=""),"",ROUND(P177/Y177,2))</f>
        <v/>
      </c>
      <c r="AA177" s="13">
        <f>IF(Z177="","",ROUND(Z177*SMMLV!$E$4,0))</f>
        <v/>
      </c>
      <c r="AB177" s="13">
        <f>IF(AND(M177="En ejecución",P177&lt;&gt;"",Q177&lt;&gt;""),MAX(P177-Q177,0),"")</f>
        <v/>
      </c>
      <c r="AC177" s="12">
        <f>IF(A177="","",IF(B177="","Falta número de contrato; ","")&amp;IF(C177="","Falta entidad; ","")&amp;IF(E177="","Falta objeto; ","")&amp;IF(F177="","Falta especialidad; ","")&amp;IF(K177="","Falta fecha de inicio (recomendada); ","")&amp;IF(AND(M177&lt;&gt;"En ejecución",L177=""),"Falta fecha de terminación; ","")&amp;IF(AND(K177&lt;&gt;"",L177&lt;&gt;"",L177&lt;K177),"Terminación anterior al inicio; ","")&amp;IF(M177="","Falta estado; ","")&amp;IF(OR(P177="",P177&lt;=0),"Falta valor del contrato; ","")&amp;IF(AND(M177="En ejecución",Q177=""),"En ejecución sin valor ejecutado; ","")&amp;IF(AND(M177="En ejecución",L177&lt;&gt;"",L177&lt;TODAY()),"Dice en ejecución pero su terminación ya pasó; ","")&amp;IF(M177="En ejecución","En ejecución: no acredita experiencia; ","")&amp;IF(AND(M177&lt;&gt;"En ejecución",L177&lt;&gt;"",X177&lt;&gt;"",Y177=""),"El año no está en la hoja SMMLV; ","")&amp;IF(AND(B177&lt;&gt;"",COUNTIFS($B$2:$B$601,B177,$C$2:$C$601,C177)&gt;1),"Posible duplicado (mismo número y entidad); ","")&amp;IF(COUNTIF(PARTICIPACIONES!$A$2:$A$601,A177)=0,"Sin participaciones; ","")&amp;IF(SUMIFS(PARTICIPACIONES!$E$2:$E$601,PARTICIPACIONES!$A$2:$A$601,A177)&gt;1.0001,"Las participaciones suman más de 100 %; ",""))</f>
        <v/>
      </c>
    </row>
    <row r="178">
      <c r="J178" s="15" t="n"/>
      <c r="K178" s="15" t="n"/>
      <c r="L178" s="15" t="n"/>
      <c r="N178" s="15" t="n"/>
      <c r="O178" s="16" t="n"/>
      <c r="P178" s="16" t="n"/>
      <c r="Q178" s="16" t="n"/>
      <c r="W178" s="12">
        <f>IF(AND(K178&lt;&gt;"",L178&lt;&gt;""),ROUND((L178-K178)/30.4375,1),"")</f>
        <v/>
      </c>
      <c r="X178" s="12">
        <f>IF(OR(A178="",M178="En ejecución",L178=""),"",YEAR(L178))</f>
        <v/>
      </c>
      <c r="Y178" s="13">
        <f>IF(X178="","",IFERROR(VLOOKUP(X178,SMMLV!$A$2:$B$38,2,FALSE),""))</f>
        <v/>
      </c>
      <c r="Z178" s="17">
        <f>IF(OR(Y178="",P178=""),"",ROUND(P178/Y178,2))</f>
        <v/>
      </c>
      <c r="AA178" s="13">
        <f>IF(Z178="","",ROUND(Z178*SMMLV!$E$4,0))</f>
        <v/>
      </c>
      <c r="AB178" s="13">
        <f>IF(AND(M178="En ejecución",P178&lt;&gt;"",Q178&lt;&gt;""),MAX(P178-Q178,0),"")</f>
        <v/>
      </c>
      <c r="AC178" s="12">
        <f>IF(A178="","",IF(B178="","Falta número de contrato; ","")&amp;IF(C178="","Falta entidad; ","")&amp;IF(E178="","Falta objeto; ","")&amp;IF(F178="","Falta especialidad; ","")&amp;IF(K178="","Falta fecha de inicio (recomendada); ","")&amp;IF(AND(M178&lt;&gt;"En ejecución",L178=""),"Falta fecha de terminación; ","")&amp;IF(AND(K178&lt;&gt;"",L178&lt;&gt;"",L178&lt;K178),"Terminación anterior al inicio; ","")&amp;IF(M178="","Falta estado; ","")&amp;IF(OR(P178="",P178&lt;=0),"Falta valor del contrato; ","")&amp;IF(AND(M178="En ejecución",Q178=""),"En ejecución sin valor ejecutado; ","")&amp;IF(AND(M178="En ejecución",L178&lt;&gt;"",L178&lt;TODAY()),"Dice en ejecución pero su terminación ya pasó; ","")&amp;IF(M178="En ejecución","En ejecución: no acredita experiencia; ","")&amp;IF(AND(M178&lt;&gt;"En ejecución",L178&lt;&gt;"",X178&lt;&gt;"",Y178=""),"El año no está en la hoja SMMLV; ","")&amp;IF(AND(B178&lt;&gt;"",COUNTIFS($B$2:$B$601,B178,$C$2:$C$601,C178)&gt;1),"Posible duplicado (mismo número y entidad); ","")&amp;IF(COUNTIF(PARTICIPACIONES!$A$2:$A$601,A178)=0,"Sin participaciones; ","")&amp;IF(SUMIFS(PARTICIPACIONES!$E$2:$E$601,PARTICIPACIONES!$A$2:$A$601,A178)&gt;1.0001,"Las participaciones suman más de 100 %; ",""))</f>
        <v/>
      </c>
    </row>
    <row r="179">
      <c r="J179" s="15" t="n"/>
      <c r="K179" s="15" t="n"/>
      <c r="L179" s="15" t="n"/>
      <c r="N179" s="15" t="n"/>
      <c r="O179" s="16" t="n"/>
      <c r="P179" s="16" t="n"/>
      <c r="Q179" s="16" t="n"/>
      <c r="W179" s="12">
        <f>IF(AND(K179&lt;&gt;"",L179&lt;&gt;""),ROUND((L179-K179)/30.4375,1),"")</f>
        <v/>
      </c>
      <c r="X179" s="12">
        <f>IF(OR(A179="",M179="En ejecución",L179=""),"",YEAR(L179))</f>
        <v/>
      </c>
      <c r="Y179" s="13">
        <f>IF(X179="","",IFERROR(VLOOKUP(X179,SMMLV!$A$2:$B$38,2,FALSE),""))</f>
        <v/>
      </c>
      <c r="Z179" s="17">
        <f>IF(OR(Y179="",P179=""),"",ROUND(P179/Y179,2))</f>
        <v/>
      </c>
      <c r="AA179" s="13">
        <f>IF(Z179="","",ROUND(Z179*SMMLV!$E$4,0))</f>
        <v/>
      </c>
      <c r="AB179" s="13">
        <f>IF(AND(M179="En ejecución",P179&lt;&gt;"",Q179&lt;&gt;""),MAX(P179-Q179,0),"")</f>
        <v/>
      </c>
      <c r="AC179" s="12">
        <f>IF(A179="","",IF(B179="","Falta número de contrato; ","")&amp;IF(C179="","Falta entidad; ","")&amp;IF(E179="","Falta objeto; ","")&amp;IF(F179="","Falta especialidad; ","")&amp;IF(K179="","Falta fecha de inicio (recomendada); ","")&amp;IF(AND(M179&lt;&gt;"En ejecución",L179=""),"Falta fecha de terminación; ","")&amp;IF(AND(K179&lt;&gt;"",L179&lt;&gt;"",L179&lt;K179),"Terminación anterior al inicio; ","")&amp;IF(M179="","Falta estado; ","")&amp;IF(OR(P179="",P179&lt;=0),"Falta valor del contrato; ","")&amp;IF(AND(M179="En ejecución",Q179=""),"En ejecución sin valor ejecutado; ","")&amp;IF(AND(M179="En ejecución",L179&lt;&gt;"",L179&lt;TODAY()),"Dice en ejecución pero su terminación ya pasó; ","")&amp;IF(M179="En ejecución","En ejecución: no acredita experiencia; ","")&amp;IF(AND(M179&lt;&gt;"En ejecución",L179&lt;&gt;"",X179&lt;&gt;"",Y179=""),"El año no está en la hoja SMMLV; ","")&amp;IF(AND(B179&lt;&gt;"",COUNTIFS($B$2:$B$601,B179,$C$2:$C$601,C179)&gt;1),"Posible duplicado (mismo número y entidad); ","")&amp;IF(COUNTIF(PARTICIPACIONES!$A$2:$A$601,A179)=0,"Sin participaciones; ","")&amp;IF(SUMIFS(PARTICIPACIONES!$E$2:$E$601,PARTICIPACIONES!$A$2:$A$601,A179)&gt;1.0001,"Las participaciones suman más de 100 %; ",""))</f>
        <v/>
      </c>
    </row>
    <row r="180">
      <c r="J180" s="15" t="n"/>
      <c r="K180" s="15" t="n"/>
      <c r="L180" s="15" t="n"/>
      <c r="N180" s="15" t="n"/>
      <c r="O180" s="16" t="n"/>
      <c r="P180" s="16" t="n"/>
      <c r="Q180" s="16" t="n"/>
      <c r="W180" s="12">
        <f>IF(AND(K180&lt;&gt;"",L180&lt;&gt;""),ROUND((L180-K180)/30.4375,1),"")</f>
        <v/>
      </c>
      <c r="X180" s="12">
        <f>IF(OR(A180="",M180="En ejecución",L180=""),"",YEAR(L180))</f>
        <v/>
      </c>
      <c r="Y180" s="13">
        <f>IF(X180="","",IFERROR(VLOOKUP(X180,SMMLV!$A$2:$B$38,2,FALSE),""))</f>
        <v/>
      </c>
      <c r="Z180" s="17">
        <f>IF(OR(Y180="",P180=""),"",ROUND(P180/Y180,2))</f>
        <v/>
      </c>
      <c r="AA180" s="13">
        <f>IF(Z180="","",ROUND(Z180*SMMLV!$E$4,0))</f>
        <v/>
      </c>
      <c r="AB180" s="13">
        <f>IF(AND(M180="En ejecución",P180&lt;&gt;"",Q180&lt;&gt;""),MAX(P180-Q180,0),"")</f>
        <v/>
      </c>
      <c r="AC180" s="12">
        <f>IF(A180="","",IF(B180="","Falta número de contrato; ","")&amp;IF(C180="","Falta entidad; ","")&amp;IF(E180="","Falta objeto; ","")&amp;IF(F180="","Falta especialidad; ","")&amp;IF(K180="","Falta fecha de inicio (recomendada); ","")&amp;IF(AND(M180&lt;&gt;"En ejecución",L180=""),"Falta fecha de terminación; ","")&amp;IF(AND(K180&lt;&gt;"",L180&lt;&gt;"",L180&lt;K180),"Terminación anterior al inicio; ","")&amp;IF(M180="","Falta estado; ","")&amp;IF(OR(P180="",P180&lt;=0),"Falta valor del contrato; ","")&amp;IF(AND(M180="En ejecución",Q180=""),"En ejecución sin valor ejecutado; ","")&amp;IF(AND(M180="En ejecución",L180&lt;&gt;"",L180&lt;TODAY()),"Dice en ejecución pero su terminación ya pasó; ","")&amp;IF(M180="En ejecución","En ejecución: no acredita experiencia; ","")&amp;IF(AND(M180&lt;&gt;"En ejecución",L180&lt;&gt;"",X180&lt;&gt;"",Y180=""),"El año no está en la hoja SMMLV; ","")&amp;IF(AND(B180&lt;&gt;"",COUNTIFS($B$2:$B$601,B180,$C$2:$C$601,C180)&gt;1),"Posible duplicado (mismo número y entidad); ","")&amp;IF(COUNTIF(PARTICIPACIONES!$A$2:$A$601,A180)=0,"Sin participaciones; ","")&amp;IF(SUMIFS(PARTICIPACIONES!$E$2:$E$601,PARTICIPACIONES!$A$2:$A$601,A180)&gt;1.0001,"Las participaciones suman más de 100 %; ",""))</f>
        <v/>
      </c>
    </row>
    <row r="181">
      <c r="J181" s="15" t="n"/>
      <c r="K181" s="15" t="n"/>
      <c r="L181" s="15" t="n"/>
      <c r="N181" s="15" t="n"/>
      <c r="O181" s="16" t="n"/>
      <c r="P181" s="16" t="n"/>
      <c r="Q181" s="16" t="n"/>
      <c r="W181" s="12">
        <f>IF(AND(K181&lt;&gt;"",L181&lt;&gt;""),ROUND((L181-K181)/30.4375,1),"")</f>
        <v/>
      </c>
      <c r="X181" s="12">
        <f>IF(OR(A181="",M181="En ejecución",L181=""),"",YEAR(L181))</f>
        <v/>
      </c>
      <c r="Y181" s="13">
        <f>IF(X181="","",IFERROR(VLOOKUP(X181,SMMLV!$A$2:$B$38,2,FALSE),""))</f>
        <v/>
      </c>
      <c r="Z181" s="17">
        <f>IF(OR(Y181="",P181=""),"",ROUND(P181/Y181,2))</f>
        <v/>
      </c>
      <c r="AA181" s="13">
        <f>IF(Z181="","",ROUND(Z181*SMMLV!$E$4,0))</f>
        <v/>
      </c>
      <c r="AB181" s="13">
        <f>IF(AND(M181="En ejecución",P181&lt;&gt;"",Q181&lt;&gt;""),MAX(P181-Q181,0),"")</f>
        <v/>
      </c>
      <c r="AC181" s="12">
        <f>IF(A181="","",IF(B181="","Falta número de contrato; ","")&amp;IF(C181="","Falta entidad; ","")&amp;IF(E181="","Falta objeto; ","")&amp;IF(F181="","Falta especialidad; ","")&amp;IF(K181="","Falta fecha de inicio (recomendada); ","")&amp;IF(AND(M181&lt;&gt;"En ejecución",L181=""),"Falta fecha de terminación; ","")&amp;IF(AND(K181&lt;&gt;"",L181&lt;&gt;"",L181&lt;K181),"Terminación anterior al inicio; ","")&amp;IF(M181="","Falta estado; ","")&amp;IF(OR(P181="",P181&lt;=0),"Falta valor del contrato; ","")&amp;IF(AND(M181="En ejecución",Q181=""),"En ejecución sin valor ejecutado; ","")&amp;IF(AND(M181="En ejecución",L181&lt;&gt;"",L181&lt;TODAY()),"Dice en ejecución pero su terminación ya pasó; ","")&amp;IF(M181="En ejecución","En ejecución: no acredita experiencia; ","")&amp;IF(AND(M181&lt;&gt;"En ejecución",L181&lt;&gt;"",X181&lt;&gt;"",Y181=""),"El año no está en la hoja SMMLV; ","")&amp;IF(AND(B181&lt;&gt;"",COUNTIFS($B$2:$B$601,B181,$C$2:$C$601,C181)&gt;1),"Posible duplicado (mismo número y entidad); ","")&amp;IF(COUNTIF(PARTICIPACIONES!$A$2:$A$601,A181)=0,"Sin participaciones; ","")&amp;IF(SUMIFS(PARTICIPACIONES!$E$2:$E$601,PARTICIPACIONES!$A$2:$A$601,A181)&gt;1.0001,"Las participaciones suman más de 100 %; ",""))</f>
        <v/>
      </c>
    </row>
    <row r="182">
      <c r="J182" s="15" t="n"/>
      <c r="K182" s="15" t="n"/>
      <c r="L182" s="15" t="n"/>
      <c r="N182" s="15" t="n"/>
      <c r="O182" s="16" t="n"/>
      <c r="P182" s="16" t="n"/>
      <c r="Q182" s="16" t="n"/>
      <c r="W182" s="12">
        <f>IF(AND(K182&lt;&gt;"",L182&lt;&gt;""),ROUND((L182-K182)/30.4375,1),"")</f>
        <v/>
      </c>
      <c r="X182" s="12">
        <f>IF(OR(A182="",M182="En ejecución",L182=""),"",YEAR(L182))</f>
        <v/>
      </c>
      <c r="Y182" s="13">
        <f>IF(X182="","",IFERROR(VLOOKUP(X182,SMMLV!$A$2:$B$38,2,FALSE),""))</f>
        <v/>
      </c>
      <c r="Z182" s="17">
        <f>IF(OR(Y182="",P182=""),"",ROUND(P182/Y182,2))</f>
        <v/>
      </c>
      <c r="AA182" s="13">
        <f>IF(Z182="","",ROUND(Z182*SMMLV!$E$4,0))</f>
        <v/>
      </c>
      <c r="AB182" s="13">
        <f>IF(AND(M182="En ejecución",P182&lt;&gt;"",Q182&lt;&gt;""),MAX(P182-Q182,0),"")</f>
        <v/>
      </c>
      <c r="AC182" s="12">
        <f>IF(A182="","",IF(B182="","Falta número de contrato; ","")&amp;IF(C182="","Falta entidad; ","")&amp;IF(E182="","Falta objeto; ","")&amp;IF(F182="","Falta especialidad; ","")&amp;IF(K182="","Falta fecha de inicio (recomendada); ","")&amp;IF(AND(M182&lt;&gt;"En ejecución",L182=""),"Falta fecha de terminación; ","")&amp;IF(AND(K182&lt;&gt;"",L182&lt;&gt;"",L182&lt;K182),"Terminación anterior al inicio; ","")&amp;IF(M182="","Falta estado; ","")&amp;IF(OR(P182="",P182&lt;=0),"Falta valor del contrato; ","")&amp;IF(AND(M182="En ejecución",Q182=""),"En ejecución sin valor ejecutado; ","")&amp;IF(AND(M182="En ejecución",L182&lt;&gt;"",L182&lt;TODAY()),"Dice en ejecución pero su terminación ya pasó; ","")&amp;IF(M182="En ejecución","En ejecución: no acredita experiencia; ","")&amp;IF(AND(M182&lt;&gt;"En ejecución",L182&lt;&gt;"",X182&lt;&gt;"",Y182=""),"El año no está en la hoja SMMLV; ","")&amp;IF(AND(B182&lt;&gt;"",COUNTIFS($B$2:$B$601,B182,$C$2:$C$601,C182)&gt;1),"Posible duplicado (mismo número y entidad); ","")&amp;IF(COUNTIF(PARTICIPACIONES!$A$2:$A$601,A182)=0,"Sin participaciones; ","")&amp;IF(SUMIFS(PARTICIPACIONES!$E$2:$E$601,PARTICIPACIONES!$A$2:$A$601,A182)&gt;1.0001,"Las participaciones suman más de 100 %; ",""))</f>
        <v/>
      </c>
    </row>
    <row r="183">
      <c r="J183" s="15" t="n"/>
      <c r="K183" s="15" t="n"/>
      <c r="L183" s="15" t="n"/>
      <c r="N183" s="15" t="n"/>
      <c r="O183" s="16" t="n"/>
      <c r="P183" s="16" t="n"/>
      <c r="Q183" s="16" t="n"/>
      <c r="W183" s="12">
        <f>IF(AND(K183&lt;&gt;"",L183&lt;&gt;""),ROUND((L183-K183)/30.4375,1),"")</f>
        <v/>
      </c>
      <c r="X183" s="12">
        <f>IF(OR(A183="",M183="En ejecución",L183=""),"",YEAR(L183))</f>
        <v/>
      </c>
      <c r="Y183" s="13">
        <f>IF(X183="","",IFERROR(VLOOKUP(X183,SMMLV!$A$2:$B$38,2,FALSE),""))</f>
        <v/>
      </c>
      <c r="Z183" s="17">
        <f>IF(OR(Y183="",P183=""),"",ROUND(P183/Y183,2))</f>
        <v/>
      </c>
      <c r="AA183" s="13">
        <f>IF(Z183="","",ROUND(Z183*SMMLV!$E$4,0))</f>
        <v/>
      </c>
      <c r="AB183" s="13">
        <f>IF(AND(M183="En ejecución",P183&lt;&gt;"",Q183&lt;&gt;""),MAX(P183-Q183,0),"")</f>
        <v/>
      </c>
      <c r="AC183" s="12">
        <f>IF(A183="","",IF(B183="","Falta número de contrato; ","")&amp;IF(C183="","Falta entidad; ","")&amp;IF(E183="","Falta objeto; ","")&amp;IF(F183="","Falta especialidad; ","")&amp;IF(K183="","Falta fecha de inicio (recomendada); ","")&amp;IF(AND(M183&lt;&gt;"En ejecución",L183=""),"Falta fecha de terminación; ","")&amp;IF(AND(K183&lt;&gt;"",L183&lt;&gt;"",L183&lt;K183),"Terminación anterior al inicio; ","")&amp;IF(M183="","Falta estado; ","")&amp;IF(OR(P183="",P183&lt;=0),"Falta valor del contrato; ","")&amp;IF(AND(M183="En ejecución",Q183=""),"En ejecución sin valor ejecutado; ","")&amp;IF(AND(M183="En ejecución",L183&lt;&gt;"",L183&lt;TODAY()),"Dice en ejecución pero su terminación ya pasó; ","")&amp;IF(M183="En ejecución","En ejecución: no acredita experiencia; ","")&amp;IF(AND(M183&lt;&gt;"En ejecución",L183&lt;&gt;"",X183&lt;&gt;"",Y183=""),"El año no está en la hoja SMMLV; ","")&amp;IF(AND(B183&lt;&gt;"",COUNTIFS($B$2:$B$601,B183,$C$2:$C$601,C183)&gt;1),"Posible duplicado (mismo número y entidad); ","")&amp;IF(COUNTIF(PARTICIPACIONES!$A$2:$A$601,A183)=0,"Sin participaciones; ","")&amp;IF(SUMIFS(PARTICIPACIONES!$E$2:$E$601,PARTICIPACIONES!$A$2:$A$601,A183)&gt;1.0001,"Las participaciones suman más de 100 %; ",""))</f>
        <v/>
      </c>
    </row>
    <row r="184">
      <c r="J184" s="15" t="n"/>
      <c r="K184" s="15" t="n"/>
      <c r="L184" s="15" t="n"/>
      <c r="N184" s="15" t="n"/>
      <c r="O184" s="16" t="n"/>
      <c r="P184" s="16" t="n"/>
      <c r="Q184" s="16" t="n"/>
      <c r="W184" s="12">
        <f>IF(AND(K184&lt;&gt;"",L184&lt;&gt;""),ROUND((L184-K184)/30.4375,1),"")</f>
        <v/>
      </c>
      <c r="X184" s="12">
        <f>IF(OR(A184="",M184="En ejecución",L184=""),"",YEAR(L184))</f>
        <v/>
      </c>
      <c r="Y184" s="13">
        <f>IF(X184="","",IFERROR(VLOOKUP(X184,SMMLV!$A$2:$B$38,2,FALSE),""))</f>
        <v/>
      </c>
      <c r="Z184" s="17">
        <f>IF(OR(Y184="",P184=""),"",ROUND(P184/Y184,2))</f>
        <v/>
      </c>
      <c r="AA184" s="13">
        <f>IF(Z184="","",ROUND(Z184*SMMLV!$E$4,0))</f>
        <v/>
      </c>
      <c r="AB184" s="13">
        <f>IF(AND(M184="En ejecución",P184&lt;&gt;"",Q184&lt;&gt;""),MAX(P184-Q184,0),"")</f>
        <v/>
      </c>
      <c r="AC184" s="12">
        <f>IF(A184="","",IF(B184="","Falta número de contrato; ","")&amp;IF(C184="","Falta entidad; ","")&amp;IF(E184="","Falta objeto; ","")&amp;IF(F184="","Falta especialidad; ","")&amp;IF(K184="","Falta fecha de inicio (recomendada); ","")&amp;IF(AND(M184&lt;&gt;"En ejecución",L184=""),"Falta fecha de terminación; ","")&amp;IF(AND(K184&lt;&gt;"",L184&lt;&gt;"",L184&lt;K184),"Terminación anterior al inicio; ","")&amp;IF(M184="","Falta estado; ","")&amp;IF(OR(P184="",P184&lt;=0),"Falta valor del contrato; ","")&amp;IF(AND(M184="En ejecución",Q184=""),"En ejecución sin valor ejecutado; ","")&amp;IF(AND(M184="En ejecución",L184&lt;&gt;"",L184&lt;TODAY()),"Dice en ejecución pero su terminación ya pasó; ","")&amp;IF(M184="En ejecución","En ejecución: no acredita experiencia; ","")&amp;IF(AND(M184&lt;&gt;"En ejecución",L184&lt;&gt;"",X184&lt;&gt;"",Y184=""),"El año no está en la hoja SMMLV; ","")&amp;IF(AND(B184&lt;&gt;"",COUNTIFS($B$2:$B$601,B184,$C$2:$C$601,C184)&gt;1),"Posible duplicado (mismo número y entidad); ","")&amp;IF(COUNTIF(PARTICIPACIONES!$A$2:$A$601,A184)=0,"Sin participaciones; ","")&amp;IF(SUMIFS(PARTICIPACIONES!$E$2:$E$601,PARTICIPACIONES!$A$2:$A$601,A184)&gt;1.0001,"Las participaciones suman más de 100 %; ",""))</f>
        <v/>
      </c>
    </row>
    <row r="185">
      <c r="J185" s="15" t="n"/>
      <c r="K185" s="15" t="n"/>
      <c r="L185" s="15" t="n"/>
      <c r="N185" s="15" t="n"/>
      <c r="O185" s="16" t="n"/>
      <c r="P185" s="16" t="n"/>
      <c r="Q185" s="16" t="n"/>
      <c r="W185" s="12">
        <f>IF(AND(K185&lt;&gt;"",L185&lt;&gt;""),ROUND((L185-K185)/30.4375,1),"")</f>
        <v/>
      </c>
      <c r="X185" s="12">
        <f>IF(OR(A185="",M185="En ejecución",L185=""),"",YEAR(L185))</f>
        <v/>
      </c>
      <c r="Y185" s="13">
        <f>IF(X185="","",IFERROR(VLOOKUP(X185,SMMLV!$A$2:$B$38,2,FALSE),""))</f>
        <v/>
      </c>
      <c r="Z185" s="17">
        <f>IF(OR(Y185="",P185=""),"",ROUND(P185/Y185,2))</f>
        <v/>
      </c>
      <c r="AA185" s="13">
        <f>IF(Z185="","",ROUND(Z185*SMMLV!$E$4,0))</f>
        <v/>
      </c>
      <c r="AB185" s="13">
        <f>IF(AND(M185="En ejecución",P185&lt;&gt;"",Q185&lt;&gt;""),MAX(P185-Q185,0),"")</f>
        <v/>
      </c>
      <c r="AC185" s="12">
        <f>IF(A185="","",IF(B185="","Falta número de contrato; ","")&amp;IF(C185="","Falta entidad; ","")&amp;IF(E185="","Falta objeto; ","")&amp;IF(F185="","Falta especialidad; ","")&amp;IF(K185="","Falta fecha de inicio (recomendada); ","")&amp;IF(AND(M185&lt;&gt;"En ejecución",L185=""),"Falta fecha de terminación; ","")&amp;IF(AND(K185&lt;&gt;"",L185&lt;&gt;"",L185&lt;K185),"Terminación anterior al inicio; ","")&amp;IF(M185="","Falta estado; ","")&amp;IF(OR(P185="",P185&lt;=0),"Falta valor del contrato; ","")&amp;IF(AND(M185="En ejecución",Q185=""),"En ejecución sin valor ejecutado; ","")&amp;IF(AND(M185="En ejecución",L185&lt;&gt;"",L185&lt;TODAY()),"Dice en ejecución pero su terminación ya pasó; ","")&amp;IF(M185="En ejecución","En ejecución: no acredita experiencia; ","")&amp;IF(AND(M185&lt;&gt;"En ejecución",L185&lt;&gt;"",X185&lt;&gt;"",Y185=""),"El año no está en la hoja SMMLV; ","")&amp;IF(AND(B185&lt;&gt;"",COUNTIFS($B$2:$B$601,B185,$C$2:$C$601,C185)&gt;1),"Posible duplicado (mismo número y entidad); ","")&amp;IF(COUNTIF(PARTICIPACIONES!$A$2:$A$601,A185)=0,"Sin participaciones; ","")&amp;IF(SUMIFS(PARTICIPACIONES!$E$2:$E$601,PARTICIPACIONES!$A$2:$A$601,A185)&gt;1.0001,"Las participaciones suman más de 100 %; ",""))</f>
        <v/>
      </c>
    </row>
    <row r="186">
      <c r="J186" s="15" t="n"/>
      <c r="K186" s="15" t="n"/>
      <c r="L186" s="15" t="n"/>
      <c r="N186" s="15" t="n"/>
      <c r="O186" s="16" t="n"/>
      <c r="P186" s="16" t="n"/>
      <c r="Q186" s="16" t="n"/>
      <c r="W186" s="12">
        <f>IF(AND(K186&lt;&gt;"",L186&lt;&gt;""),ROUND((L186-K186)/30.4375,1),"")</f>
        <v/>
      </c>
      <c r="X186" s="12">
        <f>IF(OR(A186="",M186="En ejecución",L186=""),"",YEAR(L186))</f>
        <v/>
      </c>
      <c r="Y186" s="13">
        <f>IF(X186="","",IFERROR(VLOOKUP(X186,SMMLV!$A$2:$B$38,2,FALSE),""))</f>
        <v/>
      </c>
      <c r="Z186" s="17">
        <f>IF(OR(Y186="",P186=""),"",ROUND(P186/Y186,2))</f>
        <v/>
      </c>
      <c r="AA186" s="13">
        <f>IF(Z186="","",ROUND(Z186*SMMLV!$E$4,0))</f>
        <v/>
      </c>
      <c r="AB186" s="13">
        <f>IF(AND(M186="En ejecución",P186&lt;&gt;"",Q186&lt;&gt;""),MAX(P186-Q186,0),"")</f>
        <v/>
      </c>
      <c r="AC186" s="12">
        <f>IF(A186="","",IF(B186="","Falta número de contrato; ","")&amp;IF(C186="","Falta entidad; ","")&amp;IF(E186="","Falta objeto; ","")&amp;IF(F186="","Falta especialidad; ","")&amp;IF(K186="","Falta fecha de inicio (recomendada); ","")&amp;IF(AND(M186&lt;&gt;"En ejecución",L186=""),"Falta fecha de terminación; ","")&amp;IF(AND(K186&lt;&gt;"",L186&lt;&gt;"",L186&lt;K186),"Terminación anterior al inicio; ","")&amp;IF(M186="","Falta estado; ","")&amp;IF(OR(P186="",P186&lt;=0),"Falta valor del contrato; ","")&amp;IF(AND(M186="En ejecución",Q186=""),"En ejecución sin valor ejecutado; ","")&amp;IF(AND(M186="En ejecución",L186&lt;&gt;"",L186&lt;TODAY()),"Dice en ejecución pero su terminación ya pasó; ","")&amp;IF(M186="En ejecución","En ejecución: no acredita experiencia; ","")&amp;IF(AND(M186&lt;&gt;"En ejecución",L186&lt;&gt;"",X186&lt;&gt;"",Y186=""),"El año no está en la hoja SMMLV; ","")&amp;IF(AND(B186&lt;&gt;"",COUNTIFS($B$2:$B$601,B186,$C$2:$C$601,C186)&gt;1),"Posible duplicado (mismo número y entidad); ","")&amp;IF(COUNTIF(PARTICIPACIONES!$A$2:$A$601,A186)=0,"Sin participaciones; ","")&amp;IF(SUMIFS(PARTICIPACIONES!$E$2:$E$601,PARTICIPACIONES!$A$2:$A$601,A186)&gt;1.0001,"Las participaciones suman más de 100 %; ",""))</f>
        <v/>
      </c>
    </row>
    <row r="187">
      <c r="J187" s="15" t="n"/>
      <c r="K187" s="15" t="n"/>
      <c r="L187" s="15" t="n"/>
      <c r="N187" s="15" t="n"/>
      <c r="O187" s="16" t="n"/>
      <c r="P187" s="16" t="n"/>
      <c r="Q187" s="16" t="n"/>
      <c r="W187" s="12">
        <f>IF(AND(K187&lt;&gt;"",L187&lt;&gt;""),ROUND((L187-K187)/30.4375,1),"")</f>
        <v/>
      </c>
      <c r="X187" s="12">
        <f>IF(OR(A187="",M187="En ejecución",L187=""),"",YEAR(L187))</f>
        <v/>
      </c>
      <c r="Y187" s="13">
        <f>IF(X187="","",IFERROR(VLOOKUP(X187,SMMLV!$A$2:$B$38,2,FALSE),""))</f>
        <v/>
      </c>
      <c r="Z187" s="17">
        <f>IF(OR(Y187="",P187=""),"",ROUND(P187/Y187,2))</f>
        <v/>
      </c>
      <c r="AA187" s="13">
        <f>IF(Z187="","",ROUND(Z187*SMMLV!$E$4,0))</f>
        <v/>
      </c>
      <c r="AB187" s="13">
        <f>IF(AND(M187="En ejecución",P187&lt;&gt;"",Q187&lt;&gt;""),MAX(P187-Q187,0),"")</f>
        <v/>
      </c>
      <c r="AC187" s="12">
        <f>IF(A187="","",IF(B187="","Falta número de contrato; ","")&amp;IF(C187="","Falta entidad; ","")&amp;IF(E187="","Falta objeto; ","")&amp;IF(F187="","Falta especialidad; ","")&amp;IF(K187="","Falta fecha de inicio (recomendada); ","")&amp;IF(AND(M187&lt;&gt;"En ejecución",L187=""),"Falta fecha de terminación; ","")&amp;IF(AND(K187&lt;&gt;"",L187&lt;&gt;"",L187&lt;K187),"Terminación anterior al inicio; ","")&amp;IF(M187="","Falta estado; ","")&amp;IF(OR(P187="",P187&lt;=0),"Falta valor del contrato; ","")&amp;IF(AND(M187="En ejecución",Q187=""),"En ejecución sin valor ejecutado; ","")&amp;IF(AND(M187="En ejecución",L187&lt;&gt;"",L187&lt;TODAY()),"Dice en ejecución pero su terminación ya pasó; ","")&amp;IF(M187="En ejecución","En ejecución: no acredita experiencia; ","")&amp;IF(AND(M187&lt;&gt;"En ejecución",L187&lt;&gt;"",X187&lt;&gt;"",Y187=""),"El año no está en la hoja SMMLV; ","")&amp;IF(AND(B187&lt;&gt;"",COUNTIFS($B$2:$B$601,B187,$C$2:$C$601,C187)&gt;1),"Posible duplicado (mismo número y entidad); ","")&amp;IF(COUNTIF(PARTICIPACIONES!$A$2:$A$601,A187)=0,"Sin participaciones; ","")&amp;IF(SUMIFS(PARTICIPACIONES!$E$2:$E$601,PARTICIPACIONES!$A$2:$A$601,A187)&gt;1.0001,"Las participaciones suman más de 100 %; ",""))</f>
        <v/>
      </c>
    </row>
    <row r="188">
      <c r="J188" s="15" t="n"/>
      <c r="K188" s="15" t="n"/>
      <c r="L188" s="15" t="n"/>
      <c r="N188" s="15" t="n"/>
      <c r="O188" s="16" t="n"/>
      <c r="P188" s="16" t="n"/>
      <c r="Q188" s="16" t="n"/>
      <c r="W188" s="12">
        <f>IF(AND(K188&lt;&gt;"",L188&lt;&gt;""),ROUND((L188-K188)/30.4375,1),"")</f>
        <v/>
      </c>
      <c r="X188" s="12">
        <f>IF(OR(A188="",M188="En ejecución",L188=""),"",YEAR(L188))</f>
        <v/>
      </c>
      <c r="Y188" s="13">
        <f>IF(X188="","",IFERROR(VLOOKUP(X188,SMMLV!$A$2:$B$38,2,FALSE),""))</f>
        <v/>
      </c>
      <c r="Z188" s="17">
        <f>IF(OR(Y188="",P188=""),"",ROUND(P188/Y188,2))</f>
        <v/>
      </c>
      <c r="AA188" s="13">
        <f>IF(Z188="","",ROUND(Z188*SMMLV!$E$4,0))</f>
        <v/>
      </c>
      <c r="AB188" s="13">
        <f>IF(AND(M188="En ejecución",P188&lt;&gt;"",Q188&lt;&gt;""),MAX(P188-Q188,0),"")</f>
        <v/>
      </c>
      <c r="AC188" s="12">
        <f>IF(A188="","",IF(B188="","Falta número de contrato; ","")&amp;IF(C188="","Falta entidad; ","")&amp;IF(E188="","Falta objeto; ","")&amp;IF(F188="","Falta especialidad; ","")&amp;IF(K188="","Falta fecha de inicio (recomendada); ","")&amp;IF(AND(M188&lt;&gt;"En ejecución",L188=""),"Falta fecha de terminación; ","")&amp;IF(AND(K188&lt;&gt;"",L188&lt;&gt;"",L188&lt;K188),"Terminación anterior al inicio; ","")&amp;IF(M188="","Falta estado; ","")&amp;IF(OR(P188="",P188&lt;=0),"Falta valor del contrato; ","")&amp;IF(AND(M188="En ejecución",Q188=""),"En ejecución sin valor ejecutado; ","")&amp;IF(AND(M188="En ejecución",L188&lt;&gt;"",L188&lt;TODAY()),"Dice en ejecución pero su terminación ya pasó; ","")&amp;IF(M188="En ejecución","En ejecución: no acredita experiencia; ","")&amp;IF(AND(M188&lt;&gt;"En ejecución",L188&lt;&gt;"",X188&lt;&gt;"",Y188=""),"El año no está en la hoja SMMLV; ","")&amp;IF(AND(B188&lt;&gt;"",COUNTIFS($B$2:$B$601,B188,$C$2:$C$601,C188)&gt;1),"Posible duplicado (mismo número y entidad); ","")&amp;IF(COUNTIF(PARTICIPACIONES!$A$2:$A$601,A188)=0,"Sin participaciones; ","")&amp;IF(SUMIFS(PARTICIPACIONES!$E$2:$E$601,PARTICIPACIONES!$A$2:$A$601,A188)&gt;1.0001,"Las participaciones suman más de 100 %; ",""))</f>
        <v/>
      </c>
    </row>
    <row r="189">
      <c r="J189" s="15" t="n"/>
      <c r="K189" s="15" t="n"/>
      <c r="L189" s="15" t="n"/>
      <c r="N189" s="15" t="n"/>
      <c r="O189" s="16" t="n"/>
      <c r="P189" s="16" t="n"/>
      <c r="Q189" s="16" t="n"/>
      <c r="W189" s="12">
        <f>IF(AND(K189&lt;&gt;"",L189&lt;&gt;""),ROUND((L189-K189)/30.4375,1),"")</f>
        <v/>
      </c>
      <c r="X189" s="12">
        <f>IF(OR(A189="",M189="En ejecución",L189=""),"",YEAR(L189))</f>
        <v/>
      </c>
      <c r="Y189" s="13">
        <f>IF(X189="","",IFERROR(VLOOKUP(X189,SMMLV!$A$2:$B$38,2,FALSE),""))</f>
        <v/>
      </c>
      <c r="Z189" s="17">
        <f>IF(OR(Y189="",P189=""),"",ROUND(P189/Y189,2))</f>
        <v/>
      </c>
      <c r="AA189" s="13">
        <f>IF(Z189="","",ROUND(Z189*SMMLV!$E$4,0))</f>
        <v/>
      </c>
      <c r="AB189" s="13">
        <f>IF(AND(M189="En ejecución",P189&lt;&gt;"",Q189&lt;&gt;""),MAX(P189-Q189,0),"")</f>
        <v/>
      </c>
      <c r="AC189" s="12">
        <f>IF(A189="","",IF(B189="","Falta número de contrato; ","")&amp;IF(C189="","Falta entidad; ","")&amp;IF(E189="","Falta objeto; ","")&amp;IF(F189="","Falta especialidad; ","")&amp;IF(K189="","Falta fecha de inicio (recomendada); ","")&amp;IF(AND(M189&lt;&gt;"En ejecución",L189=""),"Falta fecha de terminación; ","")&amp;IF(AND(K189&lt;&gt;"",L189&lt;&gt;"",L189&lt;K189),"Terminación anterior al inicio; ","")&amp;IF(M189="","Falta estado; ","")&amp;IF(OR(P189="",P189&lt;=0),"Falta valor del contrato; ","")&amp;IF(AND(M189="En ejecución",Q189=""),"En ejecución sin valor ejecutado; ","")&amp;IF(AND(M189="En ejecución",L189&lt;&gt;"",L189&lt;TODAY()),"Dice en ejecución pero su terminación ya pasó; ","")&amp;IF(M189="En ejecución","En ejecución: no acredita experiencia; ","")&amp;IF(AND(M189&lt;&gt;"En ejecución",L189&lt;&gt;"",X189&lt;&gt;"",Y189=""),"El año no está en la hoja SMMLV; ","")&amp;IF(AND(B189&lt;&gt;"",COUNTIFS($B$2:$B$601,B189,$C$2:$C$601,C189)&gt;1),"Posible duplicado (mismo número y entidad); ","")&amp;IF(COUNTIF(PARTICIPACIONES!$A$2:$A$601,A189)=0,"Sin participaciones; ","")&amp;IF(SUMIFS(PARTICIPACIONES!$E$2:$E$601,PARTICIPACIONES!$A$2:$A$601,A189)&gt;1.0001,"Las participaciones suman más de 100 %; ",""))</f>
        <v/>
      </c>
    </row>
    <row r="190">
      <c r="J190" s="15" t="n"/>
      <c r="K190" s="15" t="n"/>
      <c r="L190" s="15" t="n"/>
      <c r="N190" s="15" t="n"/>
      <c r="O190" s="16" t="n"/>
      <c r="P190" s="16" t="n"/>
      <c r="Q190" s="16" t="n"/>
      <c r="W190" s="12">
        <f>IF(AND(K190&lt;&gt;"",L190&lt;&gt;""),ROUND((L190-K190)/30.4375,1),"")</f>
        <v/>
      </c>
      <c r="X190" s="12">
        <f>IF(OR(A190="",M190="En ejecución",L190=""),"",YEAR(L190))</f>
        <v/>
      </c>
      <c r="Y190" s="13">
        <f>IF(X190="","",IFERROR(VLOOKUP(X190,SMMLV!$A$2:$B$38,2,FALSE),""))</f>
        <v/>
      </c>
      <c r="Z190" s="17">
        <f>IF(OR(Y190="",P190=""),"",ROUND(P190/Y190,2))</f>
        <v/>
      </c>
      <c r="AA190" s="13">
        <f>IF(Z190="","",ROUND(Z190*SMMLV!$E$4,0))</f>
        <v/>
      </c>
      <c r="AB190" s="13">
        <f>IF(AND(M190="En ejecución",P190&lt;&gt;"",Q190&lt;&gt;""),MAX(P190-Q190,0),"")</f>
        <v/>
      </c>
      <c r="AC190" s="12">
        <f>IF(A190="","",IF(B190="","Falta número de contrato; ","")&amp;IF(C190="","Falta entidad; ","")&amp;IF(E190="","Falta objeto; ","")&amp;IF(F190="","Falta especialidad; ","")&amp;IF(K190="","Falta fecha de inicio (recomendada); ","")&amp;IF(AND(M190&lt;&gt;"En ejecución",L190=""),"Falta fecha de terminación; ","")&amp;IF(AND(K190&lt;&gt;"",L190&lt;&gt;"",L190&lt;K190),"Terminación anterior al inicio; ","")&amp;IF(M190="","Falta estado; ","")&amp;IF(OR(P190="",P190&lt;=0),"Falta valor del contrato; ","")&amp;IF(AND(M190="En ejecución",Q190=""),"En ejecución sin valor ejecutado; ","")&amp;IF(AND(M190="En ejecución",L190&lt;&gt;"",L190&lt;TODAY()),"Dice en ejecución pero su terminación ya pasó; ","")&amp;IF(M190="En ejecución","En ejecución: no acredita experiencia; ","")&amp;IF(AND(M190&lt;&gt;"En ejecución",L190&lt;&gt;"",X190&lt;&gt;"",Y190=""),"El año no está en la hoja SMMLV; ","")&amp;IF(AND(B190&lt;&gt;"",COUNTIFS($B$2:$B$601,B190,$C$2:$C$601,C190)&gt;1),"Posible duplicado (mismo número y entidad); ","")&amp;IF(COUNTIF(PARTICIPACIONES!$A$2:$A$601,A190)=0,"Sin participaciones; ","")&amp;IF(SUMIFS(PARTICIPACIONES!$E$2:$E$601,PARTICIPACIONES!$A$2:$A$601,A190)&gt;1.0001,"Las participaciones suman más de 100 %; ",""))</f>
        <v/>
      </c>
    </row>
    <row r="191">
      <c r="J191" s="15" t="n"/>
      <c r="K191" s="15" t="n"/>
      <c r="L191" s="15" t="n"/>
      <c r="N191" s="15" t="n"/>
      <c r="O191" s="16" t="n"/>
      <c r="P191" s="16" t="n"/>
      <c r="Q191" s="16" t="n"/>
      <c r="W191" s="12">
        <f>IF(AND(K191&lt;&gt;"",L191&lt;&gt;""),ROUND((L191-K191)/30.4375,1),"")</f>
        <v/>
      </c>
      <c r="X191" s="12">
        <f>IF(OR(A191="",M191="En ejecución",L191=""),"",YEAR(L191))</f>
        <v/>
      </c>
      <c r="Y191" s="13">
        <f>IF(X191="","",IFERROR(VLOOKUP(X191,SMMLV!$A$2:$B$38,2,FALSE),""))</f>
        <v/>
      </c>
      <c r="Z191" s="17">
        <f>IF(OR(Y191="",P191=""),"",ROUND(P191/Y191,2))</f>
        <v/>
      </c>
      <c r="AA191" s="13">
        <f>IF(Z191="","",ROUND(Z191*SMMLV!$E$4,0))</f>
        <v/>
      </c>
      <c r="AB191" s="13">
        <f>IF(AND(M191="En ejecución",P191&lt;&gt;"",Q191&lt;&gt;""),MAX(P191-Q191,0),"")</f>
        <v/>
      </c>
      <c r="AC191" s="12">
        <f>IF(A191="","",IF(B191="","Falta número de contrato; ","")&amp;IF(C191="","Falta entidad; ","")&amp;IF(E191="","Falta objeto; ","")&amp;IF(F191="","Falta especialidad; ","")&amp;IF(K191="","Falta fecha de inicio (recomendada); ","")&amp;IF(AND(M191&lt;&gt;"En ejecución",L191=""),"Falta fecha de terminación; ","")&amp;IF(AND(K191&lt;&gt;"",L191&lt;&gt;"",L191&lt;K191),"Terminación anterior al inicio; ","")&amp;IF(M191="","Falta estado; ","")&amp;IF(OR(P191="",P191&lt;=0),"Falta valor del contrato; ","")&amp;IF(AND(M191="En ejecución",Q191=""),"En ejecución sin valor ejecutado; ","")&amp;IF(AND(M191="En ejecución",L191&lt;&gt;"",L191&lt;TODAY()),"Dice en ejecución pero su terminación ya pasó; ","")&amp;IF(M191="En ejecución","En ejecución: no acredita experiencia; ","")&amp;IF(AND(M191&lt;&gt;"En ejecución",L191&lt;&gt;"",X191&lt;&gt;"",Y191=""),"El año no está en la hoja SMMLV; ","")&amp;IF(AND(B191&lt;&gt;"",COUNTIFS($B$2:$B$601,B191,$C$2:$C$601,C191)&gt;1),"Posible duplicado (mismo número y entidad); ","")&amp;IF(COUNTIF(PARTICIPACIONES!$A$2:$A$601,A191)=0,"Sin participaciones; ","")&amp;IF(SUMIFS(PARTICIPACIONES!$E$2:$E$601,PARTICIPACIONES!$A$2:$A$601,A191)&gt;1.0001,"Las participaciones suman más de 100 %; ",""))</f>
        <v/>
      </c>
    </row>
    <row r="192">
      <c r="J192" s="15" t="n"/>
      <c r="K192" s="15" t="n"/>
      <c r="L192" s="15" t="n"/>
      <c r="N192" s="15" t="n"/>
      <c r="O192" s="16" t="n"/>
      <c r="P192" s="16" t="n"/>
      <c r="Q192" s="16" t="n"/>
      <c r="W192" s="12">
        <f>IF(AND(K192&lt;&gt;"",L192&lt;&gt;""),ROUND((L192-K192)/30.4375,1),"")</f>
        <v/>
      </c>
      <c r="X192" s="12">
        <f>IF(OR(A192="",M192="En ejecución",L192=""),"",YEAR(L192))</f>
        <v/>
      </c>
      <c r="Y192" s="13">
        <f>IF(X192="","",IFERROR(VLOOKUP(X192,SMMLV!$A$2:$B$38,2,FALSE),""))</f>
        <v/>
      </c>
      <c r="Z192" s="17">
        <f>IF(OR(Y192="",P192=""),"",ROUND(P192/Y192,2))</f>
        <v/>
      </c>
      <c r="AA192" s="13">
        <f>IF(Z192="","",ROUND(Z192*SMMLV!$E$4,0))</f>
        <v/>
      </c>
      <c r="AB192" s="13">
        <f>IF(AND(M192="En ejecución",P192&lt;&gt;"",Q192&lt;&gt;""),MAX(P192-Q192,0),"")</f>
        <v/>
      </c>
      <c r="AC192" s="12">
        <f>IF(A192="","",IF(B192="","Falta número de contrato; ","")&amp;IF(C192="","Falta entidad; ","")&amp;IF(E192="","Falta objeto; ","")&amp;IF(F192="","Falta especialidad; ","")&amp;IF(K192="","Falta fecha de inicio (recomendada); ","")&amp;IF(AND(M192&lt;&gt;"En ejecución",L192=""),"Falta fecha de terminación; ","")&amp;IF(AND(K192&lt;&gt;"",L192&lt;&gt;"",L192&lt;K192),"Terminación anterior al inicio; ","")&amp;IF(M192="","Falta estado; ","")&amp;IF(OR(P192="",P192&lt;=0),"Falta valor del contrato; ","")&amp;IF(AND(M192="En ejecución",Q192=""),"En ejecución sin valor ejecutado; ","")&amp;IF(AND(M192="En ejecución",L192&lt;&gt;"",L192&lt;TODAY()),"Dice en ejecución pero su terminación ya pasó; ","")&amp;IF(M192="En ejecución","En ejecución: no acredita experiencia; ","")&amp;IF(AND(M192&lt;&gt;"En ejecución",L192&lt;&gt;"",X192&lt;&gt;"",Y192=""),"El año no está en la hoja SMMLV; ","")&amp;IF(AND(B192&lt;&gt;"",COUNTIFS($B$2:$B$601,B192,$C$2:$C$601,C192)&gt;1),"Posible duplicado (mismo número y entidad); ","")&amp;IF(COUNTIF(PARTICIPACIONES!$A$2:$A$601,A192)=0,"Sin participaciones; ","")&amp;IF(SUMIFS(PARTICIPACIONES!$E$2:$E$601,PARTICIPACIONES!$A$2:$A$601,A192)&gt;1.0001,"Las participaciones suman más de 100 %; ",""))</f>
        <v/>
      </c>
    </row>
    <row r="193">
      <c r="J193" s="15" t="n"/>
      <c r="K193" s="15" t="n"/>
      <c r="L193" s="15" t="n"/>
      <c r="N193" s="15" t="n"/>
      <c r="O193" s="16" t="n"/>
      <c r="P193" s="16" t="n"/>
      <c r="Q193" s="16" t="n"/>
      <c r="W193" s="12">
        <f>IF(AND(K193&lt;&gt;"",L193&lt;&gt;""),ROUND((L193-K193)/30.4375,1),"")</f>
        <v/>
      </c>
      <c r="X193" s="12">
        <f>IF(OR(A193="",M193="En ejecución",L193=""),"",YEAR(L193))</f>
        <v/>
      </c>
      <c r="Y193" s="13">
        <f>IF(X193="","",IFERROR(VLOOKUP(X193,SMMLV!$A$2:$B$38,2,FALSE),""))</f>
        <v/>
      </c>
      <c r="Z193" s="17">
        <f>IF(OR(Y193="",P193=""),"",ROUND(P193/Y193,2))</f>
        <v/>
      </c>
      <c r="AA193" s="13">
        <f>IF(Z193="","",ROUND(Z193*SMMLV!$E$4,0))</f>
        <v/>
      </c>
      <c r="AB193" s="13">
        <f>IF(AND(M193="En ejecución",P193&lt;&gt;"",Q193&lt;&gt;""),MAX(P193-Q193,0),"")</f>
        <v/>
      </c>
      <c r="AC193" s="12">
        <f>IF(A193="","",IF(B193="","Falta número de contrato; ","")&amp;IF(C193="","Falta entidad; ","")&amp;IF(E193="","Falta objeto; ","")&amp;IF(F193="","Falta especialidad; ","")&amp;IF(K193="","Falta fecha de inicio (recomendada); ","")&amp;IF(AND(M193&lt;&gt;"En ejecución",L193=""),"Falta fecha de terminación; ","")&amp;IF(AND(K193&lt;&gt;"",L193&lt;&gt;"",L193&lt;K193),"Terminación anterior al inicio; ","")&amp;IF(M193="","Falta estado; ","")&amp;IF(OR(P193="",P193&lt;=0),"Falta valor del contrato; ","")&amp;IF(AND(M193="En ejecución",Q193=""),"En ejecución sin valor ejecutado; ","")&amp;IF(AND(M193="En ejecución",L193&lt;&gt;"",L193&lt;TODAY()),"Dice en ejecución pero su terminación ya pasó; ","")&amp;IF(M193="En ejecución","En ejecución: no acredita experiencia; ","")&amp;IF(AND(M193&lt;&gt;"En ejecución",L193&lt;&gt;"",X193&lt;&gt;"",Y193=""),"El año no está en la hoja SMMLV; ","")&amp;IF(AND(B193&lt;&gt;"",COUNTIFS($B$2:$B$601,B193,$C$2:$C$601,C193)&gt;1),"Posible duplicado (mismo número y entidad); ","")&amp;IF(COUNTIF(PARTICIPACIONES!$A$2:$A$601,A193)=0,"Sin participaciones; ","")&amp;IF(SUMIFS(PARTICIPACIONES!$E$2:$E$601,PARTICIPACIONES!$A$2:$A$601,A193)&gt;1.0001,"Las participaciones suman más de 100 %; ",""))</f>
        <v/>
      </c>
    </row>
    <row r="194">
      <c r="J194" s="15" t="n"/>
      <c r="K194" s="15" t="n"/>
      <c r="L194" s="15" t="n"/>
      <c r="N194" s="15" t="n"/>
      <c r="O194" s="16" t="n"/>
      <c r="P194" s="16" t="n"/>
      <c r="Q194" s="16" t="n"/>
      <c r="W194" s="12">
        <f>IF(AND(K194&lt;&gt;"",L194&lt;&gt;""),ROUND((L194-K194)/30.4375,1),"")</f>
        <v/>
      </c>
      <c r="X194" s="12">
        <f>IF(OR(A194="",M194="En ejecución",L194=""),"",YEAR(L194))</f>
        <v/>
      </c>
      <c r="Y194" s="13">
        <f>IF(X194="","",IFERROR(VLOOKUP(X194,SMMLV!$A$2:$B$38,2,FALSE),""))</f>
        <v/>
      </c>
      <c r="Z194" s="17">
        <f>IF(OR(Y194="",P194=""),"",ROUND(P194/Y194,2))</f>
        <v/>
      </c>
      <c r="AA194" s="13">
        <f>IF(Z194="","",ROUND(Z194*SMMLV!$E$4,0))</f>
        <v/>
      </c>
      <c r="AB194" s="13">
        <f>IF(AND(M194="En ejecución",P194&lt;&gt;"",Q194&lt;&gt;""),MAX(P194-Q194,0),"")</f>
        <v/>
      </c>
      <c r="AC194" s="12">
        <f>IF(A194="","",IF(B194="","Falta número de contrato; ","")&amp;IF(C194="","Falta entidad; ","")&amp;IF(E194="","Falta objeto; ","")&amp;IF(F194="","Falta especialidad; ","")&amp;IF(K194="","Falta fecha de inicio (recomendada); ","")&amp;IF(AND(M194&lt;&gt;"En ejecución",L194=""),"Falta fecha de terminación; ","")&amp;IF(AND(K194&lt;&gt;"",L194&lt;&gt;"",L194&lt;K194),"Terminación anterior al inicio; ","")&amp;IF(M194="","Falta estado; ","")&amp;IF(OR(P194="",P194&lt;=0),"Falta valor del contrato; ","")&amp;IF(AND(M194="En ejecución",Q194=""),"En ejecución sin valor ejecutado; ","")&amp;IF(AND(M194="En ejecución",L194&lt;&gt;"",L194&lt;TODAY()),"Dice en ejecución pero su terminación ya pasó; ","")&amp;IF(M194="En ejecución","En ejecución: no acredita experiencia; ","")&amp;IF(AND(M194&lt;&gt;"En ejecución",L194&lt;&gt;"",X194&lt;&gt;"",Y194=""),"El año no está en la hoja SMMLV; ","")&amp;IF(AND(B194&lt;&gt;"",COUNTIFS($B$2:$B$601,B194,$C$2:$C$601,C194)&gt;1),"Posible duplicado (mismo número y entidad); ","")&amp;IF(COUNTIF(PARTICIPACIONES!$A$2:$A$601,A194)=0,"Sin participaciones; ","")&amp;IF(SUMIFS(PARTICIPACIONES!$E$2:$E$601,PARTICIPACIONES!$A$2:$A$601,A194)&gt;1.0001,"Las participaciones suman más de 100 %; ",""))</f>
        <v/>
      </c>
    </row>
    <row r="195">
      <c r="J195" s="15" t="n"/>
      <c r="K195" s="15" t="n"/>
      <c r="L195" s="15" t="n"/>
      <c r="N195" s="15" t="n"/>
      <c r="O195" s="16" t="n"/>
      <c r="P195" s="16" t="n"/>
      <c r="Q195" s="16" t="n"/>
      <c r="W195" s="12">
        <f>IF(AND(K195&lt;&gt;"",L195&lt;&gt;""),ROUND((L195-K195)/30.4375,1),"")</f>
        <v/>
      </c>
      <c r="X195" s="12">
        <f>IF(OR(A195="",M195="En ejecución",L195=""),"",YEAR(L195))</f>
        <v/>
      </c>
      <c r="Y195" s="13">
        <f>IF(X195="","",IFERROR(VLOOKUP(X195,SMMLV!$A$2:$B$38,2,FALSE),""))</f>
        <v/>
      </c>
      <c r="Z195" s="17">
        <f>IF(OR(Y195="",P195=""),"",ROUND(P195/Y195,2))</f>
        <v/>
      </c>
      <c r="AA195" s="13">
        <f>IF(Z195="","",ROUND(Z195*SMMLV!$E$4,0))</f>
        <v/>
      </c>
      <c r="AB195" s="13">
        <f>IF(AND(M195="En ejecución",P195&lt;&gt;"",Q195&lt;&gt;""),MAX(P195-Q195,0),"")</f>
        <v/>
      </c>
      <c r="AC195" s="12">
        <f>IF(A195="","",IF(B195="","Falta número de contrato; ","")&amp;IF(C195="","Falta entidad; ","")&amp;IF(E195="","Falta objeto; ","")&amp;IF(F195="","Falta especialidad; ","")&amp;IF(K195="","Falta fecha de inicio (recomendada); ","")&amp;IF(AND(M195&lt;&gt;"En ejecución",L195=""),"Falta fecha de terminación; ","")&amp;IF(AND(K195&lt;&gt;"",L195&lt;&gt;"",L195&lt;K195),"Terminación anterior al inicio; ","")&amp;IF(M195="","Falta estado; ","")&amp;IF(OR(P195="",P195&lt;=0),"Falta valor del contrato; ","")&amp;IF(AND(M195="En ejecución",Q195=""),"En ejecución sin valor ejecutado; ","")&amp;IF(AND(M195="En ejecución",L195&lt;&gt;"",L195&lt;TODAY()),"Dice en ejecución pero su terminación ya pasó; ","")&amp;IF(M195="En ejecución","En ejecución: no acredita experiencia; ","")&amp;IF(AND(M195&lt;&gt;"En ejecución",L195&lt;&gt;"",X195&lt;&gt;"",Y195=""),"El año no está en la hoja SMMLV; ","")&amp;IF(AND(B195&lt;&gt;"",COUNTIFS($B$2:$B$601,B195,$C$2:$C$601,C195)&gt;1),"Posible duplicado (mismo número y entidad); ","")&amp;IF(COUNTIF(PARTICIPACIONES!$A$2:$A$601,A195)=0,"Sin participaciones; ","")&amp;IF(SUMIFS(PARTICIPACIONES!$E$2:$E$601,PARTICIPACIONES!$A$2:$A$601,A195)&gt;1.0001,"Las participaciones suman más de 100 %; ",""))</f>
        <v/>
      </c>
    </row>
    <row r="196">
      <c r="J196" s="15" t="n"/>
      <c r="K196" s="15" t="n"/>
      <c r="L196" s="15" t="n"/>
      <c r="N196" s="15" t="n"/>
      <c r="O196" s="16" t="n"/>
      <c r="P196" s="16" t="n"/>
      <c r="Q196" s="16" t="n"/>
      <c r="W196" s="12">
        <f>IF(AND(K196&lt;&gt;"",L196&lt;&gt;""),ROUND((L196-K196)/30.4375,1),"")</f>
        <v/>
      </c>
      <c r="X196" s="12">
        <f>IF(OR(A196="",M196="En ejecución",L196=""),"",YEAR(L196))</f>
        <v/>
      </c>
      <c r="Y196" s="13">
        <f>IF(X196="","",IFERROR(VLOOKUP(X196,SMMLV!$A$2:$B$38,2,FALSE),""))</f>
        <v/>
      </c>
      <c r="Z196" s="17">
        <f>IF(OR(Y196="",P196=""),"",ROUND(P196/Y196,2))</f>
        <v/>
      </c>
      <c r="AA196" s="13">
        <f>IF(Z196="","",ROUND(Z196*SMMLV!$E$4,0))</f>
        <v/>
      </c>
      <c r="AB196" s="13">
        <f>IF(AND(M196="En ejecución",P196&lt;&gt;"",Q196&lt;&gt;""),MAX(P196-Q196,0),"")</f>
        <v/>
      </c>
      <c r="AC196" s="12">
        <f>IF(A196="","",IF(B196="","Falta número de contrato; ","")&amp;IF(C196="","Falta entidad; ","")&amp;IF(E196="","Falta objeto; ","")&amp;IF(F196="","Falta especialidad; ","")&amp;IF(K196="","Falta fecha de inicio (recomendada); ","")&amp;IF(AND(M196&lt;&gt;"En ejecución",L196=""),"Falta fecha de terminación; ","")&amp;IF(AND(K196&lt;&gt;"",L196&lt;&gt;"",L196&lt;K196),"Terminación anterior al inicio; ","")&amp;IF(M196="","Falta estado; ","")&amp;IF(OR(P196="",P196&lt;=0),"Falta valor del contrato; ","")&amp;IF(AND(M196="En ejecución",Q196=""),"En ejecución sin valor ejecutado; ","")&amp;IF(AND(M196="En ejecución",L196&lt;&gt;"",L196&lt;TODAY()),"Dice en ejecución pero su terminación ya pasó; ","")&amp;IF(M196="En ejecución","En ejecución: no acredita experiencia; ","")&amp;IF(AND(M196&lt;&gt;"En ejecución",L196&lt;&gt;"",X196&lt;&gt;"",Y196=""),"El año no está en la hoja SMMLV; ","")&amp;IF(AND(B196&lt;&gt;"",COUNTIFS($B$2:$B$601,B196,$C$2:$C$601,C196)&gt;1),"Posible duplicado (mismo número y entidad); ","")&amp;IF(COUNTIF(PARTICIPACIONES!$A$2:$A$601,A196)=0,"Sin participaciones; ","")&amp;IF(SUMIFS(PARTICIPACIONES!$E$2:$E$601,PARTICIPACIONES!$A$2:$A$601,A196)&gt;1.0001,"Las participaciones suman más de 100 %; ",""))</f>
        <v/>
      </c>
    </row>
    <row r="197">
      <c r="J197" s="15" t="n"/>
      <c r="K197" s="15" t="n"/>
      <c r="L197" s="15" t="n"/>
      <c r="N197" s="15" t="n"/>
      <c r="O197" s="16" t="n"/>
      <c r="P197" s="16" t="n"/>
      <c r="Q197" s="16" t="n"/>
      <c r="W197" s="12">
        <f>IF(AND(K197&lt;&gt;"",L197&lt;&gt;""),ROUND((L197-K197)/30.4375,1),"")</f>
        <v/>
      </c>
      <c r="X197" s="12">
        <f>IF(OR(A197="",M197="En ejecución",L197=""),"",YEAR(L197))</f>
        <v/>
      </c>
      <c r="Y197" s="13">
        <f>IF(X197="","",IFERROR(VLOOKUP(X197,SMMLV!$A$2:$B$38,2,FALSE),""))</f>
        <v/>
      </c>
      <c r="Z197" s="17">
        <f>IF(OR(Y197="",P197=""),"",ROUND(P197/Y197,2))</f>
        <v/>
      </c>
      <c r="AA197" s="13">
        <f>IF(Z197="","",ROUND(Z197*SMMLV!$E$4,0))</f>
        <v/>
      </c>
      <c r="AB197" s="13">
        <f>IF(AND(M197="En ejecución",P197&lt;&gt;"",Q197&lt;&gt;""),MAX(P197-Q197,0),"")</f>
        <v/>
      </c>
      <c r="AC197" s="12">
        <f>IF(A197="","",IF(B197="","Falta número de contrato; ","")&amp;IF(C197="","Falta entidad; ","")&amp;IF(E197="","Falta objeto; ","")&amp;IF(F197="","Falta especialidad; ","")&amp;IF(K197="","Falta fecha de inicio (recomendada); ","")&amp;IF(AND(M197&lt;&gt;"En ejecución",L197=""),"Falta fecha de terminación; ","")&amp;IF(AND(K197&lt;&gt;"",L197&lt;&gt;"",L197&lt;K197),"Terminación anterior al inicio; ","")&amp;IF(M197="","Falta estado; ","")&amp;IF(OR(P197="",P197&lt;=0),"Falta valor del contrato; ","")&amp;IF(AND(M197="En ejecución",Q197=""),"En ejecución sin valor ejecutado; ","")&amp;IF(AND(M197="En ejecución",L197&lt;&gt;"",L197&lt;TODAY()),"Dice en ejecución pero su terminación ya pasó; ","")&amp;IF(M197="En ejecución","En ejecución: no acredita experiencia; ","")&amp;IF(AND(M197&lt;&gt;"En ejecución",L197&lt;&gt;"",X197&lt;&gt;"",Y197=""),"El año no está en la hoja SMMLV; ","")&amp;IF(AND(B197&lt;&gt;"",COUNTIFS($B$2:$B$601,B197,$C$2:$C$601,C197)&gt;1),"Posible duplicado (mismo número y entidad); ","")&amp;IF(COUNTIF(PARTICIPACIONES!$A$2:$A$601,A197)=0,"Sin participaciones; ","")&amp;IF(SUMIFS(PARTICIPACIONES!$E$2:$E$601,PARTICIPACIONES!$A$2:$A$601,A197)&gt;1.0001,"Las participaciones suman más de 100 %; ",""))</f>
        <v/>
      </c>
    </row>
    <row r="198">
      <c r="J198" s="15" t="n"/>
      <c r="K198" s="15" t="n"/>
      <c r="L198" s="15" t="n"/>
      <c r="N198" s="15" t="n"/>
      <c r="O198" s="16" t="n"/>
      <c r="P198" s="16" t="n"/>
      <c r="Q198" s="16" t="n"/>
      <c r="W198" s="12">
        <f>IF(AND(K198&lt;&gt;"",L198&lt;&gt;""),ROUND((L198-K198)/30.4375,1),"")</f>
        <v/>
      </c>
      <c r="X198" s="12">
        <f>IF(OR(A198="",M198="En ejecución",L198=""),"",YEAR(L198))</f>
        <v/>
      </c>
      <c r="Y198" s="13">
        <f>IF(X198="","",IFERROR(VLOOKUP(X198,SMMLV!$A$2:$B$38,2,FALSE),""))</f>
        <v/>
      </c>
      <c r="Z198" s="17">
        <f>IF(OR(Y198="",P198=""),"",ROUND(P198/Y198,2))</f>
        <v/>
      </c>
      <c r="AA198" s="13">
        <f>IF(Z198="","",ROUND(Z198*SMMLV!$E$4,0))</f>
        <v/>
      </c>
      <c r="AB198" s="13">
        <f>IF(AND(M198="En ejecución",P198&lt;&gt;"",Q198&lt;&gt;""),MAX(P198-Q198,0),"")</f>
        <v/>
      </c>
      <c r="AC198" s="12">
        <f>IF(A198="","",IF(B198="","Falta número de contrato; ","")&amp;IF(C198="","Falta entidad; ","")&amp;IF(E198="","Falta objeto; ","")&amp;IF(F198="","Falta especialidad; ","")&amp;IF(K198="","Falta fecha de inicio (recomendada); ","")&amp;IF(AND(M198&lt;&gt;"En ejecución",L198=""),"Falta fecha de terminación; ","")&amp;IF(AND(K198&lt;&gt;"",L198&lt;&gt;"",L198&lt;K198),"Terminación anterior al inicio; ","")&amp;IF(M198="","Falta estado; ","")&amp;IF(OR(P198="",P198&lt;=0),"Falta valor del contrato; ","")&amp;IF(AND(M198="En ejecución",Q198=""),"En ejecución sin valor ejecutado; ","")&amp;IF(AND(M198="En ejecución",L198&lt;&gt;"",L198&lt;TODAY()),"Dice en ejecución pero su terminación ya pasó; ","")&amp;IF(M198="En ejecución","En ejecución: no acredita experiencia; ","")&amp;IF(AND(M198&lt;&gt;"En ejecución",L198&lt;&gt;"",X198&lt;&gt;"",Y198=""),"El año no está en la hoja SMMLV; ","")&amp;IF(AND(B198&lt;&gt;"",COUNTIFS($B$2:$B$601,B198,$C$2:$C$601,C198)&gt;1),"Posible duplicado (mismo número y entidad); ","")&amp;IF(COUNTIF(PARTICIPACIONES!$A$2:$A$601,A198)=0,"Sin participaciones; ","")&amp;IF(SUMIFS(PARTICIPACIONES!$E$2:$E$601,PARTICIPACIONES!$A$2:$A$601,A198)&gt;1.0001,"Las participaciones suman más de 100 %; ",""))</f>
        <v/>
      </c>
    </row>
    <row r="199">
      <c r="J199" s="15" t="n"/>
      <c r="K199" s="15" t="n"/>
      <c r="L199" s="15" t="n"/>
      <c r="N199" s="15" t="n"/>
      <c r="O199" s="16" t="n"/>
      <c r="P199" s="16" t="n"/>
      <c r="Q199" s="16" t="n"/>
      <c r="W199" s="12">
        <f>IF(AND(K199&lt;&gt;"",L199&lt;&gt;""),ROUND((L199-K199)/30.4375,1),"")</f>
        <v/>
      </c>
      <c r="X199" s="12">
        <f>IF(OR(A199="",M199="En ejecución",L199=""),"",YEAR(L199))</f>
        <v/>
      </c>
      <c r="Y199" s="13">
        <f>IF(X199="","",IFERROR(VLOOKUP(X199,SMMLV!$A$2:$B$38,2,FALSE),""))</f>
        <v/>
      </c>
      <c r="Z199" s="17">
        <f>IF(OR(Y199="",P199=""),"",ROUND(P199/Y199,2))</f>
        <v/>
      </c>
      <c r="AA199" s="13">
        <f>IF(Z199="","",ROUND(Z199*SMMLV!$E$4,0))</f>
        <v/>
      </c>
      <c r="AB199" s="13">
        <f>IF(AND(M199="En ejecución",P199&lt;&gt;"",Q199&lt;&gt;""),MAX(P199-Q199,0),"")</f>
        <v/>
      </c>
      <c r="AC199" s="12">
        <f>IF(A199="","",IF(B199="","Falta número de contrato; ","")&amp;IF(C199="","Falta entidad; ","")&amp;IF(E199="","Falta objeto; ","")&amp;IF(F199="","Falta especialidad; ","")&amp;IF(K199="","Falta fecha de inicio (recomendada); ","")&amp;IF(AND(M199&lt;&gt;"En ejecución",L199=""),"Falta fecha de terminación; ","")&amp;IF(AND(K199&lt;&gt;"",L199&lt;&gt;"",L199&lt;K199),"Terminación anterior al inicio; ","")&amp;IF(M199="","Falta estado; ","")&amp;IF(OR(P199="",P199&lt;=0),"Falta valor del contrato; ","")&amp;IF(AND(M199="En ejecución",Q199=""),"En ejecución sin valor ejecutado; ","")&amp;IF(AND(M199="En ejecución",L199&lt;&gt;"",L199&lt;TODAY()),"Dice en ejecución pero su terminación ya pasó; ","")&amp;IF(M199="En ejecución","En ejecución: no acredita experiencia; ","")&amp;IF(AND(M199&lt;&gt;"En ejecución",L199&lt;&gt;"",X199&lt;&gt;"",Y199=""),"El año no está en la hoja SMMLV; ","")&amp;IF(AND(B199&lt;&gt;"",COUNTIFS($B$2:$B$601,B199,$C$2:$C$601,C199)&gt;1),"Posible duplicado (mismo número y entidad); ","")&amp;IF(COUNTIF(PARTICIPACIONES!$A$2:$A$601,A199)=0,"Sin participaciones; ","")&amp;IF(SUMIFS(PARTICIPACIONES!$E$2:$E$601,PARTICIPACIONES!$A$2:$A$601,A199)&gt;1.0001,"Las participaciones suman más de 100 %; ",""))</f>
        <v/>
      </c>
    </row>
    <row r="200">
      <c r="J200" s="15" t="n"/>
      <c r="K200" s="15" t="n"/>
      <c r="L200" s="15" t="n"/>
      <c r="N200" s="15" t="n"/>
      <c r="O200" s="16" t="n"/>
      <c r="P200" s="16" t="n"/>
      <c r="Q200" s="16" t="n"/>
      <c r="W200" s="12">
        <f>IF(AND(K200&lt;&gt;"",L200&lt;&gt;""),ROUND((L200-K200)/30.4375,1),"")</f>
        <v/>
      </c>
      <c r="X200" s="12">
        <f>IF(OR(A200="",M200="En ejecución",L200=""),"",YEAR(L200))</f>
        <v/>
      </c>
      <c r="Y200" s="13">
        <f>IF(X200="","",IFERROR(VLOOKUP(X200,SMMLV!$A$2:$B$38,2,FALSE),""))</f>
        <v/>
      </c>
      <c r="Z200" s="17">
        <f>IF(OR(Y200="",P200=""),"",ROUND(P200/Y200,2))</f>
        <v/>
      </c>
      <c r="AA200" s="13">
        <f>IF(Z200="","",ROUND(Z200*SMMLV!$E$4,0))</f>
        <v/>
      </c>
      <c r="AB200" s="13">
        <f>IF(AND(M200="En ejecución",P200&lt;&gt;"",Q200&lt;&gt;""),MAX(P200-Q200,0),"")</f>
        <v/>
      </c>
      <c r="AC200" s="12">
        <f>IF(A200="","",IF(B200="","Falta número de contrato; ","")&amp;IF(C200="","Falta entidad; ","")&amp;IF(E200="","Falta objeto; ","")&amp;IF(F200="","Falta especialidad; ","")&amp;IF(K200="","Falta fecha de inicio (recomendada); ","")&amp;IF(AND(M200&lt;&gt;"En ejecución",L200=""),"Falta fecha de terminación; ","")&amp;IF(AND(K200&lt;&gt;"",L200&lt;&gt;"",L200&lt;K200),"Terminación anterior al inicio; ","")&amp;IF(M200="","Falta estado; ","")&amp;IF(OR(P200="",P200&lt;=0),"Falta valor del contrato; ","")&amp;IF(AND(M200="En ejecución",Q200=""),"En ejecución sin valor ejecutado; ","")&amp;IF(AND(M200="En ejecución",L200&lt;&gt;"",L200&lt;TODAY()),"Dice en ejecución pero su terminación ya pasó; ","")&amp;IF(M200="En ejecución","En ejecución: no acredita experiencia; ","")&amp;IF(AND(M200&lt;&gt;"En ejecución",L200&lt;&gt;"",X200&lt;&gt;"",Y200=""),"El año no está en la hoja SMMLV; ","")&amp;IF(AND(B200&lt;&gt;"",COUNTIFS($B$2:$B$601,B200,$C$2:$C$601,C200)&gt;1),"Posible duplicado (mismo número y entidad); ","")&amp;IF(COUNTIF(PARTICIPACIONES!$A$2:$A$601,A200)=0,"Sin participaciones; ","")&amp;IF(SUMIFS(PARTICIPACIONES!$E$2:$E$601,PARTICIPACIONES!$A$2:$A$601,A200)&gt;1.0001,"Las participaciones suman más de 100 %; ",""))</f>
        <v/>
      </c>
    </row>
    <row r="201">
      <c r="J201" s="15" t="n"/>
      <c r="K201" s="15" t="n"/>
      <c r="L201" s="15" t="n"/>
      <c r="N201" s="15" t="n"/>
      <c r="O201" s="16" t="n"/>
      <c r="P201" s="16" t="n"/>
      <c r="Q201" s="16" t="n"/>
      <c r="W201" s="12">
        <f>IF(AND(K201&lt;&gt;"",L201&lt;&gt;""),ROUND((L201-K201)/30.4375,1),"")</f>
        <v/>
      </c>
      <c r="X201" s="12">
        <f>IF(OR(A201="",M201="En ejecución",L201=""),"",YEAR(L201))</f>
        <v/>
      </c>
      <c r="Y201" s="13">
        <f>IF(X201="","",IFERROR(VLOOKUP(X201,SMMLV!$A$2:$B$38,2,FALSE),""))</f>
        <v/>
      </c>
      <c r="Z201" s="17">
        <f>IF(OR(Y201="",P201=""),"",ROUND(P201/Y201,2))</f>
        <v/>
      </c>
      <c r="AA201" s="13">
        <f>IF(Z201="","",ROUND(Z201*SMMLV!$E$4,0))</f>
        <v/>
      </c>
      <c r="AB201" s="13">
        <f>IF(AND(M201="En ejecución",P201&lt;&gt;"",Q201&lt;&gt;""),MAX(P201-Q201,0),"")</f>
        <v/>
      </c>
      <c r="AC201" s="12">
        <f>IF(A201="","",IF(B201="","Falta número de contrato; ","")&amp;IF(C201="","Falta entidad; ","")&amp;IF(E201="","Falta objeto; ","")&amp;IF(F201="","Falta especialidad; ","")&amp;IF(K201="","Falta fecha de inicio (recomendada); ","")&amp;IF(AND(M201&lt;&gt;"En ejecución",L201=""),"Falta fecha de terminación; ","")&amp;IF(AND(K201&lt;&gt;"",L201&lt;&gt;"",L201&lt;K201),"Terminación anterior al inicio; ","")&amp;IF(M201="","Falta estado; ","")&amp;IF(OR(P201="",P201&lt;=0),"Falta valor del contrato; ","")&amp;IF(AND(M201="En ejecución",Q201=""),"En ejecución sin valor ejecutado; ","")&amp;IF(AND(M201="En ejecución",L201&lt;&gt;"",L201&lt;TODAY()),"Dice en ejecución pero su terminación ya pasó; ","")&amp;IF(M201="En ejecución","En ejecución: no acredita experiencia; ","")&amp;IF(AND(M201&lt;&gt;"En ejecución",L201&lt;&gt;"",X201&lt;&gt;"",Y201=""),"El año no está en la hoja SMMLV; ","")&amp;IF(AND(B201&lt;&gt;"",COUNTIFS($B$2:$B$601,B201,$C$2:$C$601,C201)&gt;1),"Posible duplicado (mismo número y entidad); ","")&amp;IF(COUNTIF(PARTICIPACIONES!$A$2:$A$601,A201)=0,"Sin participaciones; ","")&amp;IF(SUMIFS(PARTICIPACIONES!$E$2:$E$601,PARTICIPACIONES!$A$2:$A$601,A201)&gt;1.0001,"Las participaciones suman más de 100 %; ",""))</f>
        <v/>
      </c>
    </row>
    <row r="202">
      <c r="J202" s="15" t="n"/>
      <c r="K202" s="15" t="n"/>
      <c r="L202" s="15" t="n"/>
      <c r="N202" s="15" t="n"/>
      <c r="O202" s="16" t="n"/>
      <c r="P202" s="16" t="n"/>
      <c r="Q202" s="16" t="n"/>
      <c r="W202" s="12">
        <f>IF(AND(K202&lt;&gt;"",L202&lt;&gt;""),ROUND((L202-K202)/30.4375,1),"")</f>
        <v/>
      </c>
      <c r="X202" s="12">
        <f>IF(OR(A202="",M202="En ejecución",L202=""),"",YEAR(L202))</f>
        <v/>
      </c>
      <c r="Y202" s="13">
        <f>IF(X202="","",IFERROR(VLOOKUP(X202,SMMLV!$A$2:$B$38,2,FALSE),""))</f>
        <v/>
      </c>
      <c r="Z202" s="17">
        <f>IF(OR(Y202="",P202=""),"",ROUND(P202/Y202,2))</f>
        <v/>
      </c>
      <c r="AA202" s="13">
        <f>IF(Z202="","",ROUND(Z202*SMMLV!$E$4,0))</f>
        <v/>
      </c>
      <c r="AB202" s="13">
        <f>IF(AND(M202="En ejecución",P202&lt;&gt;"",Q202&lt;&gt;""),MAX(P202-Q202,0),"")</f>
        <v/>
      </c>
      <c r="AC202" s="12">
        <f>IF(A202="","",IF(B202="","Falta número de contrato; ","")&amp;IF(C202="","Falta entidad; ","")&amp;IF(E202="","Falta objeto; ","")&amp;IF(F202="","Falta especialidad; ","")&amp;IF(K202="","Falta fecha de inicio (recomendada); ","")&amp;IF(AND(M202&lt;&gt;"En ejecución",L202=""),"Falta fecha de terminación; ","")&amp;IF(AND(K202&lt;&gt;"",L202&lt;&gt;"",L202&lt;K202),"Terminación anterior al inicio; ","")&amp;IF(M202="","Falta estado; ","")&amp;IF(OR(P202="",P202&lt;=0),"Falta valor del contrato; ","")&amp;IF(AND(M202="En ejecución",Q202=""),"En ejecución sin valor ejecutado; ","")&amp;IF(AND(M202="En ejecución",L202&lt;&gt;"",L202&lt;TODAY()),"Dice en ejecución pero su terminación ya pasó; ","")&amp;IF(M202="En ejecución","En ejecución: no acredita experiencia; ","")&amp;IF(AND(M202&lt;&gt;"En ejecución",L202&lt;&gt;"",X202&lt;&gt;"",Y202=""),"El año no está en la hoja SMMLV; ","")&amp;IF(AND(B202&lt;&gt;"",COUNTIFS($B$2:$B$601,B202,$C$2:$C$601,C202)&gt;1),"Posible duplicado (mismo número y entidad); ","")&amp;IF(COUNTIF(PARTICIPACIONES!$A$2:$A$601,A202)=0,"Sin participaciones; ","")&amp;IF(SUMIFS(PARTICIPACIONES!$E$2:$E$601,PARTICIPACIONES!$A$2:$A$601,A202)&gt;1.0001,"Las participaciones suman más de 100 %; ",""))</f>
        <v/>
      </c>
    </row>
    <row r="203">
      <c r="J203" s="15" t="n"/>
      <c r="K203" s="15" t="n"/>
      <c r="L203" s="15" t="n"/>
      <c r="N203" s="15" t="n"/>
      <c r="O203" s="16" t="n"/>
      <c r="P203" s="16" t="n"/>
      <c r="Q203" s="16" t="n"/>
      <c r="W203" s="12">
        <f>IF(AND(K203&lt;&gt;"",L203&lt;&gt;""),ROUND((L203-K203)/30.4375,1),"")</f>
        <v/>
      </c>
      <c r="X203" s="12">
        <f>IF(OR(A203="",M203="En ejecución",L203=""),"",YEAR(L203))</f>
        <v/>
      </c>
      <c r="Y203" s="13">
        <f>IF(X203="","",IFERROR(VLOOKUP(X203,SMMLV!$A$2:$B$38,2,FALSE),""))</f>
        <v/>
      </c>
      <c r="Z203" s="17">
        <f>IF(OR(Y203="",P203=""),"",ROUND(P203/Y203,2))</f>
        <v/>
      </c>
      <c r="AA203" s="13">
        <f>IF(Z203="","",ROUND(Z203*SMMLV!$E$4,0))</f>
        <v/>
      </c>
      <c r="AB203" s="13">
        <f>IF(AND(M203="En ejecución",P203&lt;&gt;"",Q203&lt;&gt;""),MAX(P203-Q203,0),"")</f>
        <v/>
      </c>
      <c r="AC203" s="12">
        <f>IF(A203="","",IF(B203="","Falta número de contrato; ","")&amp;IF(C203="","Falta entidad; ","")&amp;IF(E203="","Falta objeto; ","")&amp;IF(F203="","Falta especialidad; ","")&amp;IF(K203="","Falta fecha de inicio (recomendada); ","")&amp;IF(AND(M203&lt;&gt;"En ejecución",L203=""),"Falta fecha de terminación; ","")&amp;IF(AND(K203&lt;&gt;"",L203&lt;&gt;"",L203&lt;K203),"Terminación anterior al inicio; ","")&amp;IF(M203="","Falta estado; ","")&amp;IF(OR(P203="",P203&lt;=0),"Falta valor del contrato; ","")&amp;IF(AND(M203="En ejecución",Q203=""),"En ejecución sin valor ejecutado; ","")&amp;IF(AND(M203="En ejecución",L203&lt;&gt;"",L203&lt;TODAY()),"Dice en ejecución pero su terminación ya pasó; ","")&amp;IF(M203="En ejecución","En ejecución: no acredita experiencia; ","")&amp;IF(AND(M203&lt;&gt;"En ejecución",L203&lt;&gt;"",X203&lt;&gt;"",Y203=""),"El año no está en la hoja SMMLV; ","")&amp;IF(AND(B203&lt;&gt;"",COUNTIFS($B$2:$B$601,B203,$C$2:$C$601,C203)&gt;1),"Posible duplicado (mismo número y entidad); ","")&amp;IF(COUNTIF(PARTICIPACIONES!$A$2:$A$601,A203)=0,"Sin participaciones; ","")&amp;IF(SUMIFS(PARTICIPACIONES!$E$2:$E$601,PARTICIPACIONES!$A$2:$A$601,A203)&gt;1.0001,"Las participaciones suman más de 100 %; ",""))</f>
        <v/>
      </c>
    </row>
    <row r="204">
      <c r="J204" s="15" t="n"/>
      <c r="K204" s="15" t="n"/>
      <c r="L204" s="15" t="n"/>
      <c r="N204" s="15" t="n"/>
      <c r="O204" s="16" t="n"/>
      <c r="P204" s="16" t="n"/>
      <c r="Q204" s="16" t="n"/>
      <c r="W204" s="12">
        <f>IF(AND(K204&lt;&gt;"",L204&lt;&gt;""),ROUND((L204-K204)/30.4375,1),"")</f>
        <v/>
      </c>
      <c r="X204" s="12">
        <f>IF(OR(A204="",M204="En ejecución",L204=""),"",YEAR(L204))</f>
        <v/>
      </c>
      <c r="Y204" s="13">
        <f>IF(X204="","",IFERROR(VLOOKUP(X204,SMMLV!$A$2:$B$38,2,FALSE),""))</f>
        <v/>
      </c>
      <c r="Z204" s="17">
        <f>IF(OR(Y204="",P204=""),"",ROUND(P204/Y204,2))</f>
        <v/>
      </c>
      <c r="AA204" s="13">
        <f>IF(Z204="","",ROUND(Z204*SMMLV!$E$4,0))</f>
        <v/>
      </c>
      <c r="AB204" s="13">
        <f>IF(AND(M204="En ejecución",P204&lt;&gt;"",Q204&lt;&gt;""),MAX(P204-Q204,0),"")</f>
        <v/>
      </c>
      <c r="AC204" s="12">
        <f>IF(A204="","",IF(B204="","Falta número de contrato; ","")&amp;IF(C204="","Falta entidad; ","")&amp;IF(E204="","Falta objeto; ","")&amp;IF(F204="","Falta especialidad; ","")&amp;IF(K204="","Falta fecha de inicio (recomendada); ","")&amp;IF(AND(M204&lt;&gt;"En ejecución",L204=""),"Falta fecha de terminación; ","")&amp;IF(AND(K204&lt;&gt;"",L204&lt;&gt;"",L204&lt;K204),"Terminación anterior al inicio; ","")&amp;IF(M204="","Falta estado; ","")&amp;IF(OR(P204="",P204&lt;=0),"Falta valor del contrato; ","")&amp;IF(AND(M204="En ejecución",Q204=""),"En ejecución sin valor ejecutado; ","")&amp;IF(AND(M204="En ejecución",L204&lt;&gt;"",L204&lt;TODAY()),"Dice en ejecución pero su terminación ya pasó; ","")&amp;IF(M204="En ejecución","En ejecución: no acredita experiencia; ","")&amp;IF(AND(M204&lt;&gt;"En ejecución",L204&lt;&gt;"",X204&lt;&gt;"",Y204=""),"El año no está en la hoja SMMLV; ","")&amp;IF(AND(B204&lt;&gt;"",COUNTIFS($B$2:$B$601,B204,$C$2:$C$601,C204)&gt;1),"Posible duplicado (mismo número y entidad); ","")&amp;IF(COUNTIF(PARTICIPACIONES!$A$2:$A$601,A204)=0,"Sin participaciones; ","")&amp;IF(SUMIFS(PARTICIPACIONES!$E$2:$E$601,PARTICIPACIONES!$A$2:$A$601,A204)&gt;1.0001,"Las participaciones suman más de 100 %; ",""))</f>
        <v/>
      </c>
    </row>
    <row r="205">
      <c r="J205" s="15" t="n"/>
      <c r="K205" s="15" t="n"/>
      <c r="L205" s="15" t="n"/>
      <c r="N205" s="15" t="n"/>
      <c r="O205" s="16" t="n"/>
      <c r="P205" s="16" t="n"/>
      <c r="Q205" s="16" t="n"/>
      <c r="W205" s="12">
        <f>IF(AND(K205&lt;&gt;"",L205&lt;&gt;""),ROUND((L205-K205)/30.4375,1),"")</f>
        <v/>
      </c>
      <c r="X205" s="12">
        <f>IF(OR(A205="",M205="En ejecución",L205=""),"",YEAR(L205))</f>
        <v/>
      </c>
      <c r="Y205" s="13">
        <f>IF(X205="","",IFERROR(VLOOKUP(X205,SMMLV!$A$2:$B$38,2,FALSE),""))</f>
        <v/>
      </c>
      <c r="Z205" s="17">
        <f>IF(OR(Y205="",P205=""),"",ROUND(P205/Y205,2))</f>
        <v/>
      </c>
      <c r="AA205" s="13">
        <f>IF(Z205="","",ROUND(Z205*SMMLV!$E$4,0))</f>
        <v/>
      </c>
      <c r="AB205" s="13">
        <f>IF(AND(M205="En ejecución",P205&lt;&gt;"",Q205&lt;&gt;""),MAX(P205-Q205,0),"")</f>
        <v/>
      </c>
      <c r="AC205" s="12">
        <f>IF(A205="","",IF(B205="","Falta número de contrato; ","")&amp;IF(C205="","Falta entidad; ","")&amp;IF(E205="","Falta objeto; ","")&amp;IF(F205="","Falta especialidad; ","")&amp;IF(K205="","Falta fecha de inicio (recomendada); ","")&amp;IF(AND(M205&lt;&gt;"En ejecución",L205=""),"Falta fecha de terminación; ","")&amp;IF(AND(K205&lt;&gt;"",L205&lt;&gt;"",L205&lt;K205),"Terminación anterior al inicio; ","")&amp;IF(M205="","Falta estado; ","")&amp;IF(OR(P205="",P205&lt;=0),"Falta valor del contrato; ","")&amp;IF(AND(M205="En ejecución",Q205=""),"En ejecución sin valor ejecutado; ","")&amp;IF(AND(M205="En ejecución",L205&lt;&gt;"",L205&lt;TODAY()),"Dice en ejecución pero su terminación ya pasó; ","")&amp;IF(M205="En ejecución","En ejecución: no acredita experiencia; ","")&amp;IF(AND(M205&lt;&gt;"En ejecución",L205&lt;&gt;"",X205&lt;&gt;"",Y205=""),"El año no está en la hoja SMMLV; ","")&amp;IF(AND(B205&lt;&gt;"",COUNTIFS($B$2:$B$601,B205,$C$2:$C$601,C205)&gt;1),"Posible duplicado (mismo número y entidad); ","")&amp;IF(COUNTIF(PARTICIPACIONES!$A$2:$A$601,A205)=0,"Sin participaciones; ","")&amp;IF(SUMIFS(PARTICIPACIONES!$E$2:$E$601,PARTICIPACIONES!$A$2:$A$601,A205)&gt;1.0001,"Las participaciones suman más de 100 %; ",""))</f>
        <v/>
      </c>
    </row>
    <row r="206">
      <c r="J206" s="15" t="n"/>
      <c r="K206" s="15" t="n"/>
      <c r="L206" s="15" t="n"/>
      <c r="N206" s="15" t="n"/>
      <c r="O206" s="16" t="n"/>
      <c r="P206" s="16" t="n"/>
      <c r="Q206" s="16" t="n"/>
      <c r="W206" s="12">
        <f>IF(AND(K206&lt;&gt;"",L206&lt;&gt;""),ROUND((L206-K206)/30.4375,1),"")</f>
        <v/>
      </c>
      <c r="X206" s="12">
        <f>IF(OR(A206="",M206="En ejecución",L206=""),"",YEAR(L206))</f>
        <v/>
      </c>
      <c r="Y206" s="13">
        <f>IF(X206="","",IFERROR(VLOOKUP(X206,SMMLV!$A$2:$B$38,2,FALSE),""))</f>
        <v/>
      </c>
      <c r="Z206" s="17">
        <f>IF(OR(Y206="",P206=""),"",ROUND(P206/Y206,2))</f>
        <v/>
      </c>
      <c r="AA206" s="13">
        <f>IF(Z206="","",ROUND(Z206*SMMLV!$E$4,0))</f>
        <v/>
      </c>
      <c r="AB206" s="13">
        <f>IF(AND(M206="En ejecución",P206&lt;&gt;"",Q206&lt;&gt;""),MAX(P206-Q206,0),"")</f>
        <v/>
      </c>
      <c r="AC206" s="12">
        <f>IF(A206="","",IF(B206="","Falta número de contrato; ","")&amp;IF(C206="","Falta entidad; ","")&amp;IF(E206="","Falta objeto; ","")&amp;IF(F206="","Falta especialidad; ","")&amp;IF(K206="","Falta fecha de inicio (recomendada); ","")&amp;IF(AND(M206&lt;&gt;"En ejecución",L206=""),"Falta fecha de terminación; ","")&amp;IF(AND(K206&lt;&gt;"",L206&lt;&gt;"",L206&lt;K206),"Terminación anterior al inicio; ","")&amp;IF(M206="","Falta estado; ","")&amp;IF(OR(P206="",P206&lt;=0),"Falta valor del contrato; ","")&amp;IF(AND(M206="En ejecución",Q206=""),"En ejecución sin valor ejecutado; ","")&amp;IF(AND(M206="En ejecución",L206&lt;&gt;"",L206&lt;TODAY()),"Dice en ejecución pero su terminación ya pasó; ","")&amp;IF(M206="En ejecución","En ejecución: no acredita experiencia; ","")&amp;IF(AND(M206&lt;&gt;"En ejecución",L206&lt;&gt;"",X206&lt;&gt;"",Y206=""),"El año no está en la hoja SMMLV; ","")&amp;IF(AND(B206&lt;&gt;"",COUNTIFS($B$2:$B$601,B206,$C$2:$C$601,C206)&gt;1),"Posible duplicado (mismo número y entidad); ","")&amp;IF(COUNTIF(PARTICIPACIONES!$A$2:$A$601,A206)=0,"Sin participaciones; ","")&amp;IF(SUMIFS(PARTICIPACIONES!$E$2:$E$601,PARTICIPACIONES!$A$2:$A$601,A206)&gt;1.0001,"Las participaciones suman más de 100 %; ",""))</f>
        <v/>
      </c>
    </row>
    <row r="207">
      <c r="J207" s="15" t="n"/>
      <c r="K207" s="15" t="n"/>
      <c r="L207" s="15" t="n"/>
      <c r="N207" s="15" t="n"/>
      <c r="O207" s="16" t="n"/>
      <c r="P207" s="16" t="n"/>
      <c r="Q207" s="16" t="n"/>
      <c r="W207" s="12">
        <f>IF(AND(K207&lt;&gt;"",L207&lt;&gt;""),ROUND((L207-K207)/30.4375,1),"")</f>
        <v/>
      </c>
      <c r="X207" s="12">
        <f>IF(OR(A207="",M207="En ejecución",L207=""),"",YEAR(L207))</f>
        <v/>
      </c>
      <c r="Y207" s="13">
        <f>IF(X207="","",IFERROR(VLOOKUP(X207,SMMLV!$A$2:$B$38,2,FALSE),""))</f>
        <v/>
      </c>
      <c r="Z207" s="17">
        <f>IF(OR(Y207="",P207=""),"",ROUND(P207/Y207,2))</f>
        <v/>
      </c>
      <c r="AA207" s="13">
        <f>IF(Z207="","",ROUND(Z207*SMMLV!$E$4,0))</f>
        <v/>
      </c>
      <c r="AB207" s="13">
        <f>IF(AND(M207="En ejecución",P207&lt;&gt;"",Q207&lt;&gt;""),MAX(P207-Q207,0),"")</f>
        <v/>
      </c>
      <c r="AC207" s="12">
        <f>IF(A207="","",IF(B207="","Falta número de contrato; ","")&amp;IF(C207="","Falta entidad; ","")&amp;IF(E207="","Falta objeto; ","")&amp;IF(F207="","Falta especialidad; ","")&amp;IF(K207="","Falta fecha de inicio (recomendada); ","")&amp;IF(AND(M207&lt;&gt;"En ejecución",L207=""),"Falta fecha de terminación; ","")&amp;IF(AND(K207&lt;&gt;"",L207&lt;&gt;"",L207&lt;K207),"Terminación anterior al inicio; ","")&amp;IF(M207="","Falta estado; ","")&amp;IF(OR(P207="",P207&lt;=0),"Falta valor del contrato; ","")&amp;IF(AND(M207="En ejecución",Q207=""),"En ejecución sin valor ejecutado; ","")&amp;IF(AND(M207="En ejecución",L207&lt;&gt;"",L207&lt;TODAY()),"Dice en ejecución pero su terminación ya pasó; ","")&amp;IF(M207="En ejecución","En ejecución: no acredita experiencia; ","")&amp;IF(AND(M207&lt;&gt;"En ejecución",L207&lt;&gt;"",X207&lt;&gt;"",Y207=""),"El año no está en la hoja SMMLV; ","")&amp;IF(AND(B207&lt;&gt;"",COUNTIFS($B$2:$B$601,B207,$C$2:$C$601,C207)&gt;1),"Posible duplicado (mismo número y entidad); ","")&amp;IF(COUNTIF(PARTICIPACIONES!$A$2:$A$601,A207)=0,"Sin participaciones; ","")&amp;IF(SUMIFS(PARTICIPACIONES!$E$2:$E$601,PARTICIPACIONES!$A$2:$A$601,A207)&gt;1.0001,"Las participaciones suman más de 100 %; ",""))</f>
        <v/>
      </c>
    </row>
    <row r="208">
      <c r="J208" s="15" t="n"/>
      <c r="K208" s="15" t="n"/>
      <c r="L208" s="15" t="n"/>
      <c r="N208" s="15" t="n"/>
      <c r="O208" s="16" t="n"/>
      <c r="P208" s="16" t="n"/>
      <c r="Q208" s="16" t="n"/>
      <c r="W208" s="12">
        <f>IF(AND(K208&lt;&gt;"",L208&lt;&gt;""),ROUND((L208-K208)/30.4375,1),"")</f>
        <v/>
      </c>
      <c r="X208" s="12">
        <f>IF(OR(A208="",M208="En ejecución",L208=""),"",YEAR(L208))</f>
        <v/>
      </c>
      <c r="Y208" s="13">
        <f>IF(X208="","",IFERROR(VLOOKUP(X208,SMMLV!$A$2:$B$38,2,FALSE),""))</f>
        <v/>
      </c>
      <c r="Z208" s="17">
        <f>IF(OR(Y208="",P208=""),"",ROUND(P208/Y208,2))</f>
        <v/>
      </c>
      <c r="AA208" s="13">
        <f>IF(Z208="","",ROUND(Z208*SMMLV!$E$4,0))</f>
        <v/>
      </c>
      <c r="AB208" s="13">
        <f>IF(AND(M208="En ejecución",P208&lt;&gt;"",Q208&lt;&gt;""),MAX(P208-Q208,0),"")</f>
        <v/>
      </c>
      <c r="AC208" s="12">
        <f>IF(A208="","",IF(B208="","Falta número de contrato; ","")&amp;IF(C208="","Falta entidad; ","")&amp;IF(E208="","Falta objeto; ","")&amp;IF(F208="","Falta especialidad; ","")&amp;IF(K208="","Falta fecha de inicio (recomendada); ","")&amp;IF(AND(M208&lt;&gt;"En ejecución",L208=""),"Falta fecha de terminación; ","")&amp;IF(AND(K208&lt;&gt;"",L208&lt;&gt;"",L208&lt;K208),"Terminación anterior al inicio; ","")&amp;IF(M208="","Falta estado; ","")&amp;IF(OR(P208="",P208&lt;=0),"Falta valor del contrato; ","")&amp;IF(AND(M208="En ejecución",Q208=""),"En ejecución sin valor ejecutado; ","")&amp;IF(AND(M208="En ejecución",L208&lt;&gt;"",L208&lt;TODAY()),"Dice en ejecución pero su terminación ya pasó; ","")&amp;IF(M208="En ejecución","En ejecución: no acredita experiencia; ","")&amp;IF(AND(M208&lt;&gt;"En ejecución",L208&lt;&gt;"",X208&lt;&gt;"",Y208=""),"El año no está en la hoja SMMLV; ","")&amp;IF(AND(B208&lt;&gt;"",COUNTIFS($B$2:$B$601,B208,$C$2:$C$601,C208)&gt;1),"Posible duplicado (mismo número y entidad); ","")&amp;IF(COUNTIF(PARTICIPACIONES!$A$2:$A$601,A208)=0,"Sin participaciones; ","")&amp;IF(SUMIFS(PARTICIPACIONES!$E$2:$E$601,PARTICIPACIONES!$A$2:$A$601,A208)&gt;1.0001,"Las participaciones suman más de 100 %; ",""))</f>
        <v/>
      </c>
    </row>
    <row r="209">
      <c r="J209" s="15" t="n"/>
      <c r="K209" s="15" t="n"/>
      <c r="L209" s="15" t="n"/>
      <c r="N209" s="15" t="n"/>
      <c r="O209" s="16" t="n"/>
      <c r="P209" s="16" t="n"/>
      <c r="Q209" s="16" t="n"/>
      <c r="W209" s="12">
        <f>IF(AND(K209&lt;&gt;"",L209&lt;&gt;""),ROUND((L209-K209)/30.4375,1),"")</f>
        <v/>
      </c>
      <c r="X209" s="12">
        <f>IF(OR(A209="",M209="En ejecución",L209=""),"",YEAR(L209))</f>
        <v/>
      </c>
      <c r="Y209" s="13">
        <f>IF(X209="","",IFERROR(VLOOKUP(X209,SMMLV!$A$2:$B$38,2,FALSE),""))</f>
        <v/>
      </c>
      <c r="Z209" s="17">
        <f>IF(OR(Y209="",P209=""),"",ROUND(P209/Y209,2))</f>
        <v/>
      </c>
      <c r="AA209" s="13">
        <f>IF(Z209="","",ROUND(Z209*SMMLV!$E$4,0))</f>
        <v/>
      </c>
      <c r="AB209" s="13">
        <f>IF(AND(M209="En ejecución",P209&lt;&gt;"",Q209&lt;&gt;""),MAX(P209-Q209,0),"")</f>
        <v/>
      </c>
      <c r="AC209" s="12">
        <f>IF(A209="","",IF(B209="","Falta número de contrato; ","")&amp;IF(C209="","Falta entidad; ","")&amp;IF(E209="","Falta objeto; ","")&amp;IF(F209="","Falta especialidad; ","")&amp;IF(K209="","Falta fecha de inicio (recomendada); ","")&amp;IF(AND(M209&lt;&gt;"En ejecución",L209=""),"Falta fecha de terminación; ","")&amp;IF(AND(K209&lt;&gt;"",L209&lt;&gt;"",L209&lt;K209),"Terminación anterior al inicio; ","")&amp;IF(M209="","Falta estado; ","")&amp;IF(OR(P209="",P209&lt;=0),"Falta valor del contrato; ","")&amp;IF(AND(M209="En ejecución",Q209=""),"En ejecución sin valor ejecutado; ","")&amp;IF(AND(M209="En ejecución",L209&lt;&gt;"",L209&lt;TODAY()),"Dice en ejecución pero su terminación ya pasó; ","")&amp;IF(M209="En ejecución","En ejecución: no acredita experiencia; ","")&amp;IF(AND(M209&lt;&gt;"En ejecución",L209&lt;&gt;"",X209&lt;&gt;"",Y209=""),"El año no está en la hoja SMMLV; ","")&amp;IF(AND(B209&lt;&gt;"",COUNTIFS($B$2:$B$601,B209,$C$2:$C$601,C209)&gt;1),"Posible duplicado (mismo número y entidad); ","")&amp;IF(COUNTIF(PARTICIPACIONES!$A$2:$A$601,A209)=0,"Sin participaciones; ","")&amp;IF(SUMIFS(PARTICIPACIONES!$E$2:$E$601,PARTICIPACIONES!$A$2:$A$601,A209)&gt;1.0001,"Las participaciones suman más de 100 %; ",""))</f>
        <v/>
      </c>
    </row>
    <row r="210">
      <c r="J210" s="15" t="n"/>
      <c r="K210" s="15" t="n"/>
      <c r="L210" s="15" t="n"/>
      <c r="N210" s="15" t="n"/>
      <c r="O210" s="16" t="n"/>
      <c r="P210" s="16" t="n"/>
      <c r="Q210" s="16" t="n"/>
      <c r="W210" s="12">
        <f>IF(AND(K210&lt;&gt;"",L210&lt;&gt;""),ROUND((L210-K210)/30.4375,1),"")</f>
        <v/>
      </c>
      <c r="X210" s="12">
        <f>IF(OR(A210="",M210="En ejecución",L210=""),"",YEAR(L210))</f>
        <v/>
      </c>
      <c r="Y210" s="13">
        <f>IF(X210="","",IFERROR(VLOOKUP(X210,SMMLV!$A$2:$B$38,2,FALSE),""))</f>
        <v/>
      </c>
      <c r="Z210" s="17">
        <f>IF(OR(Y210="",P210=""),"",ROUND(P210/Y210,2))</f>
        <v/>
      </c>
      <c r="AA210" s="13">
        <f>IF(Z210="","",ROUND(Z210*SMMLV!$E$4,0))</f>
        <v/>
      </c>
      <c r="AB210" s="13">
        <f>IF(AND(M210="En ejecución",P210&lt;&gt;"",Q210&lt;&gt;""),MAX(P210-Q210,0),"")</f>
        <v/>
      </c>
      <c r="AC210" s="12">
        <f>IF(A210="","",IF(B210="","Falta número de contrato; ","")&amp;IF(C210="","Falta entidad; ","")&amp;IF(E210="","Falta objeto; ","")&amp;IF(F210="","Falta especialidad; ","")&amp;IF(K210="","Falta fecha de inicio (recomendada); ","")&amp;IF(AND(M210&lt;&gt;"En ejecución",L210=""),"Falta fecha de terminación; ","")&amp;IF(AND(K210&lt;&gt;"",L210&lt;&gt;"",L210&lt;K210),"Terminación anterior al inicio; ","")&amp;IF(M210="","Falta estado; ","")&amp;IF(OR(P210="",P210&lt;=0),"Falta valor del contrato; ","")&amp;IF(AND(M210="En ejecución",Q210=""),"En ejecución sin valor ejecutado; ","")&amp;IF(AND(M210="En ejecución",L210&lt;&gt;"",L210&lt;TODAY()),"Dice en ejecución pero su terminación ya pasó; ","")&amp;IF(M210="En ejecución","En ejecución: no acredita experiencia; ","")&amp;IF(AND(M210&lt;&gt;"En ejecución",L210&lt;&gt;"",X210&lt;&gt;"",Y210=""),"El año no está en la hoja SMMLV; ","")&amp;IF(AND(B210&lt;&gt;"",COUNTIFS($B$2:$B$601,B210,$C$2:$C$601,C210)&gt;1),"Posible duplicado (mismo número y entidad); ","")&amp;IF(COUNTIF(PARTICIPACIONES!$A$2:$A$601,A210)=0,"Sin participaciones; ","")&amp;IF(SUMIFS(PARTICIPACIONES!$E$2:$E$601,PARTICIPACIONES!$A$2:$A$601,A210)&gt;1.0001,"Las participaciones suman más de 100 %; ",""))</f>
        <v/>
      </c>
    </row>
    <row r="211">
      <c r="J211" s="15" t="n"/>
      <c r="K211" s="15" t="n"/>
      <c r="L211" s="15" t="n"/>
      <c r="N211" s="15" t="n"/>
      <c r="O211" s="16" t="n"/>
      <c r="P211" s="16" t="n"/>
      <c r="Q211" s="16" t="n"/>
      <c r="W211" s="12">
        <f>IF(AND(K211&lt;&gt;"",L211&lt;&gt;""),ROUND((L211-K211)/30.4375,1),"")</f>
        <v/>
      </c>
      <c r="X211" s="12">
        <f>IF(OR(A211="",M211="En ejecución",L211=""),"",YEAR(L211))</f>
        <v/>
      </c>
      <c r="Y211" s="13">
        <f>IF(X211="","",IFERROR(VLOOKUP(X211,SMMLV!$A$2:$B$38,2,FALSE),""))</f>
        <v/>
      </c>
      <c r="Z211" s="17">
        <f>IF(OR(Y211="",P211=""),"",ROUND(P211/Y211,2))</f>
        <v/>
      </c>
      <c r="AA211" s="13">
        <f>IF(Z211="","",ROUND(Z211*SMMLV!$E$4,0))</f>
        <v/>
      </c>
      <c r="AB211" s="13">
        <f>IF(AND(M211="En ejecución",P211&lt;&gt;"",Q211&lt;&gt;""),MAX(P211-Q211,0),"")</f>
        <v/>
      </c>
      <c r="AC211" s="12">
        <f>IF(A211="","",IF(B211="","Falta número de contrato; ","")&amp;IF(C211="","Falta entidad; ","")&amp;IF(E211="","Falta objeto; ","")&amp;IF(F211="","Falta especialidad; ","")&amp;IF(K211="","Falta fecha de inicio (recomendada); ","")&amp;IF(AND(M211&lt;&gt;"En ejecución",L211=""),"Falta fecha de terminación; ","")&amp;IF(AND(K211&lt;&gt;"",L211&lt;&gt;"",L211&lt;K211),"Terminación anterior al inicio; ","")&amp;IF(M211="","Falta estado; ","")&amp;IF(OR(P211="",P211&lt;=0),"Falta valor del contrato; ","")&amp;IF(AND(M211="En ejecución",Q211=""),"En ejecución sin valor ejecutado; ","")&amp;IF(AND(M211="En ejecución",L211&lt;&gt;"",L211&lt;TODAY()),"Dice en ejecución pero su terminación ya pasó; ","")&amp;IF(M211="En ejecución","En ejecución: no acredita experiencia; ","")&amp;IF(AND(M211&lt;&gt;"En ejecución",L211&lt;&gt;"",X211&lt;&gt;"",Y211=""),"El año no está en la hoja SMMLV; ","")&amp;IF(AND(B211&lt;&gt;"",COUNTIFS($B$2:$B$601,B211,$C$2:$C$601,C211)&gt;1),"Posible duplicado (mismo número y entidad); ","")&amp;IF(COUNTIF(PARTICIPACIONES!$A$2:$A$601,A211)=0,"Sin participaciones; ","")&amp;IF(SUMIFS(PARTICIPACIONES!$E$2:$E$601,PARTICIPACIONES!$A$2:$A$601,A211)&gt;1.0001,"Las participaciones suman más de 100 %; ",""))</f>
        <v/>
      </c>
    </row>
    <row r="212">
      <c r="J212" s="15" t="n"/>
      <c r="K212" s="15" t="n"/>
      <c r="L212" s="15" t="n"/>
      <c r="N212" s="15" t="n"/>
      <c r="O212" s="16" t="n"/>
      <c r="P212" s="16" t="n"/>
      <c r="Q212" s="16" t="n"/>
      <c r="W212" s="12">
        <f>IF(AND(K212&lt;&gt;"",L212&lt;&gt;""),ROUND((L212-K212)/30.4375,1),"")</f>
        <v/>
      </c>
      <c r="X212" s="12">
        <f>IF(OR(A212="",M212="En ejecución",L212=""),"",YEAR(L212))</f>
        <v/>
      </c>
      <c r="Y212" s="13">
        <f>IF(X212="","",IFERROR(VLOOKUP(X212,SMMLV!$A$2:$B$38,2,FALSE),""))</f>
        <v/>
      </c>
      <c r="Z212" s="17">
        <f>IF(OR(Y212="",P212=""),"",ROUND(P212/Y212,2))</f>
        <v/>
      </c>
      <c r="AA212" s="13">
        <f>IF(Z212="","",ROUND(Z212*SMMLV!$E$4,0))</f>
        <v/>
      </c>
      <c r="AB212" s="13">
        <f>IF(AND(M212="En ejecución",P212&lt;&gt;"",Q212&lt;&gt;""),MAX(P212-Q212,0),"")</f>
        <v/>
      </c>
      <c r="AC212" s="12">
        <f>IF(A212="","",IF(B212="","Falta número de contrato; ","")&amp;IF(C212="","Falta entidad; ","")&amp;IF(E212="","Falta objeto; ","")&amp;IF(F212="","Falta especialidad; ","")&amp;IF(K212="","Falta fecha de inicio (recomendada); ","")&amp;IF(AND(M212&lt;&gt;"En ejecución",L212=""),"Falta fecha de terminación; ","")&amp;IF(AND(K212&lt;&gt;"",L212&lt;&gt;"",L212&lt;K212),"Terminación anterior al inicio; ","")&amp;IF(M212="","Falta estado; ","")&amp;IF(OR(P212="",P212&lt;=0),"Falta valor del contrato; ","")&amp;IF(AND(M212="En ejecución",Q212=""),"En ejecución sin valor ejecutado; ","")&amp;IF(AND(M212="En ejecución",L212&lt;&gt;"",L212&lt;TODAY()),"Dice en ejecución pero su terminación ya pasó; ","")&amp;IF(M212="En ejecución","En ejecución: no acredita experiencia; ","")&amp;IF(AND(M212&lt;&gt;"En ejecución",L212&lt;&gt;"",X212&lt;&gt;"",Y212=""),"El año no está en la hoja SMMLV; ","")&amp;IF(AND(B212&lt;&gt;"",COUNTIFS($B$2:$B$601,B212,$C$2:$C$601,C212)&gt;1),"Posible duplicado (mismo número y entidad); ","")&amp;IF(COUNTIF(PARTICIPACIONES!$A$2:$A$601,A212)=0,"Sin participaciones; ","")&amp;IF(SUMIFS(PARTICIPACIONES!$E$2:$E$601,PARTICIPACIONES!$A$2:$A$601,A212)&gt;1.0001,"Las participaciones suman más de 100 %; ",""))</f>
        <v/>
      </c>
    </row>
    <row r="213">
      <c r="J213" s="15" t="n"/>
      <c r="K213" s="15" t="n"/>
      <c r="L213" s="15" t="n"/>
      <c r="N213" s="15" t="n"/>
      <c r="O213" s="16" t="n"/>
      <c r="P213" s="16" t="n"/>
      <c r="Q213" s="16" t="n"/>
      <c r="W213" s="12">
        <f>IF(AND(K213&lt;&gt;"",L213&lt;&gt;""),ROUND((L213-K213)/30.4375,1),"")</f>
        <v/>
      </c>
      <c r="X213" s="12">
        <f>IF(OR(A213="",M213="En ejecución",L213=""),"",YEAR(L213))</f>
        <v/>
      </c>
      <c r="Y213" s="13">
        <f>IF(X213="","",IFERROR(VLOOKUP(X213,SMMLV!$A$2:$B$38,2,FALSE),""))</f>
        <v/>
      </c>
      <c r="Z213" s="17">
        <f>IF(OR(Y213="",P213=""),"",ROUND(P213/Y213,2))</f>
        <v/>
      </c>
      <c r="AA213" s="13">
        <f>IF(Z213="","",ROUND(Z213*SMMLV!$E$4,0))</f>
        <v/>
      </c>
      <c r="AB213" s="13">
        <f>IF(AND(M213="En ejecución",P213&lt;&gt;"",Q213&lt;&gt;""),MAX(P213-Q213,0),"")</f>
        <v/>
      </c>
      <c r="AC213" s="12">
        <f>IF(A213="","",IF(B213="","Falta número de contrato; ","")&amp;IF(C213="","Falta entidad; ","")&amp;IF(E213="","Falta objeto; ","")&amp;IF(F213="","Falta especialidad; ","")&amp;IF(K213="","Falta fecha de inicio (recomendada); ","")&amp;IF(AND(M213&lt;&gt;"En ejecución",L213=""),"Falta fecha de terminación; ","")&amp;IF(AND(K213&lt;&gt;"",L213&lt;&gt;"",L213&lt;K213),"Terminación anterior al inicio; ","")&amp;IF(M213="","Falta estado; ","")&amp;IF(OR(P213="",P213&lt;=0),"Falta valor del contrato; ","")&amp;IF(AND(M213="En ejecución",Q213=""),"En ejecución sin valor ejecutado; ","")&amp;IF(AND(M213="En ejecución",L213&lt;&gt;"",L213&lt;TODAY()),"Dice en ejecución pero su terminación ya pasó; ","")&amp;IF(M213="En ejecución","En ejecución: no acredita experiencia; ","")&amp;IF(AND(M213&lt;&gt;"En ejecución",L213&lt;&gt;"",X213&lt;&gt;"",Y213=""),"El año no está en la hoja SMMLV; ","")&amp;IF(AND(B213&lt;&gt;"",COUNTIFS($B$2:$B$601,B213,$C$2:$C$601,C213)&gt;1),"Posible duplicado (mismo número y entidad); ","")&amp;IF(COUNTIF(PARTICIPACIONES!$A$2:$A$601,A213)=0,"Sin participaciones; ","")&amp;IF(SUMIFS(PARTICIPACIONES!$E$2:$E$601,PARTICIPACIONES!$A$2:$A$601,A213)&gt;1.0001,"Las participaciones suman más de 100 %; ",""))</f>
        <v/>
      </c>
    </row>
    <row r="214">
      <c r="J214" s="15" t="n"/>
      <c r="K214" s="15" t="n"/>
      <c r="L214" s="15" t="n"/>
      <c r="N214" s="15" t="n"/>
      <c r="O214" s="16" t="n"/>
      <c r="P214" s="16" t="n"/>
      <c r="Q214" s="16" t="n"/>
      <c r="W214" s="12">
        <f>IF(AND(K214&lt;&gt;"",L214&lt;&gt;""),ROUND((L214-K214)/30.4375,1),"")</f>
        <v/>
      </c>
      <c r="X214" s="12">
        <f>IF(OR(A214="",M214="En ejecución",L214=""),"",YEAR(L214))</f>
        <v/>
      </c>
      <c r="Y214" s="13">
        <f>IF(X214="","",IFERROR(VLOOKUP(X214,SMMLV!$A$2:$B$38,2,FALSE),""))</f>
        <v/>
      </c>
      <c r="Z214" s="17">
        <f>IF(OR(Y214="",P214=""),"",ROUND(P214/Y214,2))</f>
        <v/>
      </c>
      <c r="AA214" s="13">
        <f>IF(Z214="","",ROUND(Z214*SMMLV!$E$4,0))</f>
        <v/>
      </c>
      <c r="AB214" s="13">
        <f>IF(AND(M214="En ejecución",P214&lt;&gt;"",Q214&lt;&gt;""),MAX(P214-Q214,0),"")</f>
        <v/>
      </c>
      <c r="AC214" s="12">
        <f>IF(A214="","",IF(B214="","Falta número de contrato; ","")&amp;IF(C214="","Falta entidad; ","")&amp;IF(E214="","Falta objeto; ","")&amp;IF(F214="","Falta especialidad; ","")&amp;IF(K214="","Falta fecha de inicio (recomendada); ","")&amp;IF(AND(M214&lt;&gt;"En ejecución",L214=""),"Falta fecha de terminación; ","")&amp;IF(AND(K214&lt;&gt;"",L214&lt;&gt;"",L214&lt;K214),"Terminación anterior al inicio; ","")&amp;IF(M214="","Falta estado; ","")&amp;IF(OR(P214="",P214&lt;=0),"Falta valor del contrato; ","")&amp;IF(AND(M214="En ejecución",Q214=""),"En ejecución sin valor ejecutado; ","")&amp;IF(AND(M214="En ejecución",L214&lt;&gt;"",L214&lt;TODAY()),"Dice en ejecución pero su terminación ya pasó; ","")&amp;IF(M214="En ejecución","En ejecución: no acredita experiencia; ","")&amp;IF(AND(M214&lt;&gt;"En ejecución",L214&lt;&gt;"",X214&lt;&gt;"",Y214=""),"El año no está en la hoja SMMLV; ","")&amp;IF(AND(B214&lt;&gt;"",COUNTIFS($B$2:$B$601,B214,$C$2:$C$601,C214)&gt;1),"Posible duplicado (mismo número y entidad); ","")&amp;IF(COUNTIF(PARTICIPACIONES!$A$2:$A$601,A214)=0,"Sin participaciones; ","")&amp;IF(SUMIFS(PARTICIPACIONES!$E$2:$E$601,PARTICIPACIONES!$A$2:$A$601,A214)&gt;1.0001,"Las participaciones suman más de 100 %; ",""))</f>
        <v/>
      </c>
    </row>
    <row r="215">
      <c r="J215" s="15" t="n"/>
      <c r="K215" s="15" t="n"/>
      <c r="L215" s="15" t="n"/>
      <c r="N215" s="15" t="n"/>
      <c r="O215" s="16" t="n"/>
      <c r="P215" s="16" t="n"/>
      <c r="Q215" s="16" t="n"/>
      <c r="W215" s="12">
        <f>IF(AND(K215&lt;&gt;"",L215&lt;&gt;""),ROUND((L215-K215)/30.4375,1),"")</f>
        <v/>
      </c>
      <c r="X215" s="12">
        <f>IF(OR(A215="",M215="En ejecución",L215=""),"",YEAR(L215))</f>
        <v/>
      </c>
      <c r="Y215" s="13">
        <f>IF(X215="","",IFERROR(VLOOKUP(X215,SMMLV!$A$2:$B$38,2,FALSE),""))</f>
        <v/>
      </c>
      <c r="Z215" s="17">
        <f>IF(OR(Y215="",P215=""),"",ROUND(P215/Y215,2))</f>
        <v/>
      </c>
      <c r="AA215" s="13">
        <f>IF(Z215="","",ROUND(Z215*SMMLV!$E$4,0))</f>
        <v/>
      </c>
      <c r="AB215" s="13">
        <f>IF(AND(M215="En ejecución",P215&lt;&gt;"",Q215&lt;&gt;""),MAX(P215-Q215,0),"")</f>
        <v/>
      </c>
      <c r="AC215" s="12">
        <f>IF(A215="","",IF(B215="","Falta número de contrato; ","")&amp;IF(C215="","Falta entidad; ","")&amp;IF(E215="","Falta objeto; ","")&amp;IF(F215="","Falta especialidad; ","")&amp;IF(K215="","Falta fecha de inicio (recomendada); ","")&amp;IF(AND(M215&lt;&gt;"En ejecución",L215=""),"Falta fecha de terminación; ","")&amp;IF(AND(K215&lt;&gt;"",L215&lt;&gt;"",L215&lt;K215),"Terminación anterior al inicio; ","")&amp;IF(M215="","Falta estado; ","")&amp;IF(OR(P215="",P215&lt;=0),"Falta valor del contrato; ","")&amp;IF(AND(M215="En ejecución",Q215=""),"En ejecución sin valor ejecutado; ","")&amp;IF(AND(M215="En ejecución",L215&lt;&gt;"",L215&lt;TODAY()),"Dice en ejecución pero su terminación ya pasó; ","")&amp;IF(M215="En ejecución","En ejecución: no acredita experiencia; ","")&amp;IF(AND(M215&lt;&gt;"En ejecución",L215&lt;&gt;"",X215&lt;&gt;"",Y215=""),"El año no está en la hoja SMMLV; ","")&amp;IF(AND(B215&lt;&gt;"",COUNTIFS($B$2:$B$601,B215,$C$2:$C$601,C215)&gt;1),"Posible duplicado (mismo número y entidad); ","")&amp;IF(COUNTIF(PARTICIPACIONES!$A$2:$A$601,A215)=0,"Sin participaciones; ","")&amp;IF(SUMIFS(PARTICIPACIONES!$E$2:$E$601,PARTICIPACIONES!$A$2:$A$601,A215)&gt;1.0001,"Las participaciones suman más de 100 %; ",""))</f>
        <v/>
      </c>
    </row>
    <row r="216">
      <c r="J216" s="15" t="n"/>
      <c r="K216" s="15" t="n"/>
      <c r="L216" s="15" t="n"/>
      <c r="N216" s="15" t="n"/>
      <c r="O216" s="16" t="n"/>
      <c r="P216" s="16" t="n"/>
      <c r="Q216" s="16" t="n"/>
      <c r="W216" s="12">
        <f>IF(AND(K216&lt;&gt;"",L216&lt;&gt;""),ROUND((L216-K216)/30.4375,1),"")</f>
        <v/>
      </c>
      <c r="X216" s="12">
        <f>IF(OR(A216="",M216="En ejecución",L216=""),"",YEAR(L216))</f>
        <v/>
      </c>
      <c r="Y216" s="13">
        <f>IF(X216="","",IFERROR(VLOOKUP(X216,SMMLV!$A$2:$B$38,2,FALSE),""))</f>
        <v/>
      </c>
      <c r="Z216" s="17">
        <f>IF(OR(Y216="",P216=""),"",ROUND(P216/Y216,2))</f>
        <v/>
      </c>
      <c r="AA216" s="13">
        <f>IF(Z216="","",ROUND(Z216*SMMLV!$E$4,0))</f>
        <v/>
      </c>
      <c r="AB216" s="13">
        <f>IF(AND(M216="En ejecución",P216&lt;&gt;"",Q216&lt;&gt;""),MAX(P216-Q216,0),"")</f>
        <v/>
      </c>
      <c r="AC216" s="12">
        <f>IF(A216="","",IF(B216="","Falta número de contrato; ","")&amp;IF(C216="","Falta entidad; ","")&amp;IF(E216="","Falta objeto; ","")&amp;IF(F216="","Falta especialidad; ","")&amp;IF(K216="","Falta fecha de inicio (recomendada); ","")&amp;IF(AND(M216&lt;&gt;"En ejecución",L216=""),"Falta fecha de terminación; ","")&amp;IF(AND(K216&lt;&gt;"",L216&lt;&gt;"",L216&lt;K216),"Terminación anterior al inicio; ","")&amp;IF(M216="","Falta estado; ","")&amp;IF(OR(P216="",P216&lt;=0),"Falta valor del contrato; ","")&amp;IF(AND(M216="En ejecución",Q216=""),"En ejecución sin valor ejecutado; ","")&amp;IF(AND(M216="En ejecución",L216&lt;&gt;"",L216&lt;TODAY()),"Dice en ejecución pero su terminación ya pasó; ","")&amp;IF(M216="En ejecución","En ejecución: no acredita experiencia; ","")&amp;IF(AND(M216&lt;&gt;"En ejecución",L216&lt;&gt;"",X216&lt;&gt;"",Y216=""),"El año no está en la hoja SMMLV; ","")&amp;IF(AND(B216&lt;&gt;"",COUNTIFS($B$2:$B$601,B216,$C$2:$C$601,C216)&gt;1),"Posible duplicado (mismo número y entidad); ","")&amp;IF(COUNTIF(PARTICIPACIONES!$A$2:$A$601,A216)=0,"Sin participaciones; ","")&amp;IF(SUMIFS(PARTICIPACIONES!$E$2:$E$601,PARTICIPACIONES!$A$2:$A$601,A216)&gt;1.0001,"Las participaciones suman más de 100 %; ",""))</f>
        <v/>
      </c>
    </row>
    <row r="217">
      <c r="J217" s="15" t="n"/>
      <c r="K217" s="15" t="n"/>
      <c r="L217" s="15" t="n"/>
      <c r="N217" s="15" t="n"/>
      <c r="O217" s="16" t="n"/>
      <c r="P217" s="16" t="n"/>
      <c r="Q217" s="16" t="n"/>
      <c r="W217" s="12">
        <f>IF(AND(K217&lt;&gt;"",L217&lt;&gt;""),ROUND((L217-K217)/30.4375,1),"")</f>
        <v/>
      </c>
      <c r="X217" s="12">
        <f>IF(OR(A217="",M217="En ejecución",L217=""),"",YEAR(L217))</f>
        <v/>
      </c>
      <c r="Y217" s="13">
        <f>IF(X217="","",IFERROR(VLOOKUP(X217,SMMLV!$A$2:$B$38,2,FALSE),""))</f>
        <v/>
      </c>
      <c r="Z217" s="17">
        <f>IF(OR(Y217="",P217=""),"",ROUND(P217/Y217,2))</f>
        <v/>
      </c>
      <c r="AA217" s="13">
        <f>IF(Z217="","",ROUND(Z217*SMMLV!$E$4,0))</f>
        <v/>
      </c>
      <c r="AB217" s="13">
        <f>IF(AND(M217="En ejecución",P217&lt;&gt;"",Q217&lt;&gt;""),MAX(P217-Q217,0),"")</f>
        <v/>
      </c>
      <c r="AC217" s="12">
        <f>IF(A217="","",IF(B217="","Falta número de contrato; ","")&amp;IF(C217="","Falta entidad; ","")&amp;IF(E217="","Falta objeto; ","")&amp;IF(F217="","Falta especialidad; ","")&amp;IF(K217="","Falta fecha de inicio (recomendada); ","")&amp;IF(AND(M217&lt;&gt;"En ejecución",L217=""),"Falta fecha de terminación; ","")&amp;IF(AND(K217&lt;&gt;"",L217&lt;&gt;"",L217&lt;K217),"Terminación anterior al inicio; ","")&amp;IF(M217="","Falta estado; ","")&amp;IF(OR(P217="",P217&lt;=0),"Falta valor del contrato; ","")&amp;IF(AND(M217="En ejecución",Q217=""),"En ejecución sin valor ejecutado; ","")&amp;IF(AND(M217="En ejecución",L217&lt;&gt;"",L217&lt;TODAY()),"Dice en ejecución pero su terminación ya pasó; ","")&amp;IF(M217="En ejecución","En ejecución: no acredita experiencia; ","")&amp;IF(AND(M217&lt;&gt;"En ejecución",L217&lt;&gt;"",X217&lt;&gt;"",Y217=""),"El año no está en la hoja SMMLV; ","")&amp;IF(AND(B217&lt;&gt;"",COUNTIFS($B$2:$B$601,B217,$C$2:$C$601,C217)&gt;1),"Posible duplicado (mismo número y entidad); ","")&amp;IF(COUNTIF(PARTICIPACIONES!$A$2:$A$601,A217)=0,"Sin participaciones; ","")&amp;IF(SUMIFS(PARTICIPACIONES!$E$2:$E$601,PARTICIPACIONES!$A$2:$A$601,A217)&gt;1.0001,"Las participaciones suman más de 100 %; ",""))</f>
        <v/>
      </c>
    </row>
    <row r="218">
      <c r="J218" s="15" t="n"/>
      <c r="K218" s="15" t="n"/>
      <c r="L218" s="15" t="n"/>
      <c r="N218" s="15" t="n"/>
      <c r="O218" s="16" t="n"/>
      <c r="P218" s="16" t="n"/>
      <c r="Q218" s="16" t="n"/>
      <c r="W218" s="12">
        <f>IF(AND(K218&lt;&gt;"",L218&lt;&gt;""),ROUND((L218-K218)/30.4375,1),"")</f>
        <v/>
      </c>
      <c r="X218" s="12">
        <f>IF(OR(A218="",M218="En ejecución",L218=""),"",YEAR(L218))</f>
        <v/>
      </c>
      <c r="Y218" s="13">
        <f>IF(X218="","",IFERROR(VLOOKUP(X218,SMMLV!$A$2:$B$38,2,FALSE),""))</f>
        <v/>
      </c>
      <c r="Z218" s="17">
        <f>IF(OR(Y218="",P218=""),"",ROUND(P218/Y218,2))</f>
        <v/>
      </c>
      <c r="AA218" s="13">
        <f>IF(Z218="","",ROUND(Z218*SMMLV!$E$4,0))</f>
        <v/>
      </c>
      <c r="AB218" s="13">
        <f>IF(AND(M218="En ejecución",P218&lt;&gt;"",Q218&lt;&gt;""),MAX(P218-Q218,0),"")</f>
        <v/>
      </c>
      <c r="AC218" s="12">
        <f>IF(A218="","",IF(B218="","Falta número de contrato; ","")&amp;IF(C218="","Falta entidad; ","")&amp;IF(E218="","Falta objeto; ","")&amp;IF(F218="","Falta especialidad; ","")&amp;IF(K218="","Falta fecha de inicio (recomendada); ","")&amp;IF(AND(M218&lt;&gt;"En ejecución",L218=""),"Falta fecha de terminación; ","")&amp;IF(AND(K218&lt;&gt;"",L218&lt;&gt;"",L218&lt;K218),"Terminación anterior al inicio; ","")&amp;IF(M218="","Falta estado; ","")&amp;IF(OR(P218="",P218&lt;=0),"Falta valor del contrato; ","")&amp;IF(AND(M218="En ejecución",Q218=""),"En ejecución sin valor ejecutado; ","")&amp;IF(AND(M218="En ejecución",L218&lt;&gt;"",L218&lt;TODAY()),"Dice en ejecución pero su terminación ya pasó; ","")&amp;IF(M218="En ejecución","En ejecución: no acredita experiencia; ","")&amp;IF(AND(M218&lt;&gt;"En ejecución",L218&lt;&gt;"",X218&lt;&gt;"",Y218=""),"El año no está en la hoja SMMLV; ","")&amp;IF(AND(B218&lt;&gt;"",COUNTIFS($B$2:$B$601,B218,$C$2:$C$601,C218)&gt;1),"Posible duplicado (mismo número y entidad); ","")&amp;IF(COUNTIF(PARTICIPACIONES!$A$2:$A$601,A218)=0,"Sin participaciones; ","")&amp;IF(SUMIFS(PARTICIPACIONES!$E$2:$E$601,PARTICIPACIONES!$A$2:$A$601,A218)&gt;1.0001,"Las participaciones suman más de 100 %; ",""))</f>
        <v/>
      </c>
    </row>
    <row r="219">
      <c r="J219" s="15" t="n"/>
      <c r="K219" s="15" t="n"/>
      <c r="L219" s="15" t="n"/>
      <c r="N219" s="15" t="n"/>
      <c r="O219" s="16" t="n"/>
      <c r="P219" s="16" t="n"/>
      <c r="Q219" s="16" t="n"/>
      <c r="W219" s="12">
        <f>IF(AND(K219&lt;&gt;"",L219&lt;&gt;""),ROUND((L219-K219)/30.4375,1),"")</f>
        <v/>
      </c>
      <c r="X219" s="12">
        <f>IF(OR(A219="",M219="En ejecución",L219=""),"",YEAR(L219))</f>
        <v/>
      </c>
      <c r="Y219" s="13">
        <f>IF(X219="","",IFERROR(VLOOKUP(X219,SMMLV!$A$2:$B$38,2,FALSE),""))</f>
        <v/>
      </c>
      <c r="Z219" s="17">
        <f>IF(OR(Y219="",P219=""),"",ROUND(P219/Y219,2))</f>
        <v/>
      </c>
      <c r="AA219" s="13">
        <f>IF(Z219="","",ROUND(Z219*SMMLV!$E$4,0))</f>
        <v/>
      </c>
      <c r="AB219" s="13">
        <f>IF(AND(M219="En ejecución",P219&lt;&gt;"",Q219&lt;&gt;""),MAX(P219-Q219,0),"")</f>
        <v/>
      </c>
      <c r="AC219" s="12">
        <f>IF(A219="","",IF(B219="","Falta número de contrato; ","")&amp;IF(C219="","Falta entidad; ","")&amp;IF(E219="","Falta objeto; ","")&amp;IF(F219="","Falta especialidad; ","")&amp;IF(K219="","Falta fecha de inicio (recomendada); ","")&amp;IF(AND(M219&lt;&gt;"En ejecución",L219=""),"Falta fecha de terminación; ","")&amp;IF(AND(K219&lt;&gt;"",L219&lt;&gt;"",L219&lt;K219),"Terminación anterior al inicio; ","")&amp;IF(M219="","Falta estado; ","")&amp;IF(OR(P219="",P219&lt;=0),"Falta valor del contrato; ","")&amp;IF(AND(M219="En ejecución",Q219=""),"En ejecución sin valor ejecutado; ","")&amp;IF(AND(M219="En ejecución",L219&lt;&gt;"",L219&lt;TODAY()),"Dice en ejecución pero su terminación ya pasó; ","")&amp;IF(M219="En ejecución","En ejecución: no acredita experiencia; ","")&amp;IF(AND(M219&lt;&gt;"En ejecución",L219&lt;&gt;"",X219&lt;&gt;"",Y219=""),"El año no está en la hoja SMMLV; ","")&amp;IF(AND(B219&lt;&gt;"",COUNTIFS($B$2:$B$601,B219,$C$2:$C$601,C219)&gt;1),"Posible duplicado (mismo número y entidad); ","")&amp;IF(COUNTIF(PARTICIPACIONES!$A$2:$A$601,A219)=0,"Sin participaciones; ","")&amp;IF(SUMIFS(PARTICIPACIONES!$E$2:$E$601,PARTICIPACIONES!$A$2:$A$601,A219)&gt;1.0001,"Las participaciones suman más de 100 %; ",""))</f>
        <v/>
      </c>
    </row>
    <row r="220">
      <c r="J220" s="15" t="n"/>
      <c r="K220" s="15" t="n"/>
      <c r="L220" s="15" t="n"/>
      <c r="N220" s="15" t="n"/>
      <c r="O220" s="16" t="n"/>
      <c r="P220" s="16" t="n"/>
      <c r="Q220" s="16" t="n"/>
      <c r="W220" s="12">
        <f>IF(AND(K220&lt;&gt;"",L220&lt;&gt;""),ROUND((L220-K220)/30.4375,1),"")</f>
        <v/>
      </c>
      <c r="X220" s="12">
        <f>IF(OR(A220="",M220="En ejecución",L220=""),"",YEAR(L220))</f>
        <v/>
      </c>
      <c r="Y220" s="13">
        <f>IF(X220="","",IFERROR(VLOOKUP(X220,SMMLV!$A$2:$B$38,2,FALSE),""))</f>
        <v/>
      </c>
      <c r="Z220" s="17">
        <f>IF(OR(Y220="",P220=""),"",ROUND(P220/Y220,2))</f>
        <v/>
      </c>
      <c r="AA220" s="13">
        <f>IF(Z220="","",ROUND(Z220*SMMLV!$E$4,0))</f>
        <v/>
      </c>
      <c r="AB220" s="13">
        <f>IF(AND(M220="En ejecución",P220&lt;&gt;"",Q220&lt;&gt;""),MAX(P220-Q220,0),"")</f>
        <v/>
      </c>
      <c r="AC220" s="12">
        <f>IF(A220="","",IF(B220="","Falta número de contrato; ","")&amp;IF(C220="","Falta entidad; ","")&amp;IF(E220="","Falta objeto; ","")&amp;IF(F220="","Falta especialidad; ","")&amp;IF(K220="","Falta fecha de inicio (recomendada); ","")&amp;IF(AND(M220&lt;&gt;"En ejecución",L220=""),"Falta fecha de terminación; ","")&amp;IF(AND(K220&lt;&gt;"",L220&lt;&gt;"",L220&lt;K220),"Terminación anterior al inicio; ","")&amp;IF(M220="","Falta estado; ","")&amp;IF(OR(P220="",P220&lt;=0),"Falta valor del contrato; ","")&amp;IF(AND(M220="En ejecución",Q220=""),"En ejecución sin valor ejecutado; ","")&amp;IF(AND(M220="En ejecución",L220&lt;&gt;"",L220&lt;TODAY()),"Dice en ejecución pero su terminación ya pasó; ","")&amp;IF(M220="En ejecución","En ejecución: no acredita experiencia; ","")&amp;IF(AND(M220&lt;&gt;"En ejecución",L220&lt;&gt;"",X220&lt;&gt;"",Y220=""),"El año no está en la hoja SMMLV; ","")&amp;IF(AND(B220&lt;&gt;"",COUNTIFS($B$2:$B$601,B220,$C$2:$C$601,C220)&gt;1),"Posible duplicado (mismo número y entidad); ","")&amp;IF(COUNTIF(PARTICIPACIONES!$A$2:$A$601,A220)=0,"Sin participaciones; ","")&amp;IF(SUMIFS(PARTICIPACIONES!$E$2:$E$601,PARTICIPACIONES!$A$2:$A$601,A220)&gt;1.0001,"Las participaciones suman más de 100 %; ",""))</f>
        <v/>
      </c>
    </row>
    <row r="221">
      <c r="J221" s="15" t="n"/>
      <c r="K221" s="15" t="n"/>
      <c r="L221" s="15" t="n"/>
      <c r="N221" s="15" t="n"/>
      <c r="O221" s="16" t="n"/>
      <c r="P221" s="16" t="n"/>
      <c r="Q221" s="16" t="n"/>
      <c r="W221" s="12">
        <f>IF(AND(K221&lt;&gt;"",L221&lt;&gt;""),ROUND((L221-K221)/30.4375,1),"")</f>
        <v/>
      </c>
      <c r="X221" s="12">
        <f>IF(OR(A221="",M221="En ejecución",L221=""),"",YEAR(L221))</f>
        <v/>
      </c>
      <c r="Y221" s="13">
        <f>IF(X221="","",IFERROR(VLOOKUP(X221,SMMLV!$A$2:$B$38,2,FALSE),""))</f>
        <v/>
      </c>
      <c r="Z221" s="17">
        <f>IF(OR(Y221="",P221=""),"",ROUND(P221/Y221,2))</f>
        <v/>
      </c>
      <c r="AA221" s="13">
        <f>IF(Z221="","",ROUND(Z221*SMMLV!$E$4,0))</f>
        <v/>
      </c>
      <c r="AB221" s="13">
        <f>IF(AND(M221="En ejecución",P221&lt;&gt;"",Q221&lt;&gt;""),MAX(P221-Q221,0),"")</f>
        <v/>
      </c>
      <c r="AC221" s="12">
        <f>IF(A221="","",IF(B221="","Falta número de contrato; ","")&amp;IF(C221="","Falta entidad; ","")&amp;IF(E221="","Falta objeto; ","")&amp;IF(F221="","Falta especialidad; ","")&amp;IF(K221="","Falta fecha de inicio (recomendada); ","")&amp;IF(AND(M221&lt;&gt;"En ejecución",L221=""),"Falta fecha de terminación; ","")&amp;IF(AND(K221&lt;&gt;"",L221&lt;&gt;"",L221&lt;K221),"Terminación anterior al inicio; ","")&amp;IF(M221="","Falta estado; ","")&amp;IF(OR(P221="",P221&lt;=0),"Falta valor del contrato; ","")&amp;IF(AND(M221="En ejecución",Q221=""),"En ejecución sin valor ejecutado; ","")&amp;IF(AND(M221="En ejecución",L221&lt;&gt;"",L221&lt;TODAY()),"Dice en ejecución pero su terminación ya pasó; ","")&amp;IF(M221="En ejecución","En ejecución: no acredita experiencia; ","")&amp;IF(AND(M221&lt;&gt;"En ejecución",L221&lt;&gt;"",X221&lt;&gt;"",Y221=""),"El año no está en la hoja SMMLV; ","")&amp;IF(AND(B221&lt;&gt;"",COUNTIFS($B$2:$B$601,B221,$C$2:$C$601,C221)&gt;1),"Posible duplicado (mismo número y entidad); ","")&amp;IF(COUNTIF(PARTICIPACIONES!$A$2:$A$601,A221)=0,"Sin participaciones; ","")&amp;IF(SUMIFS(PARTICIPACIONES!$E$2:$E$601,PARTICIPACIONES!$A$2:$A$601,A221)&gt;1.0001,"Las participaciones suman más de 100 %; ",""))</f>
        <v/>
      </c>
    </row>
    <row r="222">
      <c r="J222" s="15" t="n"/>
      <c r="K222" s="15" t="n"/>
      <c r="L222" s="15" t="n"/>
      <c r="N222" s="15" t="n"/>
      <c r="O222" s="16" t="n"/>
      <c r="P222" s="16" t="n"/>
      <c r="Q222" s="16" t="n"/>
      <c r="W222" s="12">
        <f>IF(AND(K222&lt;&gt;"",L222&lt;&gt;""),ROUND((L222-K222)/30.4375,1),"")</f>
        <v/>
      </c>
      <c r="X222" s="12">
        <f>IF(OR(A222="",M222="En ejecución",L222=""),"",YEAR(L222))</f>
        <v/>
      </c>
      <c r="Y222" s="13">
        <f>IF(X222="","",IFERROR(VLOOKUP(X222,SMMLV!$A$2:$B$38,2,FALSE),""))</f>
        <v/>
      </c>
      <c r="Z222" s="17">
        <f>IF(OR(Y222="",P222=""),"",ROUND(P222/Y222,2))</f>
        <v/>
      </c>
      <c r="AA222" s="13">
        <f>IF(Z222="","",ROUND(Z222*SMMLV!$E$4,0))</f>
        <v/>
      </c>
      <c r="AB222" s="13">
        <f>IF(AND(M222="En ejecución",P222&lt;&gt;"",Q222&lt;&gt;""),MAX(P222-Q222,0),"")</f>
        <v/>
      </c>
      <c r="AC222" s="12">
        <f>IF(A222="","",IF(B222="","Falta número de contrato; ","")&amp;IF(C222="","Falta entidad; ","")&amp;IF(E222="","Falta objeto; ","")&amp;IF(F222="","Falta especialidad; ","")&amp;IF(K222="","Falta fecha de inicio (recomendada); ","")&amp;IF(AND(M222&lt;&gt;"En ejecución",L222=""),"Falta fecha de terminación; ","")&amp;IF(AND(K222&lt;&gt;"",L222&lt;&gt;"",L222&lt;K222),"Terminación anterior al inicio; ","")&amp;IF(M222="","Falta estado; ","")&amp;IF(OR(P222="",P222&lt;=0),"Falta valor del contrato; ","")&amp;IF(AND(M222="En ejecución",Q222=""),"En ejecución sin valor ejecutado; ","")&amp;IF(AND(M222="En ejecución",L222&lt;&gt;"",L222&lt;TODAY()),"Dice en ejecución pero su terminación ya pasó; ","")&amp;IF(M222="En ejecución","En ejecución: no acredita experiencia; ","")&amp;IF(AND(M222&lt;&gt;"En ejecución",L222&lt;&gt;"",X222&lt;&gt;"",Y222=""),"El año no está en la hoja SMMLV; ","")&amp;IF(AND(B222&lt;&gt;"",COUNTIFS($B$2:$B$601,B222,$C$2:$C$601,C222)&gt;1),"Posible duplicado (mismo número y entidad); ","")&amp;IF(COUNTIF(PARTICIPACIONES!$A$2:$A$601,A222)=0,"Sin participaciones; ","")&amp;IF(SUMIFS(PARTICIPACIONES!$E$2:$E$601,PARTICIPACIONES!$A$2:$A$601,A222)&gt;1.0001,"Las participaciones suman más de 100 %; ",""))</f>
        <v/>
      </c>
    </row>
    <row r="223">
      <c r="J223" s="15" t="n"/>
      <c r="K223" s="15" t="n"/>
      <c r="L223" s="15" t="n"/>
      <c r="N223" s="15" t="n"/>
      <c r="O223" s="16" t="n"/>
      <c r="P223" s="16" t="n"/>
      <c r="Q223" s="16" t="n"/>
      <c r="W223" s="12">
        <f>IF(AND(K223&lt;&gt;"",L223&lt;&gt;""),ROUND((L223-K223)/30.4375,1),"")</f>
        <v/>
      </c>
      <c r="X223" s="12">
        <f>IF(OR(A223="",M223="En ejecución",L223=""),"",YEAR(L223))</f>
        <v/>
      </c>
      <c r="Y223" s="13">
        <f>IF(X223="","",IFERROR(VLOOKUP(X223,SMMLV!$A$2:$B$38,2,FALSE),""))</f>
        <v/>
      </c>
      <c r="Z223" s="17">
        <f>IF(OR(Y223="",P223=""),"",ROUND(P223/Y223,2))</f>
        <v/>
      </c>
      <c r="AA223" s="13">
        <f>IF(Z223="","",ROUND(Z223*SMMLV!$E$4,0))</f>
        <v/>
      </c>
      <c r="AB223" s="13">
        <f>IF(AND(M223="En ejecución",P223&lt;&gt;"",Q223&lt;&gt;""),MAX(P223-Q223,0),"")</f>
        <v/>
      </c>
      <c r="AC223" s="12">
        <f>IF(A223="","",IF(B223="","Falta número de contrato; ","")&amp;IF(C223="","Falta entidad; ","")&amp;IF(E223="","Falta objeto; ","")&amp;IF(F223="","Falta especialidad; ","")&amp;IF(K223="","Falta fecha de inicio (recomendada); ","")&amp;IF(AND(M223&lt;&gt;"En ejecución",L223=""),"Falta fecha de terminación; ","")&amp;IF(AND(K223&lt;&gt;"",L223&lt;&gt;"",L223&lt;K223),"Terminación anterior al inicio; ","")&amp;IF(M223="","Falta estado; ","")&amp;IF(OR(P223="",P223&lt;=0),"Falta valor del contrato; ","")&amp;IF(AND(M223="En ejecución",Q223=""),"En ejecución sin valor ejecutado; ","")&amp;IF(AND(M223="En ejecución",L223&lt;&gt;"",L223&lt;TODAY()),"Dice en ejecución pero su terminación ya pasó; ","")&amp;IF(M223="En ejecución","En ejecución: no acredita experiencia; ","")&amp;IF(AND(M223&lt;&gt;"En ejecución",L223&lt;&gt;"",X223&lt;&gt;"",Y223=""),"El año no está en la hoja SMMLV; ","")&amp;IF(AND(B223&lt;&gt;"",COUNTIFS($B$2:$B$601,B223,$C$2:$C$601,C223)&gt;1),"Posible duplicado (mismo número y entidad); ","")&amp;IF(COUNTIF(PARTICIPACIONES!$A$2:$A$601,A223)=0,"Sin participaciones; ","")&amp;IF(SUMIFS(PARTICIPACIONES!$E$2:$E$601,PARTICIPACIONES!$A$2:$A$601,A223)&gt;1.0001,"Las participaciones suman más de 100 %; ",""))</f>
        <v/>
      </c>
    </row>
    <row r="224">
      <c r="J224" s="15" t="n"/>
      <c r="K224" s="15" t="n"/>
      <c r="L224" s="15" t="n"/>
      <c r="N224" s="15" t="n"/>
      <c r="O224" s="16" t="n"/>
      <c r="P224" s="16" t="n"/>
      <c r="Q224" s="16" t="n"/>
      <c r="W224" s="12">
        <f>IF(AND(K224&lt;&gt;"",L224&lt;&gt;""),ROUND((L224-K224)/30.4375,1),"")</f>
        <v/>
      </c>
      <c r="X224" s="12">
        <f>IF(OR(A224="",M224="En ejecución",L224=""),"",YEAR(L224))</f>
        <v/>
      </c>
      <c r="Y224" s="13">
        <f>IF(X224="","",IFERROR(VLOOKUP(X224,SMMLV!$A$2:$B$38,2,FALSE),""))</f>
        <v/>
      </c>
      <c r="Z224" s="17">
        <f>IF(OR(Y224="",P224=""),"",ROUND(P224/Y224,2))</f>
        <v/>
      </c>
      <c r="AA224" s="13">
        <f>IF(Z224="","",ROUND(Z224*SMMLV!$E$4,0))</f>
        <v/>
      </c>
      <c r="AB224" s="13">
        <f>IF(AND(M224="En ejecución",P224&lt;&gt;"",Q224&lt;&gt;""),MAX(P224-Q224,0),"")</f>
        <v/>
      </c>
      <c r="AC224" s="12">
        <f>IF(A224="","",IF(B224="","Falta número de contrato; ","")&amp;IF(C224="","Falta entidad; ","")&amp;IF(E224="","Falta objeto; ","")&amp;IF(F224="","Falta especialidad; ","")&amp;IF(K224="","Falta fecha de inicio (recomendada); ","")&amp;IF(AND(M224&lt;&gt;"En ejecución",L224=""),"Falta fecha de terminación; ","")&amp;IF(AND(K224&lt;&gt;"",L224&lt;&gt;"",L224&lt;K224),"Terminación anterior al inicio; ","")&amp;IF(M224="","Falta estado; ","")&amp;IF(OR(P224="",P224&lt;=0),"Falta valor del contrato; ","")&amp;IF(AND(M224="En ejecución",Q224=""),"En ejecución sin valor ejecutado; ","")&amp;IF(AND(M224="En ejecución",L224&lt;&gt;"",L224&lt;TODAY()),"Dice en ejecución pero su terminación ya pasó; ","")&amp;IF(M224="En ejecución","En ejecución: no acredita experiencia; ","")&amp;IF(AND(M224&lt;&gt;"En ejecución",L224&lt;&gt;"",X224&lt;&gt;"",Y224=""),"El año no está en la hoja SMMLV; ","")&amp;IF(AND(B224&lt;&gt;"",COUNTIFS($B$2:$B$601,B224,$C$2:$C$601,C224)&gt;1),"Posible duplicado (mismo número y entidad); ","")&amp;IF(COUNTIF(PARTICIPACIONES!$A$2:$A$601,A224)=0,"Sin participaciones; ","")&amp;IF(SUMIFS(PARTICIPACIONES!$E$2:$E$601,PARTICIPACIONES!$A$2:$A$601,A224)&gt;1.0001,"Las participaciones suman más de 100 %; ",""))</f>
        <v/>
      </c>
    </row>
    <row r="225">
      <c r="J225" s="15" t="n"/>
      <c r="K225" s="15" t="n"/>
      <c r="L225" s="15" t="n"/>
      <c r="N225" s="15" t="n"/>
      <c r="O225" s="16" t="n"/>
      <c r="P225" s="16" t="n"/>
      <c r="Q225" s="16" t="n"/>
      <c r="W225" s="12">
        <f>IF(AND(K225&lt;&gt;"",L225&lt;&gt;""),ROUND((L225-K225)/30.4375,1),"")</f>
        <v/>
      </c>
      <c r="X225" s="12">
        <f>IF(OR(A225="",M225="En ejecución",L225=""),"",YEAR(L225))</f>
        <v/>
      </c>
      <c r="Y225" s="13">
        <f>IF(X225="","",IFERROR(VLOOKUP(X225,SMMLV!$A$2:$B$38,2,FALSE),""))</f>
        <v/>
      </c>
      <c r="Z225" s="17">
        <f>IF(OR(Y225="",P225=""),"",ROUND(P225/Y225,2))</f>
        <v/>
      </c>
      <c r="AA225" s="13">
        <f>IF(Z225="","",ROUND(Z225*SMMLV!$E$4,0))</f>
        <v/>
      </c>
      <c r="AB225" s="13">
        <f>IF(AND(M225="En ejecución",P225&lt;&gt;"",Q225&lt;&gt;""),MAX(P225-Q225,0),"")</f>
        <v/>
      </c>
      <c r="AC225" s="12">
        <f>IF(A225="","",IF(B225="","Falta número de contrato; ","")&amp;IF(C225="","Falta entidad; ","")&amp;IF(E225="","Falta objeto; ","")&amp;IF(F225="","Falta especialidad; ","")&amp;IF(K225="","Falta fecha de inicio (recomendada); ","")&amp;IF(AND(M225&lt;&gt;"En ejecución",L225=""),"Falta fecha de terminación; ","")&amp;IF(AND(K225&lt;&gt;"",L225&lt;&gt;"",L225&lt;K225),"Terminación anterior al inicio; ","")&amp;IF(M225="","Falta estado; ","")&amp;IF(OR(P225="",P225&lt;=0),"Falta valor del contrato; ","")&amp;IF(AND(M225="En ejecución",Q225=""),"En ejecución sin valor ejecutado; ","")&amp;IF(AND(M225="En ejecución",L225&lt;&gt;"",L225&lt;TODAY()),"Dice en ejecución pero su terminación ya pasó; ","")&amp;IF(M225="En ejecución","En ejecución: no acredita experiencia; ","")&amp;IF(AND(M225&lt;&gt;"En ejecución",L225&lt;&gt;"",X225&lt;&gt;"",Y225=""),"El año no está en la hoja SMMLV; ","")&amp;IF(AND(B225&lt;&gt;"",COUNTIFS($B$2:$B$601,B225,$C$2:$C$601,C225)&gt;1),"Posible duplicado (mismo número y entidad); ","")&amp;IF(COUNTIF(PARTICIPACIONES!$A$2:$A$601,A225)=0,"Sin participaciones; ","")&amp;IF(SUMIFS(PARTICIPACIONES!$E$2:$E$601,PARTICIPACIONES!$A$2:$A$601,A225)&gt;1.0001,"Las participaciones suman más de 100 %; ",""))</f>
        <v/>
      </c>
    </row>
    <row r="226">
      <c r="J226" s="15" t="n"/>
      <c r="K226" s="15" t="n"/>
      <c r="L226" s="15" t="n"/>
      <c r="N226" s="15" t="n"/>
      <c r="O226" s="16" t="n"/>
      <c r="P226" s="16" t="n"/>
      <c r="Q226" s="16" t="n"/>
      <c r="W226" s="12">
        <f>IF(AND(K226&lt;&gt;"",L226&lt;&gt;""),ROUND((L226-K226)/30.4375,1),"")</f>
        <v/>
      </c>
      <c r="X226" s="12">
        <f>IF(OR(A226="",M226="En ejecución",L226=""),"",YEAR(L226))</f>
        <v/>
      </c>
      <c r="Y226" s="13">
        <f>IF(X226="","",IFERROR(VLOOKUP(X226,SMMLV!$A$2:$B$38,2,FALSE),""))</f>
        <v/>
      </c>
      <c r="Z226" s="17">
        <f>IF(OR(Y226="",P226=""),"",ROUND(P226/Y226,2))</f>
        <v/>
      </c>
      <c r="AA226" s="13">
        <f>IF(Z226="","",ROUND(Z226*SMMLV!$E$4,0))</f>
        <v/>
      </c>
      <c r="AB226" s="13">
        <f>IF(AND(M226="En ejecución",P226&lt;&gt;"",Q226&lt;&gt;""),MAX(P226-Q226,0),"")</f>
        <v/>
      </c>
      <c r="AC226" s="12">
        <f>IF(A226="","",IF(B226="","Falta número de contrato; ","")&amp;IF(C226="","Falta entidad; ","")&amp;IF(E226="","Falta objeto; ","")&amp;IF(F226="","Falta especialidad; ","")&amp;IF(K226="","Falta fecha de inicio (recomendada); ","")&amp;IF(AND(M226&lt;&gt;"En ejecución",L226=""),"Falta fecha de terminación; ","")&amp;IF(AND(K226&lt;&gt;"",L226&lt;&gt;"",L226&lt;K226),"Terminación anterior al inicio; ","")&amp;IF(M226="","Falta estado; ","")&amp;IF(OR(P226="",P226&lt;=0),"Falta valor del contrato; ","")&amp;IF(AND(M226="En ejecución",Q226=""),"En ejecución sin valor ejecutado; ","")&amp;IF(AND(M226="En ejecución",L226&lt;&gt;"",L226&lt;TODAY()),"Dice en ejecución pero su terminación ya pasó; ","")&amp;IF(M226="En ejecución","En ejecución: no acredita experiencia; ","")&amp;IF(AND(M226&lt;&gt;"En ejecución",L226&lt;&gt;"",X226&lt;&gt;"",Y226=""),"El año no está en la hoja SMMLV; ","")&amp;IF(AND(B226&lt;&gt;"",COUNTIFS($B$2:$B$601,B226,$C$2:$C$601,C226)&gt;1),"Posible duplicado (mismo número y entidad); ","")&amp;IF(COUNTIF(PARTICIPACIONES!$A$2:$A$601,A226)=0,"Sin participaciones; ","")&amp;IF(SUMIFS(PARTICIPACIONES!$E$2:$E$601,PARTICIPACIONES!$A$2:$A$601,A226)&gt;1.0001,"Las participaciones suman más de 100 %; ",""))</f>
        <v/>
      </c>
    </row>
    <row r="227">
      <c r="J227" s="15" t="n"/>
      <c r="K227" s="15" t="n"/>
      <c r="L227" s="15" t="n"/>
      <c r="N227" s="15" t="n"/>
      <c r="O227" s="16" t="n"/>
      <c r="P227" s="16" t="n"/>
      <c r="Q227" s="16" t="n"/>
      <c r="W227" s="12">
        <f>IF(AND(K227&lt;&gt;"",L227&lt;&gt;""),ROUND((L227-K227)/30.4375,1),"")</f>
        <v/>
      </c>
      <c r="X227" s="12">
        <f>IF(OR(A227="",M227="En ejecución",L227=""),"",YEAR(L227))</f>
        <v/>
      </c>
      <c r="Y227" s="13">
        <f>IF(X227="","",IFERROR(VLOOKUP(X227,SMMLV!$A$2:$B$38,2,FALSE),""))</f>
        <v/>
      </c>
      <c r="Z227" s="17">
        <f>IF(OR(Y227="",P227=""),"",ROUND(P227/Y227,2))</f>
        <v/>
      </c>
      <c r="AA227" s="13">
        <f>IF(Z227="","",ROUND(Z227*SMMLV!$E$4,0))</f>
        <v/>
      </c>
      <c r="AB227" s="13">
        <f>IF(AND(M227="En ejecución",P227&lt;&gt;"",Q227&lt;&gt;""),MAX(P227-Q227,0),"")</f>
        <v/>
      </c>
      <c r="AC227" s="12">
        <f>IF(A227="","",IF(B227="","Falta número de contrato; ","")&amp;IF(C227="","Falta entidad; ","")&amp;IF(E227="","Falta objeto; ","")&amp;IF(F227="","Falta especialidad; ","")&amp;IF(K227="","Falta fecha de inicio (recomendada); ","")&amp;IF(AND(M227&lt;&gt;"En ejecución",L227=""),"Falta fecha de terminación; ","")&amp;IF(AND(K227&lt;&gt;"",L227&lt;&gt;"",L227&lt;K227),"Terminación anterior al inicio; ","")&amp;IF(M227="","Falta estado; ","")&amp;IF(OR(P227="",P227&lt;=0),"Falta valor del contrato; ","")&amp;IF(AND(M227="En ejecución",Q227=""),"En ejecución sin valor ejecutado; ","")&amp;IF(AND(M227="En ejecución",L227&lt;&gt;"",L227&lt;TODAY()),"Dice en ejecución pero su terminación ya pasó; ","")&amp;IF(M227="En ejecución","En ejecución: no acredita experiencia; ","")&amp;IF(AND(M227&lt;&gt;"En ejecución",L227&lt;&gt;"",X227&lt;&gt;"",Y227=""),"El año no está en la hoja SMMLV; ","")&amp;IF(AND(B227&lt;&gt;"",COUNTIFS($B$2:$B$601,B227,$C$2:$C$601,C227)&gt;1),"Posible duplicado (mismo número y entidad); ","")&amp;IF(COUNTIF(PARTICIPACIONES!$A$2:$A$601,A227)=0,"Sin participaciones; ","")&amp;IF(SUMIFS(PARTICIPACIONES!$E$2:$E$601,PARTICIPACIONES!$A$2:$A$601,A227)&gt;1.0001,"Las participaciones suman más de 100 %; ",""))</f>
        <v/>
      </c>
    </row>
    <row r="228">
      <c r="J228" s="15" t="n"/>
      <c r="K228" s="15" t="n"/>
      <c r="L228" s="15" t="n"/>
      <c r="N228" s="15" t="n"/>
      <c r="O228" s="16" t="n"/>
      <c r="P228" s="16" t="n"/>
      <c r="Q228" s="16" t="n"/>
      <c r="W228" s="12">
        <f>IF(AND(K228&lt;&gt;"",L228&lt;&gt;""),ROUND((L228-K228)/30.4375,1),"")</f>
        <v/>
      </c>
      <c r="X228" s="12">
        <f>IF(OR(A228="",M228="En ejecución",L228=""),"",YEAR(L228))</f>
        <v/>
      </c>
      <c r="Y228" s="13">
        <f>IF(X228="","",IFERROR(VLOOKUP(X228,SMMLV!$A$2:$B$38,2,FALSE),""))</f>
        <v/>
      </c>
      <c r="Z228" s="17">
        <f>IF(OR(Y228="",P228=""),"",ROUND(P228/Y228,2))</f>
        <v/>
      </c>
      <c r="AA228" s="13">
        <f>IF(Z228="","",ROUND(Z228*SMMLV!$E$4,0))</f>
        <v/>
      </c>
      <c r="AB228" s="13">
        <f>IF(AND(M228="En ejecución",P228&lt;&gt;"",Q228&lt;&gt;""),MAX(P228-Q228,0),"")</f>
        <v/>
      </c>
      <c r="AC228" s="12">
        <f>IF(A228="","",IF(B228="","Falta número de contrato; ","")&amp;IF(C228="","Falta entidad; ","")&amp;IF(E228="","Falta objeto; ","")&amp;IF(F228="","Falta especialidad; ","")&amp;IF(K228="","Falta fecha de inicio (recomendada); ","")&amp;IF(AND(M228&lt;&gt;"En ejecución",L228=""),"Falta fecha de terminación; ","")&amp;IF(AND(K228&lt;&gt;"",L228&lt;&gt;"",L228&lt;K228),"Terminación anterior al inicio; ","")&amp;IF(M228="","Falta estado; ","")&amp;IF(OR(P228="",P228&lt;=0),"Falta valor del contrato; ","")&amp;IF(AND(M228="En ejecución",Q228=""),"En ejecución sin valor ejecutado; ","")&amp;IF(AND(M228="En ejecución",L228&lt;&gt;"",L228&lt;TODAY()),"Dice en ejecución pero su terminación ya pasó; ","")&amp;IF(M228="En ejecución","En ejecución: no acredita experiencia; ","")&amp;IF(AND(M228&lt;&gt;"En ejecución",L228&lt;&gt;"",X228&lt;&gt;"",Y228=""),"El año no está en la hoja SMMLV; ","")&amp;IF(AND(B228&lt;&gt;"",COUNTIFS($B$2:$B$601,B228,$C$2:$C$601,C228)&gt;1),"Posible duplicado (mismo número y entidad); ","")&amp;IF(COUNTIF(PARTICIPACIONES!$A$2:$A$601,A228)=0,"Sin participaciones; ","")&amp;IF(SUMIFS(PARTICIPACIONES!$E$2:$E$601,PARTICIPACIONES!$A$2:$A$601,A228)&gt;1.0001,"Las participaciones suman más de 100 %; ",""))</f>
        <v/>
      </c>
    </row>
    <row r="229">
      <c r="J229" s="15" t="n"/>
      <c r="K229" s="15" t="n"/>
      <c r="L229" s="15" t="n"/>
      <c r="N229" s="15" t="n"/>
      <c r="O229" s="16" t="n"/>
      <c r="P229" s="16" t="n"/>
      <c r="Q229" s="16" t="n"/>
      <c r="W229" s="12">
        <f>IF(AND(K229&lt;&gt;"",L229&lt;&gt;""),ROUND((L229-K229)/30.4375,1),"")</f>
        <v/>
      </c>
      <c r="X229" s="12">
        <f>IF(OR(A229="",M229="En ejecución",L229=""),"",YEAR(L229))</f>
        <v/>
      </c>
      <c r="Y229" s="13">
        <f>IF(X229="","",IFERROR(VLOOKUP(X229,SMMLV!$A$2:$B$38,2,FALSE),""))</f>
        <v/>
      </c>
      <c r="Z229" s="17">
        <f>IF(OR(Y229="",P229=""),"",ROUND(P229/Y229,2))</f>
        <v/>
      </c>
      <c r="AA229" s="13">
        <f>IF(Z229="","",ROUND(Z229*SMMLV!$E$4,0))</f>
        <v/>
      </c>
      <c r="AB229" s="13">
        <f>IF(AND(M229="En ejecución",P229&lt;&gt;"",Q229&lt;&gt;""),MAX(P229-Q229,0),"")</f>
        <v/>
      </c>
      <c r="AC229" s="12">
        <f>IF(A229="","",IF(B229="","Falta número de contrato; ","")&amp;IF(C229="","Falta entidad; ","")&amp;IF(E229="","Falta objeto; ","")&amp;IF(F229="","Falta especialidad; ","")&amp;IF(K229="","Falta fecha de inicio (recomendada); ","")&amp;IF(AND(M229&lt;&gt;"En ejecución",L229=""),"Falta fecha de terminación; ","")&amp;IF(AND(K229&lt;&gt;"",L229&lt;&gt;"",L229&lt;K229),"Terminación anterior al inicio; ","")&amp;IF(M229="","Falta estado; ","")&amp;IF(OR(P229="",P229&lt;=0),"Falta valor del contrato; ","")&amp;IF(AND(M229="En ejecución",Q229=""),"En ejecución sin valor ejecutado; ","")&amp;IF(AND(M229="En ejecución",L229&lt;&gt;"",L229&lt;TODAY()),"Dice en ejecución pero su terminación ya pasó; ","")&amp;IF(M229="En ejecución","En ejecución: no acredita experiencia; ","")&amp;IF(AND(M229&lt;&gt;"En ejecución",L229&lt;&gt;"",X229&lt;&gt;"",Y229=""),"El año no está en la hoja SMMLV; ","")&amp;IF(AND(B229&lt;&gt;"",COUNTIFS($B$2:$B$601,B229,$C$2:$C$601,C229)&gt;1),"Posible duplicado (mismo número y entidad); ","")&amp;IF(COUNTIF(PARTICIPACIONES!$A$2:$A$601,A229)=0,"Sin participaciones; ","")&amp;IF(SUMIFS(PARTICIPACIONES!$E$2:$E$601,PARTICIPACIONES!$A$2:$A$601,A229)&gt;1.0001,"Las participaciones suman más de 100 %; ",""))</f>
        <v/>
      </c>
    </row>
    <row r="230">
      <c r="J230" s="15" t="n"/>
      <c r="K230" s="15" t="n"/>
      <c r="L230" s="15" t="n"/>
      <c r="N230" s="15" t="n"/>
      <c r="O230" s="16" t="n"/>
      <c r="P230" s="16" t="n"/>
      <c r="Q230" s="16" t="n"/>
      <c r="W230" s="12">
        <f>IF(AND(K230&lt;&gt;"",L230&lt;&gt;""),ROUND((L230-K230)/30.4375,1),"")</f>
        <v/>
      </c>
      <c r="X230" s="12">
        <f>IF(OR(A230="",M230="En ejecución",L230=""),"",YEAR(L230))</f>
        <v/>
      </c>
      <c r="Y230" s="13">
        <f>IF(X230="","",IFERROR(VLOOKUP(X230,SMMLV!$A$2:$B$38,2,FALSE),""))</f>
        <v/>
      </c>
      <c r="Z230" s="17">
        <f>IF(OR(Y230="",P230=""),"",ROUND(P230/Y230,2))</f>
        <v/>
      </c>
      <c r="AA230" s="13">
        <f>IF(Z230="","",ROUND(Z230*SMMLV!$E$4,0))</f>
        <v/>
      </c>
      <c r="AB230" s="13">
        <f>IF(AND(M230="En ejecución",P230&lt;&gt;"",Q230&lt;&gt;""),MAX(P230-Q230,0),"")</f>
        <v/>
      </c>
      <c r="AC230" s="12">
        <f>IF(A230="","",IF(B230="","Falta número de contrato; ","")&amp;IF(C230="","Falta entidad; ","")&amp;IF(E230="","Falta objeto; ","")&amp;IF(F230="","Falta especialidad; ","")&amp;IF(K230="","Falta fecha de inicio (recomendada); ","")&amp;IF(AND(M230&lt;&gt;"En ejecución",L230=""),"Falta fecha de terminación; ","")&amp;IF(AND(K230&lt;&gt;"",L230&lt;&gt;"",L230&lt;K230),"Terminación anterior al inicio; ","")&amp;IF(M230="","Falta estado; ","")&amp;IF(OR(P230="",P230&lt;=0),"Falta valor del contrato; ","")&amp;IF(AND(M230="En ejecución",Q230=""),"En ejecución sin valor ejecutado; ","")&amp;IF(AND(M230="En ejecución",L230&lt;&gt;"",L230&lt;TODAY()),"Dice en ejecución pero su terminación ya pasó; ","")&amp;IF(M230="En ejecución","En ejecución: no acredita experiencia; ","")&amp;IF(AND(M230&lt;&gt;"En ejecución",L230&lt;&gt;"",X230&lt;&gt;"",Y230=""),"El año no está en la hoja SMMLV; ","")&amp;IF(AND(B230&lt;&gt;"",COUNTIFS($B$2:$B$601,B230,$C$2:$C$601,C230)&gt;1),"Posible duplicado (mismo número y entidad); ","")&amp;IF(COUNTIF(PARTICIPACIONES!$A$2:$A$601,A230)=0,"Sin participaciones; ","")&amp;IF(SUMIFS(PARTICIPACIONES!$E$2:$E$601,PARTICIPACIONES!$A$2:$A$601,A230)&gt;1.0001,"Las participaciones suman más de 100 %; ",""))</f>
        <v/>
      </c>
    </row>
    <row r="231">
      <c r="J231" s="15" t="n"/>
      <c r="K231" s="15" t="n"/>
      <c r="L231" s="15" t="n"/>
      <c r="N231" s="15" t="n"/>
      <c r="O231" s="16" t="n"/>
      <c r="P231" s="16" t="n"/>
      <c r="Q231" s="16" t="n"/>
      <c r="W231" s="12">
        <f>IF(AND(K231&lt;&gt;"",L231&lt;&gt;""),ROUND((L231-K231)/30.4375,1),"")</f>
        <v/>
      </c>
      <c r="X231" s="12">
        <f>IF(OR(A231="",M231="En ejecución",L231=""),"",YEAR(L231))</f>
        <v/>
      </c>
      <c r="Y231" s="13">
        <f>IF(X231="","",IFERROR(VLOOKUP(X231,SMMLV!$A$2:$B$38,2,FALSE),""))</f>
        <v/>
      </c>
      <c r="Z231" s="17">
        <f>IF(OR(Y231="",P231=""),"",ROUND(P231/Y231,2))</f>
        <v/>
      </c>
      <c r="AA231" s="13">
        <f>IF(Z231="","",ROUND(Z231*SMMLV!$E$4,0))</f>
        <v/>
      </c>
      <c r="AB231" s="13">
        <f>IF(AND(M231="En ejecución",P231&lt;&gt;"",Q231&lt;&gt;""),MAX(P231-Q231,0),"")</f>
        <v/>
      </c>
      <c r="AC231" s="12">
        <f>IF(A231="","",IF(B231="","Falta número de contrato; ","")&amp;IF(C231="","Falta entidad; ","")&amp;IF(E231="","Falta objeto; ","")&amp;IF(F231="","Falta especialidad; ","")&amp;IF(K231="","Falta fecha de inicio (recomendada); ","")&amp;IF(AND(M231&lt;&gt;"En ejecución",L231=""),"Falta fecha de terminación; ","")&amp;IF(AND(K231&lt;&gt;"",L231&lt;&gt;"",L231&lt;K231),"Terminación anterior al inicio; ","")&amp;IF(M231="","Falta estado; ","")&amp;IF(OR(P231="",P231&lt;=0),"Falta valor del contrato; ","")&amp;IF(AND(M231="En ejecución",Q231=""),"En ejecución sin valor ejecutado; ","")&amp;IF(AND(M231="En ejecución",L231&lt;&gt;"",L231&lt;TODAY()),"Dice en ejecución pero su terminación ya pasó; ","")&amp;IF(M231="En ejecución","En ejecución: no acredita experiencia; ","")&amp;IF(AND(M231&lt;&gt;"En ejecución",L231&lt;&gt;"",X231&lt;&gt;"",Y231=""),"El año no está en la hoja SMMLV; ","")&amp;IF(AND(B231&lt;&gt;"",COUNTIFS($B$2:$B$601,B231,$C$2:$C$601,C231)&gt;1),"Posible duplicado (mismo número y entidad); ","")&amp;IF(COUNTIF(PARTICIPACIONES!$A$2:$A$601,A231)=0,"Sin participaciones; ","")&amp;IF(SUMIFS(PARTICIPACIONES!$E$2:$E$601,PARTICIPACIONES!$A$2:$A$601,A231)&gt;1.0001,"Las participaciones suman más de 100 %; ",""))</f>
        <v/>
      </c>
    </row>
    <row r="232">
      <c r="J232" s="15" t="n"/>
      <c r="K232" s="15" t="n"/>
      <c r="L232" s="15" t="n"/>
      <c r="N232" s="15" t="n"/>
      <c r="O232" s="16" t="n"/>
      <c r="P232" s="16" t="n"/>
      <c r="Q232" s="16" t="n"/>
      <c r="W232" s="12">
        <f>IF(AND(K232&lt;&gt;"",L232&lt;&gt;""),ROUND((L232-K232)/30.4375,1),"")</f>
        <v/>
      </c>
      <c r="X232" s="12">
        <f>IF(OR(A232="",M232="En ejecución",L232=""),"",YEAR(L232))</f>
        <v/>
      </c>
      <c r="Y232" s="13">
        <f>IF(X232="","",IFERROR(VLOOKUP(X232,SMMLV!$A$2:$B$38,2,FALSE),""))</f>
        <v/>
      </c>
      <c r="Z232" s="17">
        <f>IF(OR(Y232="",P232=""),"",ROUND(P232/Y232,2))</f>
        <v/>
      </c>
      <c r="AA232" s="13">
        <f>IF(Z232="","",ROUND(Z232*SMMLV!$E$4,0))</f>
        <v/>
      </c>
      <c r="AB232" s="13">
        <f>IF(AND(M232="En ejecución",P232&lt;&gt;"",Q232&lt;&gt;""),MAX(P232-Q232,0),"")</f>
        <v/>
      </c>
      <c r="AC232" s="12">
        <f>IF(A232="","",IF(B232="","Falta número de contrato; ","")&amp;IF(C232="","Falta entidad; ","")&amp;IF(E232="","Falta objeto; ","")&amp;IF(F232="","Falta especialidad; ","")&amp;IF(K232="","Falta fecha de inicio (recomendada); ","")&amp;IF(AND(M232&lt;&gt;"En ejecución",L232=""),"Falta fecha de terminación; ","")&amp;IF(AND(K232&lt;&gt;"",L232&lt;&gt;"",L232&lt;K232),"Terminación anterior al inicio; ","")&amp;IF(M232="","Falta estado; ","")&amp;IF(OR(P232="",P232&lt;=0),"Falta valor del contrato; ","")&amp;IF(AND(M232="En ejecución",Q232=""),"En ejecución sin valor ejecutado; ","")&amp;IF(AND(M232="En ejecución",L232&lt;&gt;"",L232&lt;TODAY()),"Dice en ejecución pero su terminación ya pasó; ","")&amp;IF(M232="En ejecución","En ejecución: no acredita experiencia; ","")&amp;IF(AND(M232&lt;&gt;"En ejecución",L232&lt;&gt;"",X232&lt;&gt;"",Y232=""),"El año no está en la hoja SMMLV; ","")&amp;IF(AND(B232&lt;&gt;"",COUNTIFS($B$2:$B$601,B232,$C$2:$C$601,C232)&gt;1),"Posible duplicado (mismo número y entidad); ","")&amp;IF(COUNTIF(PARTICIPACIONES!$A$2:$A$601,A232)=0,"Sin participaciones; ","")&amp;IF(SUMIFS(PARTICIPACIONES!$E$2:$E$601,PARTICIPACIONES!$A$2:$A$601,A232)&gt;1.0001,"Las participaciones suman más de 100 %; ",""))</f>
        <v/>
      </c>
    </row>
    <row r="233">
      <c r="J233" s="15" t="n"/>
      <c r="K233" s="15" t="n"/>
      <c r="L233" s="15" t="n"/>
      <c r="N233" s="15" t="n"/>
      <c r="O233" s="16" t="n"/>
      <c r="P233" s="16" t="n"/>
      <c r="Q233" s="16" t="n"/>
      <c r="W233" s="12">
        <f>IF(AND(K233&lt;&gt;"",L233&lt;&gt;""),ROUND((L233-K233)/30.4375,1),"")</f>
        <v/>
      </c>
      <c r="X233" s="12">
        <f>IF(OR(A233="",M233="En ejecución",L233=""),"",YEAR(L233))</f>
        <v/>
      </c>
      <c r="Y233" s="13">
        <f>IF(X233="","",IFERROR(VLOOKUP(X233,SMMLV!$A$2:$B$38,2,FALSE),""))</f>
        <v/>
      </c>
      <c r="Z233" s="17">
        <f>IF(OR(Y233="",P233=""),"",ROUND(P233/Y233,2))</f>
        <v/>
      </c>
      <c r="AA233" s="13">
        <f>IF(Z233="","",ROUND(Z233*SMMLV!$E$4,0))</f>
        <v/>
      </c>
      <c r="AB233" s="13">
        <f>IF(AND(M233="En ejecución",P233&lt;&gt;"",Q233&lt;&gt;""),MAX(P233-Q233,0),"")</f>
        <v/>
      </c>
      <c r="AC233" s="12">
        <f>IF(A233="","",IF(B233="","Falta número de contrato; ","")&amp;IF(C233="","Falta entidad; ","")&amp;IF(E233="","Falta objeto; ","")&amp;IF(F233="","Falta especialidad; ","")&amp;IF(K233="","Falta fecha de inicio (recomendada); ","")&amp;IF(AND(M233&lt;&gt;"En ejecución",L233=""),"Falta fecha de terminación; ","")&amp;IF(AND(K233&lt;&gt;"",L233&lt;&gt;"",L233&lt;K233),"Terminación anterior al inicio; ","")&amp;IF(M233="","Falta estado; ","")&amp;IF(OR(P233="",P233&lt;=0),"Falta valor del contrato; ","")&amp;IF(AND(M233="En ejecución",Q233=""),"En ejecución sin valor ejecutado; ","")&amp;IF(AND(M233="En ejecución",L233&lt;&gt;"",L233&lt;TODAY()),"Dice en ejecución pero su terminación ya pasó; ","")&amp;IF(M233="En ejecución","En ejecución: no acredita experiencia; ","")&amp;IF(AND(M233&lt;&gt;"En ejecución",L233&lt;&gt;"",X233&lt;&gt;"",Y233=""),"El año no está en la hoja SMMLV; ","")&amp;IF(AND(B233&lt;&gt;"",COUNTIFS($B$2:$B$601,B233,$C$2:$C$601,C233)&gt;1),"Posible duplicado (mismo número y entidad); ","")&amp;IF(COUNTIF(PARTICIPACIONES!$A$2:$A$601,A233)=0,"Sin participaciones; ","")&amp;IF(SUMIFS(PARTICIPACIONES!$E$2:$E$601,PARTICIPACIONES!$A$2:$A$601,A233)&gt;1.0001,"Las participaciones suman más de 100 %; ",""))</f>
        <v/>
      </c>
    </row>
    <row r="234">
      <c r="J234" s="15" t="n"/>
      <c r="K234" s="15" t="n"/>
      <c r="L234" s="15" t="n"/>
      <c r="N234" s="15" t="n"/>
      <c r="O234" s="16" t="n"/>
      <c r="P234" s="16" t="n"/>
      <c r="Q234" s="16" t="n"/>
      <c r="W234" s="12">
        <f>IF(AND(K234&lt;&gt;"",L234&lt;&gt;""),ROUND((L234-K234)/30.4375,1),"")</f>
        <v/>
      </c>
      <c r="X234" s="12">
        <f>IF(OR(A234="",M234="En ejecución",L234=""),"",YEAR(L234))</f>
        <v/>
      </c>
      <c r="Y234" s="13">
        <f>IF(X234="","",IFERROR(VLOOKUP(X234,SMMLV!$A$2:$B$38,2,FALSE),""))</f>
        <v/>
      </c>
      <c r="Z234" s="17">
        <f>IF(OR(Y234="",P234=""),"",ROUND(P234/Y234,2))</f>
        <v/>
      </c>
      <c r="AA234" s="13">
        <f>IF(Z234="","",ROUND(Z234*SMMLV!$E$4,0))</f>
        <v/>
      </c>
      <c r="AB234" s="13">
        <f>IF(AND(M234="En ejecución",P234&lt;&gt;"",Q234&lt;&gt;""),MAX(P234-Q234,0),"")</f>
        <v/>
      </c>
      <c r="AC234" s="12">
        <f>IF(A234="","",IF(B234="","Falta número de contrato; ","")&amp;IF(C234="","Falta entidad; ","")&amp;IF(E234="","Falta objeto; ","")&amp;IF(F234="","Falta especialidad; ","")&amp;IF(K234="","Falta fecha de inicio (recomendada); ","")&amp;IF(AND(M234&lt;&gt;"En ejecución",L234=""),"Falta fecha de terminación; ","")&amp;IF(AND(K234&lt;&gt;"",L234&lt;&gt;"",L234&lt;K234),"Terminación anterior al inicio; ","")&amp;IF(M234="","Falta estado; ","")&amp;IF(OR(P234="",P234&lt;=0),"Falta valor del contrato; ","")&amp;IF(AND(M234="En ejecución",Q234=""),"En ejecución sin valor ejecutado; ","")&amp;IF(AND(M234="En ejecución",L234&lt;&gt;"",L234&lt;TODAY()),"Dice en ejecución pero su terminación ya pasó; ","")&amp;IF(M234="En ejecución","En ejecución: no acredita experiencia; ","")&amp;IF(AND(M234&lt;&gt;"En ejecución",L234&lt;&gt;"",X234&lt;&gt;"",Y234=""),"El año no está en la hoja SMMLV; ","")&amp;IF(AND(B234&lt;&gt;"",COUNTIFS($B$2:$B$601,B234,$C$2:$C$601,C234)&gt;1),"Posible duplicado (mismo número y entidad); ","")&amp;IF(COUNTIF(PARTICIPACIONES!$A$2:$A$601,A234)=0,"Sin participaciones; ","")&amp;IF(SUMIFS(PARTICIPACIONES!$E$2:$E$601,PARTICIPACIONES!$A$2:$A$601,A234)&gt;1.0001,"Las participaciones suman más de 100 %; ",""))</f>
        <v/>
      </c>
    </row>
    <row r="235">
      <c r="J235" s="15" t="n"/>
      <c r="K235" s="15" t="n"/>
      <c r="L235" s="15" t="n"/>
      <c r="N235" s="15" t="n"/>
      <c r="O235" s="16" t="n"/>
      <c r="P235" s="16" t="n"/>
      <c r="Q235" s="16" t="n"/>
      <c r="W235" s="12">
        <f>IF(AND(K235&lt;&gt;"",L235&lt;&gt;""),ROUND((L235-K235)/30.4375,1),"")</f>
        <v/>
      </c>
      <c r="X235" s="12">
        <f>IF(OR(A235="",M235="En ejecución",L235=""),"",YEAR(L235))</f>
        <v/>
      </c>
      <c r="Y235" s="13">
        <f>IF(X235="","",IFERROR(VLOOKUP(X235,SMMLV!$A$2:$B$38,2,FALSE),""))</f>
        <v/>
      </c>
      <c r="Z235" s="17">
        <f>IF(OR(Y235="",P235=""),"",ROUND(P235/Y235,2))</f>
        <v/>
      </c>
      <c r="AA235" s="13">
        <f>IF(Z235="","",ROUND(Z235*SMMLV!$E$4,0))</f>
        <v/>
      </c>
      <c r="AB235" s="13">
        <f>IF(AND(M235="En ejecución",P235&lt;&gt;"",Q235&lt;&gt;""),MAX(P235-Q235,0),"")</f>
        <v/>
      </c>
      <c r="AC235" s="12">
        <f>IF(A235="","",IF(B235="","Falta número de contrato; ","")&amp;IF(C235="","Falta entidad; ","")&amp;IF(E235="","Falta objeto; ","")&amp;IF(F235="","Falta especialidad; ","")&amp;IF(K235="","Falta fecha de inicio (recomendada); ","")&amp;IF(AND(M235&lt;&gt;"En ejecución",L235=""),"Falta fecha de terminación; ","")&amp;IF(AND(K235&lt;&gt;"",L235&lt;&gt;"",L235&lt;K235),"Terminación anterior al inicio; ","")&amp;IF(M235="","Falta estado; ","")&amp;IF(OR(P235="",P235&lt;=0),"Falta valor del contrato; ","")&amp;IF(AND(M235="En ejecución",Q235=""),"En ejecución sin valor ejecutado; ","")&amp;IF(AND(M235="En ejecución",L235&lt;&gt;"",L235&lt;TODAY()),"Dice en ejecución pero su terminación ya pasó; ","")&amp;IF(M235="En ejecución","En ejecución: no acredita experiencia; ","")&amp;IF(AND(M235&lt;&gt;"En ejecución",L235&lt;&gt;"",X235&lt;&gt;"",Y235=""),"El año no está en la hoja SMMLV; ","")&amp;IF(AND(B235&lt;&gt;"",COUNTIFS($B$2:$B$601,B235,$C$2:$C$601,C235)&gt;1),"Posible duplicado (mismo número y entidad); ","")&amp;IF(COUNTIF(PARTICIPACIONES!$A$2:$A$601,A235)=0,"Sin participaciones; ","")&amp;IF(SUMIFS(PARTICIPACIONES!$E$2:$E$601,PARTICIPACIONES!$A$2:$A$601,A235)&gt;1.0001,"Las participaciones suman más de 100 %; ",""))</f>
        <v/>
      </c>
    </row>
    <row r="236">
      <c r="J236" s="15" t="n"/>
      <c r="K236" s="15" t="n"/>
      <c r="L236" s="15" t="n"/>
      <c r="N236" s="15" t="n"/>
      <c r="O236" s="16" t="n"/>
      <c r="P236" s="16" t="n"/>
      <c r="Q236" s="16" t="n"/>
      <c r="W236" s="12">
        <f>IF(AND(K236&lt;&gt;"",L236&lt;&gt;""),ROUND((L236-K236)/30.4375,1),"")</f>
        <v/>
      </c>
      <c r="X236" s="12">
        <f>IF(OR(A236="",M236="En ejecución",L236=""),"",YEAR(L236))</f>
        <v/>
      </c>
      <c r="Y236" s="13">
        <f>IF(X236="","",IFERROR(VLOOKUP(X236,SMMLV!$A$2:$B$38,2,FALSE),""))</f>
        <v/>
      </c>
      <c r="Z236" s="17">
        <f>IF(OR(Y236="",P236=""),"",ROUND(P236/Y236,2))</f>
        <v/>
      </c>
      <c r="AA236" s="13">
        <f>IF(Z236="","",ROUND(Z236*SMMLV!$E$4,0))</f>
        <v/>
      </c>
      <c r="AB236" s="13">
        <f>IF(AND(M236="En ejecución",P236&lt;&gt;"",Q236&lt;&gt;""),MAX(P236-Q236,0),"")</f>
        <v/>
      </c>
      <c r="AC236" s="12">
        <f>IF(A236="","",IF(B236="","Falta número de contrato; ","")&amp;IF(C236="","Falta entidad; ","")&amp;IF(E236="","Falta objeto; ","")&amp;IF(F236="","Falta especialidad; ","")&amp;IF(K236="","Falta fecha de inicio (recomendada); ","")&amp;IF(AND(M236&lt;&gt;"En ejecución",L236=""),"Falta fecha de terminación; ","")&amp;IF(AND(K236&lt;&gt;"",L236&lt;&gt;"",L236&lt;K236),"Terminación anterior al inicio; ","")&amp;IF(M236="","Falta estado; ","")&amp;IF(OR(P236="",P236&lt;=0),"Falta valor del contrato; ","")&amp;IF(AND(M236="En ejecución",Q236=""),"En ejecución sin valor ejecutado; ","")&amp;IF(AND(M236="En ejecución",L236&lt;&gt;"",L236&lt;TODAY()),"Dice en ejecución pero su terminación ya pasó; ","")&amp;IF(M236="En ejecución","En ejecución: no acredita experiencia; ","")&amp;IF(AND(M236&lt;&gt;"En ejecución",L236&lt;&gt;"",X236&lt;&gt;"",Y236=""),"El año no está en la hoja SMMLV; ","")&amp;IF(AND(B236&lt;&gt;"",COUNTIFS($B$2:$B$601,B236,$C$2:$C$601,C236)&gt;1),"Posible duplicado (mismo número y entidad); ","")&amp;IF(COUNTIF(PARTICIPACIONES!$A$2:$A$601,A236)=0,"Sin participaciones; ","")&amp;IF(SUMIFS(PARTICIPACIONES!$E$2:$E$601,PARTICIPACIONES!$A$2:$A$601,A236)&gt;1.0001,"Las participaciones suman más de 100 %; ",""))</f>
        <v/>
      </c>
    </row>
    <row r="237">
      <c r="J237" s="15" t="n"/>
      <c r="K237" s="15" t="n"/>
      <c r="L237" s="15" t="n"/>
      <c r="N237" s="15" t="n"/>
      <c r="O237" s="16" t="n"/>
      <c r="P237" s="16" t="n"/>
      <c r="Q237" s="16" t="n"/>
      <c r="W237" s="12">
        <f>IF(AND(K237&lt;&gt;"",L237&lt;&gt;""),ROUND((L237-K237)/30.4375,1),"")</f>
        <v/>
      </c>
      <c r="X237" s="12">
        <f>IF(OR(A237="",M237="En ejecución",L237=""),"",YEAR(L237))</f>
        <v/>
      </c>
      <c r="Y237" s="13">
        <f>IF(X237="","",IFERROR(VLOOKUP(X237,SMMLV!$A$2:$B$38,2,FALSE),""))</f>
        <v/>
      </c>
      <c r="Z237" s="17">
        <f>IF(OR(Y237="",P237=""),"",ROUND(P237/Y237,2))</f>
        <v/>
      </c>
      <c r="AA237" s="13">
        <f>IF(Z237="","",ROUND(Z237*SMMLV!$E$4,0))</f>
        <v/>
      </c>
      <c r="AB237" s="13">
        <f>IF(AND(M237="En ejecución",P237&lt;&gt;"",Q237&lt;&gt;""),MAX(P237-Q237,0),"")</f>
        <v/>
      </c>
      <c r="AC237" s="12">
        <f>IF(A237="","",IF(B237="","Falta número de contrato; ","")&amp;IF(C237="","Falta entidad; ","")&amp;IF(E237="","Falta objeto; ","")&amp;IF(F237="","Falta especialidad; ","")&amp;IF(K237="","Falta fecha de inicio (recomendada); ","")&amp;IF(AND(M237&lt;&gt;"En ejecución",L237=""),"Falta fecha de terminación; ","")&amp;IF(AND(K237&lt;&gt;"",L237&lt;&gt;"",L237&lt;K237),"Terminación anterior al inicio; ","")&amp;IF(M237="","Falta estado; ","")&amp;IF(OR(P237="",P237&lt;=0),"Falta valor del contrato; ","")&amp;IF(AND(M237="En ejecución",Q237=""),"En ejecución sin valor ejecutado; ","")&amp;IF(AND(M237="En ejecución",L237&lt;&gt;"",L237&lt;TODAY()),"Dice en ejecución pero su terminación ya pasó; ","")&amp;IF(M237="En ejecución","En ejecución: no acredita experiencia; ","")&amp;IF(AND(M237&lt;&gt;"En ejecución",L237&lt;&gt;"",X237&lt;&gt;"",Y237=""),"El año no está en la hoja SMMLV; ","")&amp;IF(AND(B237&lt;&gt;"",COUNTIFS($B$2:$B$601,B237,$C$2:$C$601,C237)&gt;1),"Posible duplicado (mismo número y entidad); ","")&amp;IF(COUNTIF(PARTICIPACIONES!$A$2:$A$601,A237)=0,"Sin participaciones; ","")&amp;IF(SUMIFS(PARTICIPACIONES!$E$2:$E$601,PARTICIPACIONES!$A$2:$A$601,A237)&gt;1.0001,"Las participaciones suman más de 100 %; ",""))</f>
        <v/>
      </c>
    </row>
    <row r="238">
      <c r="J238" s="15" t="n"/>
      <c r="K238" s="15" t="n"/>
      <c r="L238" s="15" t="n"/>
      <c r="N238" s="15" t="n"/>
      <c r="O238" s="16" t="n"/>
      <c r="P238" s="16" t="n"/>
      <c r="Q238" s="16" t="n"/>
      <c r="W238" s="12">
        <f>IF(AND(K238&lt;&gt;"",L238&lt;&gt;""),ROUND((L238-K238)/30.4375,1),"")</f>
        <v/>
      </c>
      <c r="X238" s="12">
        <f>IF(OR(A238="",M238="En ejecución",L238=""),"",YEAR(L238))</f>
        <v/>
      </c>
      <c r="Y238" s="13">
        <f>IF(X238="","",IFERROR(VLOOKUP(X238,SMMLV!$A$2:$B$38,2,FALSE),""))</f>
        <v/>
      </c>
      <c r="Z238" s="17">
        <f>IF(OR(Y238="",P238=""),"",ROUND(P238/Y238,2))</f>
        <v/>
      </c>
      <c r="AA238" s="13">
        <f>IF(Z238="","",ROUND(Z238*SMMLV!$E$4,0))</f>
        <v/>
      </c>
      <c r="AB238" s="13">
        <f>IF(AND(M238="En ejecución",P238&lt;&gt;"",Q238&lt;&gt;""),MAX(P238-Q238,0),"")</f>
        <v/>
      </c>
      <c r="AC238" s="12">
        <f>IF(A238="","",IF(B238="","Falta número de contrato; ","")&amp;IF(C238="","Falta entidad; ","")&amp;IF(E238="","Falta objeto; ","")&amp;IF(F238="","Falta especialidad; ","")&amp;IF(K238="","Falta fecha de inicio (recomendada); ","")&amp;IF(AND(M238&lt;&gt;"En ejecución",L238=""),"Falta fecha de terminación; ","")&amp;IF(AND(K238&lt;&gt;"",L238&lt;&gt;"",L238&lt;K238),"Terminación anterior al inicio; ","")&amp;IF(M238="","Falta estado; ","")&amp;IF(OR(P238="",P238&lt;=0),"Falta valor del contrato; ","")&amp;IF(AND(M238="En ejecución",Q238=""),"En ejecución sin valor ejecutado; ","")&amp;IF(AND(M238="En ejecución",L238&lt;&gt;"",L238&lt;TODAY()),"Dice en ejecución pero su terminación ya pasó; ","")&amp;IF(M238="En ejecución","En ejecución: no acredita experiencia; ","")&amp;IF(AND(M238&lt;&gt;"En ejecución",L238&lt;&gt;"",X238&lt;&gt;"",Y238=""),"El año no está en la hoja SMMLV; ","")&amp;IF(AND(B238&lt;&gt;"",COUNTIFS($B$2:$B$601,B238,$C$2:$C$601,C238)&gt;1),"Posible duplicado (mismo número y entidad); ","")&amp;IF(COUNTIF(PARTICIPACIONES!$A$2:$A$601,A238)=0,"Sin participaciones; ","")&amp;IF(SUMIFS(PARTICIPACIONES!$E$2:$E$601,PARTICIPACIONES!$A$2:$A$601,A238)&gt;1.0001,"Las participaciones suman más de 100 %; ",""))</f>
        <v/>
      </c>
    </row>
    <row r="239">
      <c r="J239" s="15" t="n"/>
      <c r="K239" s="15" t="n"/>
      <c r="L239" s="15" t="n"/>
      <c r="N239" s="15" t="n"/>
      <c r="O239" s="16" t="n"/>
      <c r="P239" s="16" t="n"/>
      <c r="Q239" s="16" t="n"/>
      <c r="W239" s="12">
        <f>IF(AND(K239&lt;&gt;"",L239&lt;&gt;""),ROUND((L239-K239)/30.4375,1),"")</f>
        <v/>
      </c>
      <c r="X239" s="12">
        <f>IF(OR(A239="",M239="En ejecución",L239=""),"",YEAR(L239))</f>
        <v/>
      </c>
      <c r="Y239" s="13">
        <f>IF(X239="","",IFERROR(VLOOKUP(X239,SMMLV!$A$2:$B$38,2,FALSE),""))</f>
        <v/>
      </c>
      <c r="Z239" s="17">
        <f>IF(OR(Y239="",P239=""),"",ROUND(P239/Y239,2))</f>
        <v/>
      </c>
      <c r="AA239" s="13">
        <f>IF(Z239="","",ROUND(Z239*SMMLV!$E$4,0))</f>
        <v/>
      </c>
      <c r="AB239" s="13">
        <f>IF(AND(M239="En ejecución",P239&lt;&gt;"",Q239&lt;&gt;""),MAX(P239-Q239,0),"")</f>
        <v/>
      </c>
      <c r="AC239" s="12">
        <f>IF(A239="","",IF(B239="","Falta número de contrato; ","")&amp;IF(C239="","Falta entidad; ","")&amp;IF(E239="","Falta objeto; ","")&amp;IF(F239="","Falta especialidad; ","")&amp;IF(K239="","Falta fecha de inicio (recomendada); ","")&amp;IF(AND(M239&lt;&gt;"En ejecución",L239=""),"Falta fecha de terminación; ","")&amp;IF(AND(K239&lt;&gt;"",L239&lt;&gt;"",L239&lt;K239),"Terminación anterior al inicio; ","")&amp;IF(M239="","Falta estado; ","")&amp;IF(OR(P239="",P239&lt;=0),"Falta valor del contrato; ","")&amp;IF(AND(M239="En ejecución",Q239=""),"En ejecución sin valor ejecutado; ","")&amp;IF(AND(M239="En ejecución",L239&lt;&gt;"",L239&lt;TODAY()),"Dice en ejecución pero su terminación ya pasó; ","")&amp;IF(M239="En ejecución","En ejecución: no acredita experiencia; ","")&amp;IF(AND(M239&lt;&gt;"En ejecución",L239&lt;&gt;"",X239&lt;&gt;"",Y239=""),"El año no está en la hoja SMMLV; ","")&amp;IF(AND(B239&lt;&gt;"",COUNTIFS($B$2:$B$601,B239,$C$2:$C$601,C239)&gt;1),"Posible duplicado (mismo número y entidad); ","")&amp;IF(COUNTIF(PARTICIPACIONES!$A$2:$A$601,A239)=0,"Sin participaciones; ","")&amp;IF(SUMIFS(PARTICIPACIONES!$E$2:$E$601,PARTICIPACIONES!$A$2:$A$601,A239)&gt;1.0001,"Las participaciones suman más de 100 %; ",""))</f>
        <v/>
      </c>
    </row>
    <row r="240">
      <c r="J240" s="15" t="n"/>
      <c r="K240" s="15" t="n"/>
      <c r="L240" s="15" t="n"/>
      <c r="N240" s="15" t="n"/>
      <c r="O240" s="16" t="n"/>
      <c r="P240" s="16" t="n"/>
      <c r="Q240" s="16" t="n"/>
      <c r="W240" s="12">
        <f>IF(AND(K240&lt;&gt;"",L240&lt;&gt;""),ROUND((L240-K240)/30.4375,1),"")</f>
        <v/>
      </c>
      <c r="X240" s="12">
        <f>IF(OR(A240="",M240="En ejecución",L240=""),"",YEAR(L240))</f>
        <v/>
      </c>
      <c r="Y240" s="13">
        <f>IF(X240="","",IFERROR(VLOOKUP(X240,SMMLV!$A$2:$B$38,2,FALSE),""))</f>
        <v/>
      </c>
      <c r="Z240" s="17">
        <f>IF(OR(Y240="",P240=""),"",ROUND(P240/Y240,2))</f>
        <v/>
      </c>
      <c r="AA240" s="13">
        <f>IF(Z240="","",ROUND(Z240*SMMLV!$E$4,0))</f>
        <v/>
      </c>
      <c r="AB240" s="13">
        <f>IF(AND(M240="En ejecución",P240&lt;&gt;"",Q240&lt;&gt;""),MAX(P240-Q240,0),"")</f>
        <v/>
      </c>
      <c r="AC240" s="12">
        <f>IF(A240="","",IF(B240="","Falta número de contrato; ","")&amp;IF(C240="","Falta entidad; ","")&amp;IF(E240="","Falta objeto; ","")&amp;IF(F240="","Falta especialidad; ","")&amp;IF(K240="","Falta fecha de inicio (recomendada); ","")&amp;IF(AND(M240&lt;&gt;"En ejecución",L240=""),"Falta fecha de terminación; ","")&amp;IF(AND(K240&lt;&gt;"",L240&lt;&gt;"",L240&lt;K240),"Terminación anterior al inicio; ","")&amp;IF(M240="","Falta estado; ","")&amp;IF(OR(P240="",P240&lt;=0),"Falta valor del contrato; ","")&amp;IF(AND(M240="En ejecución",Q240=""),"En ejecución sin valor ejecutado; ","")&amp;IF(AND(M240="En ejecución",L240&lt;&gt;"",L240&lt;TODAY()),"Dice en ejecución pero su terminación ya pasó; ","")&amp;IF(M240="En ejecución","En ejecución: no acredita experiencia; ","")&amp;IF(AND(M240&lt;&gt;"En ejecución",L240&lt;&gt;"",X240&lt;&gt;"",Y240=""),"El año no está en la hoja SMMLV; ","")&amp;IF(AND(B240&lt;&gt;"",COUNTIFS($B$2:$B$601,B240,$C$2:$C$601,C240)&gt;1),"Posible duplicado (mismo número y entidad); ","")&amp;IF(COUNTIF(PARTICIPACIONES!$A$2:$A$601,A240)=0,"Sin participaciones; ","")&amp;IF(SUMIFS(PARTICIPACIONES!$E$2:$E$601,PARTICIPACIONES!$A$2:$A$601,A240)&gt;1.0001,"Las participaciones suman más de 100 %; ",""))</f>
        <v/>
      </c>
    </row>
    <row r="241">
      <c r="J241" s="15" t="n"/>
      <c r="K241" s="15" t="n"/>
      <c r="L241" s="15" t="n"/>
      <c r="N241" s="15" t="n"/>
      <c r="O241" s="16" t="n"/>
      <c r="P241" s="16" t="n"/>
      <c r="Q241" s="16" t="n"/>
      <c r="W241" s="12">
        <f>IF(AND(K241&lt;&gt;"",L241&lt;&gt;""),ROUND((L241-K241)/30.4375,1),"")</f>
        <v/>
      </c>
      <c r="X241" s="12">
        <f>IF(OR(A241="",M241="En ejecución",L241=""),"",YEAR(L241))</f>
        <v/>
      </c>
      <c r="Y241" s="13">
        <f>IF(X241="","",IFERROR(VLOOKUP(X241,SMMLV!$A$2:$B$38,2,FALSE),""))</f>
        <v/>
      </c>
      <c r="Z241" s="17">
        <f>IF(OR(Y241="",P241=""),"",ROUND(P241/Y241,2))</f>
        <v/>
      </c>
      <c r="AA241" s="13">
        <f>IF(Z241="","",ROUND(Z241*SMMLV!$E$4,0))</f>
        <v/>
      </c>
      <c r="AB241" s="13">
        <f>IF(AND(M241="En ejecución",P241&lt;&gt;"",Q241&lt;&gt;""),MAX(P241-Q241,0),"")</f>
        <v/>
      </c>
      <c r="AC241" s="12">
        <f>IF(A241="","",IF(B241="","Falta número de contrato; ","")&amp;IF(C241="","Falta entidad; ","")&amp;IF(E241="","Falta objeto; ","")&amp;IF(F241="","Falta especialidad; ","")&amp;IF(K241="","Falta fecha de inicio (recomendada); ","")&amp;IF(AND(M241&lt;&gt;"En ejecución",L241=""),"Falta fecha de terminación; ","")&amp;IF(AND(K241&lt;&gt;"",L241&lt;&gt;"",L241&lt;K241),"Terminación anterior al inicio; ","")&amp;IF(M241="","Falta estado; ","")&amp;IF(OR(P241="",P241&lt;=0),"Falta valor del contrato; ","")&amp;IF(AND(M241="En ejecución",Q241=""),"En ejecución sin valor ejecutado; ","")&amp;IF(AND(M241="En ejecución",L241&lt;&gt;"",L241&lt;TODAY()),"Dice en ejecución pero su terminación ya pasó; ","")&amp;IF(M241="En ejecución","En ejecución: no acredita experiencia; ","")&amp;IF(AND(M241&lt;&gt;"En ejecución",L241&lt;&gt;"",X241&lt;&gt;"",Y241=""),"El año no está en la hoja SMMLV; ","")&amp;IF(AND(B241&lt;&gt;"",COUNTIFS($B$2:$B$601,B241,$C$2:$C$601,C241)&gt;1),"Posible duplicado (mismo número y entidad); ","")&amp;IF(COUNTIF(PARTICIPACIONES!$A$2:$A$601,A241)=0,"Sin participaciones; ","")&amp;IF(SUMIFS(PARTICIPACIONES!$E$2:$E$601,PARTICIPACIONES!$A$2:$A$601,A241)&gt;1.0001,"Las participaciones suman más de 100 %; ",""))</f>
        <v/>
      </c>
    </row>
    <row r="242">
      <c r="J242" s="15" t="n"/>
      <c r="K242" s="15" t="n"/>
      <c r="L242" s="15" t="n"/>
      <c r="N242" s="15" t="n"/>
      <c r="O242" s="16" t="n"/>
      <c r="P242" s="16" t="n"/>
      <c r="Q242" s="16" t="n"/>
      <c r="W242" s="12">
        <f>IF(AND(K242&lt;&gt;"",L242&lt;&gt;""),ROUND((L242-K242)/30.4375,1),"")</f>
        <v/>
      </c>
      <c r="X242" s="12">
        <f>IF(OR(A242="",M242="En ejecución",L242=""),"",YEAR(L242))</f>
        <v/>
      </c>
      <c r="Y242" s="13">
        <f>IF(X242="","",IFERROR(VLOOKUP(X242,SMMLV!$A$2:$B$38,2,FALSE),""))</f>
        <v/>
      </c>
      <c r="Z242" s="17">
        <f>IF(OR(Y242="",P242=""),"",ROUND(P242/Y242,2))</f>
        <v/>
      </c>
      <c r="AA242" s="13">
        <f>IF(Z242="","",ROUND(Z242*SMMLV!$E$4,0))</f>
        <v/>
      </c>
      <c r="AB242" s="13">
        <f>IF(AND(M242="En ejecución",P242&lt;&gt;"",Q242&lt;&gt;""),MAX(P242-Q242,0),"")</f>
        <v/>
      </c>
      <c r="AC242" s="12">
        <f>IF(A242="","",IF(B242="","Falta número de contrato; ","")&amp;IF(C242="","Falta entidad; ","")&amp;IF(E242="","Falta objeto; ","")&amp;IF(F242="","Falta especialidad; ","")&amp;IF(K242="","Falta fecha de inicio (recomendada); ","")&amp;IF(AND(M242&lt;&gt;"En ejecución",L242=""),"Falta fecha de terminación; ","")&amp;IF(AND(K242&lt;&gt;"",L242&lt;&gt;"",L242&lt;K242),"Terminación anterior al inicio; ","")&amp;IF(M242="","Falta estado; ","")&amp;IF(OR(P242="",P242&lt;=0),"Falta valor del contrato; ","")&amp;IF(AND(M242="En ejecución",Q242=""),"En ejecución sin valor ejecutado; ","")&amp;IF(AND(M242="En ejecución",L242&lt;&gt;"",L242&lt;TODAY()),"Dice en ejecución pero su terminación ya pasó; ","")&amp;IF(M242="En ejecución","En ejecución: no acredita experiencia; ","")&amp;IF(AND(M242&lt;&gt;"En ejecución",L242&lt;&gt;"",X242&lt;&gt;"",Y242=""),"El año no está en la hoja SMMLV; ","")&amp;IF(AND(B242&lt;&gt;"",COUNTIFS($B$2:$B$601,B242,$C$2:$C$601,C242)&gt;1),"Posible duplicado (mismo número y entidad); ","")&amp;IF(COUNTIF(PARTICIPACIONES!$A$2:$A$601,A242)=0,"Sin participaciones; ","")&amp;IF(SUMIFS(PARTICIPACIONES!$E$2:$E$601,PARTICIPACIONES!$A$2:$A$601,A242)&gt;1.0001,"Las participaciones suman más de 100 %; ",""))</f>
        <v/>
      </c>
    </row>
    <row r="243">
      <c r="J243" s="15" t="n"/>
      <c r="K243" s="15" t="n"/>
      <c r="L243" s="15" t="n"/>
      <c r="N243" s="15" t="n"/>
      <c r="O243" s="16" t="n"/>
      <c r="P243" s="16" t="n"/>
      <c r="Q243" s="16" t="n"/>
      <c r="W243" s="12">
        <f>IF(AND(K243&lt;&gt;"",L243&lt;&gt;""),ROUND((L243-K243)/30.4375,1),"")</f>
        <v/>
      </c>
      <c r="X243" s="12">
        <f>IF(OR(A243="",M243="En ejecución",L243=""),"",YEAR(L243))</f>
        <v/>
      </c>
      <c r="Y243" s="13">
        <f>IF(X243="","",IFERROR(VLOOKUP(X243,SMMLV!$A$2:$B$38,2,FALSE),""))</f>
        <v/>
      </c>
      <c r="Z243" s="17">
        <f>IF(OR(Y243="",P243=""),"",ROUND(P243/Y243,2))</f>
        <v/>
      </c>
      <c r="AA243" s="13">
        <f>IF(Z243="","",ROUND(Z243*SMMLV!$E$4,0))</f>
        <v/>
      </c>
      <c r="AB243" s="13">
        <f>IF(AND(M243="En ejecución",P243&lt;&gt;"",Q243&lt;&gt;""),MAX(P243-Q243,0),"")</f>
        <v/>
      </c>
      <c r="AC243" s="12">
        <f>IF(A243="","",IF(B243="","Falta número de contrato; ","")&amp;IF(C243="","Falta entidad; ","")&amp;IF(E243="","Falta objeto; ","")&amp;IF(F243="","Falta especialidad; ","")&amp;IF(K243="","Falta fecha de inicio (recomendada); ","")&amp;IF(AND(M243&lt;&gt;"En ejecución",L243=""),"Falta fecha de terminación; ","")&amp;IF(AND(K243&lt;&gt;"",L243&lt;&gt;"",L243&lt;K243),"Terminación anterior al inicio; ","")&amp;IF(M243="","Falta estado; ","")&amp;IF(OR(P243="",P243&lt;=0),"Falta valor del contrato; ","")&amp;IF(AND(M243="En ejecución",Q243=""),"En ejecución sin valor ejecutado; ","")&amp;IF(AND(M243="En ejecución",L243&lt;&gt;"",L243&lt;TODAY()),"Dice en ejecución pero su terminación ya pasó; ","")&amp;IF(M243="En ejecución","En ejecución: no acredita experiencia; ","")&amp;IF(AND(M243&lt;&gt;"En ejecución",L243&lt;&gt;"",X243&lt;&gt;"",Y243=""),"El año no está en la hoja SMMLV; ","")&amp;IF(AND(B243&lt;&gt;"",COUNTIFS($B$2:$B$601,B243,$C$2:$C$601,C243)&gt;1),"Posible duplicado (mismo número y entidad); ","")&amp;IF(COUNTIF(PARTICIPACIONES!$A$2:$A$601,A243)=0,"Sin participaciones; ","")&amp;IF(SUMIFS(PARTICIPACIONES!$E$2:$E$601,PARTICIPACIONES!$A$2:$A$601,A243)&gt;1.0001,"Las participaciones suman más de 100 %; ",""))</f>
        <v/>
      </c>
    </row>
    <row r="244">
      <c r="J244" s="15" t="n"/>
      <c r="K244" s="15" t="n"/>
      <c r="L244" s="15" t="n"/>
      <c r="N244" s="15" t="n"/>
      <c r="O244" s="16" t="n"/>
      <c r="P244" s="16" t="n"/>
      <c r="Q244" s="16" t="n"/>
      <c r="W244" s="12">
        <f>IF(AND(K244&lt;&gt;"",L244&lt;&gt;""),ROUND((L244-K244)/30.4375,1),"")</f>
        <v/>
      </c>
      <c r="X244" s="12">
        <f>IF(OR(A244="",M244="En ejecución",L244=""),"",YEAR(L244))</f>
        <v/>
      </c>
      <c r="Y244" s="13">
        <f>IF(X244="","",IFERROR(VLOOKUP(X244,SMMLV!$A$2:$B$38,2,FALSE),""))</f>
        <v/>
      </c>
      <c r="Z244" s="17">
        <f>IF(OR(Y244="",P244=""),"",ROUND(P244/Y244,2))</f>
        <v/>
      </c>
      <c r="AA244" s="13">
        <f>IF(Z244="","",ROUND(Z244*SMMLV!$E$4,0))</f>
        <v/>
      </c>
      <c r="AB244" s="13">
        <f>IF(AND(M244="En ejecución",P244&lt;&gt;"",Q244&lt;&gt;""),MAX(P244-Q244,0),"")</f>
        <v/>
      </c>
      <c r="AC244" s="12">
        <f>IF(A244="","",IF(B244="","Falta número de contrato; ","")&amp;IF(C244="","Falta entidad; ","")&amp;IF(E244="","Falta objeto; ","")&amp;IF(F244="","Falta especialidad; ","")&amp;IF(K244="","Falta fecha de inicio (recomendada); ","")&amp;IF(AND(M244&lt;&gt;"En ejecución",L244=""),"Falta fecha de terminación; ","")&amp;IF(AND(K244&lt;&gt;"",L244&lt;&gt;"",L244&lt;K244),"Terminación anterior al inicio; ","")&amp;IF(M244="","Falta estado; ","")&amp;IF(OR(P244="",P244&lt;=0),"Falta valor del contrato; ","")&amp;IF(AND(M244="En ejecución",Q244=""),"En ejecución sin valor ejecutado; ","")&amp;IF(AND(M244="En ejecución",L244&lt;&gt;"",L244&lt;TODAY()),"Dice en ejecución pero su terminación ya pasó; ","")&amp;IF(M244="En ejecución","En ejecución: no acredita experiencia; ","")&amp;IF(AND(M244&lt;&gt;"En ejecución",L244&lt;&gt;"",X244&lt;&gt;"",Y244=""),"El año no está en la hoja SMMLV; ","")&amp;IF(AND(B244&lt;&gt;"",COUNTIFS($B$2:$B$601,B244,$C$2:$C$601,C244)&gt;1),"Posible duplicado (mismo número y entidad); ","")&amp;IF(COUNTIF(PARTICIPACIONES!$A$2:$A$601,A244)=0,"Sin participaciones; ","")&amp;IF(SUMIFS(PARTICIPACIONES!$E$2:$E$601,PARTICIPACIONES!$A$2:$A$601,A244)&gt;1.0001,"Las participaciones suman más de 100 %; ",""))</f>
        <v/>
      </c>
    </row>
    <row r="245">
      <c r="J245" s="15" t="n"/>
      <c r="K245" s="15" t="n"/>
      <c r="L245" s="15" t="n"/>
      <c r="N245" s="15" t="n"/>
      <c r="O245" s="16" t="n"/>
      <c r="P245" s="16" t="n"/>
      <c r="Q245" s="16" t="n"/>
      <c r="W245" s="12">
        <f>IF(AND(K245&lt;&gt;"",L245&lt;&gt;""),ROUND((L245-K245)/30.4375,1),"")</f>
        <v/>
      </c>
      <c r="X245" s="12">
        <f>IF(OR(A245="",M245="En ejecución",L245=""),"",YEAR(L245))</f>
        <v/>
      </c>
      <c r="Y245" s="13">
        <f>IF(X245="","",IFERROR(VLOOKUP(X245,SMMLV!$A$2:$B$38,2,FALSE),""))</f>
        <v/>
      </c>
      <c r="Z245" s="17">
        <f>IF(OR(Y245="",P245=""),"",ROUND(P245/Y245,2))</f>
        <v/>
      </c>
      <c r="AA245" s="13">
        <f>IF(Z245="","",ROUND(Z245*SMMLV!$E$4,0))</f>
        <v/>
      </c>
      <c r="AB245" s="13">
        <f>IF(AND(M245="En ejecución",P245&lt;&gt;"",Q245&lt;&gt;""),MAX(P245-Q245,0),"")</f>
        <v/>
      </c>
      <c r="AC245" s="12">
        <f>IF(A245="","",IF(B245="","Falta número de contrato; ","")&amp;IF(C245="","Falta entidad; ","")&amp;IF(E245="","Falta objeto; ","")&amp;IF(F245="","Falta especialidad; ","")&amp;IF(K245="","Falta fecha de inicio (recomendada); ","")&amp;IF(AND(M245&lt;&gt;"En ejecución",L245=""),"Falta fecha de terminación; ","")&amp;IF(AND(K245&lt;&gt;"",L245&lt;&gt;"",L245&lt;K245),"Terminación anterior al inicio; ","")&amp;IF(M245="","Falta estado; ","")&amp;IF(OR(P245="",P245&lt;=0),"Falta valor del contrato; ","")&amp;IF(AND(M245="En ejecución",Q245=""),"En ejecución sin valor ejecutado; ","")&amp;IF(AND(M245="En ejecución",L245&lt;&gt;"",L245&lt;TODAY()),"Dice en ejecución pero su terminación ya pasó; ","")&amp;IF(M245="En ejecución","En ejecución: no acredita experiencia; ","")&amp;IF(AND(M245&lt;&gt;"En ejecución",L245&lt;&gt;"",X245&lt;&gt;"",Y245=""),"El año no está en la hoja SMMLV; ","")&amp;IF(AND(B245&lt;&gt;"",COUNTIFS($B$2:$B$601,B245,$C$2:$C$601,C245)&gt;1),"Posible duplicado (mismo número y entidad); ","")&amp;IF(COUNTIF(PARTICIPACIONES!$A$2:$A$601,A245)=0,"Sin participaciones; ","")&amp;IF(SUMIFS(PARTICIPACIONES!$E$2:$E$601,PARTICIPACIONES!$A$2:$A$601,A245)&gt;1.0001,"Las participaciones suman más de 100 %; ",""))</f>
        <v/>
      </c>
    </row>
    <row r="246">
      <c r="J246" s="15" t="n"/>
      <c r="K246" s="15" t="n"/>
      <c r="L246" s="15" t="n"/>
      <c r="N246" s="15" t="n"/>
      <c r="O246" s="16" t="n"/>
      <c r="P246" s="16" t="n"/>
      <c r="Q246" s="16" t="n"/>
      <c r="W246" s="12">
        <f>IF(AND(K246&lt;&gt;"",L246&lt;&gt;""),ROUND((L246-K246)/30.4375,1),"")</f>
        <v/>
      </c>
      <c r="X246" s="12">
        <f>IF(OR(A246="",M246="En ejecución",L246=""),"",YEAR(L246))</f>
        <v/>
      </c>
      <c r="Y246" s="13">
        <f>IF(X246="","",IFERROR(VLOOKUP(X246,SMMLV!$A$2:$B$38,2,FALSE),""))</f>
        <v/>
      </c>
      <c r="Z246" s="17">
        <f>IF(OR(Y246="",P246=""),"",ROUND(P246/Y246,2))</f>
        <v/>
      </c>
      <c r="AA246" s="13">
        <f>IF(Z246="","",ROUND(Z246*SMMLV!$E$4,0))</f>
        <v/>
      </c>
      <c r="AB246" s="13">
        <f>IF(AND(M246="En ejecución",P246&lt;&gt;"",Q246&lt;&gt;""),MAX(P246-Q246,0),"")</f>
        <v/>
      </c>
      <c r="AC246" s="12">
        <f>IF(A246="","",IF(B246="","Falta número de contrato; ","")&amp;IF(C246="","Falta entidad; ","")&amp;IF(E246="","Falta objeto; ","")&amp;IF(F246="","Falta especialidad; ","")&amp;IF(K246="","Falta fecha de inicio (recomendada); ","")&amp;IF(AND(M246&lt;&gt;"En ejecución",L246=""),"Falta fecha de terminación; ","")&amp;IF(AND(K246&lt;&gt;"",L246&lt;&gt;"",L246&lt;K246),"Terminación anterior al inicio; ","")&amp;IF(M246="","Falta estado; ","")&amp;IF(OR(P246="",P246&lt;=0),"Falta valor del contrato; ","")&amp;IF(AND(M246="En ejecución",Q246=""),"En ejecución sin valor ejecutado; ","")&amp;IF(AND(M246="En ejecución",L246&lt;&gt;"",L246&lt;TODAY()),"Dice en ejecución pero su terminación ya pasó; ","")&amp;IF(M246="En ejecución","En ejecución: no acredita experiencia; ","")&amp;IF(AND(M246&lt;&gt;"En ejecución",L246&lt;&gt;"",X246&lt;&gt;"",Y246=""),"El año no está en la hoja SMMLV; ","")&amp;IF(AND(B246&lt;&gt;"",COUNTIFS($B$2:$B$601,B246,$C$2:$C$601,C246)&gt;1),"Posible duplicado (mismo número y entidad); ","")&amp;IF(COUNTIF(PARTICIPACIONES!$A$2:$A$601,A246)=0,"Sin participaciones; ","")&amp;IF(SUMIFS(PARTICIPACIONES!$E$2:$E$601,PARTICIPACIONES!$A$2:$A$601,A246)&gt;1.0001,"Las participaciones suman más de 100 %; ",""))</f>
        <v/>
      </c>
    </row>
    <row r="247">
      <c r="J247" s="15" t="n"/>
      <c r="K247" s="15" t="n"/>
      <c r="L247" s="15" t="n"/>
      <c r="N247" s="15" t="n"/>
      <c r="O247" s="16" t="n"/>
      <c r="P247" s="16" t="n"/>
      <c r="Q247" s="16" t="n"/>
      <c r="W247" s="12">
        <f>IF(AND(K247&lt;&gt;"",L247&lt;&gt;""),ROUND((L247-K247)/30.4375,1),"")</f>
        <v/>
      </c>
      <c r="X247" s="12">
        <f>IF(OR(A247="",M247="En ejecución",L247=""),"",YEAR(L247))</f>
        <v/>
      </c>
      <c r="Y247" s="13">
        <f>IF(X247="","",IFERROR(VLOOKUP(X247,SMMLV!$A$2:$B$38,2,FALSE),""))</f>
        <v/>
      </c>
      <c r="Z247" s="17">
        <f>IF(OR(Y247="",P247=""),"",ROUND(P247/Y247,2))</f>
        <v/>
      </c>
      <c r="AA247" s="13">
        <f>IF(Z247="","",ROUND(Z247*SMMLV!$E$4,0))</f>
        <v/>
      </c>
      <c r="AB247" s="13">
        <f>IF(AND(M247="En ejecución",P247&lt;&gt;"",Q247&lt;&gt;""),MAX(P247-Q247,0),"")</f>
        <v/>
      </c>
      <c r="AC247" s="12">
        <f>IF(A247="","",IF(B247="","Falta número de contrato; ","")&amp;IF(C247="","Falta entidad; ","")&amp;IF(E247="","Falta objeto; ","")&amp;IF(F247="","Falta especialidad; ","")&amp;IF(K247="","Falta fecha de inicio (recomendada); ","")&amp;IF(AND(M247&lt;&gt;"En ejecución",L247=""),"Falta fecha de terminación; ","")&amp;IF(AND(K247&lt;&gt;"",L247&lt;&gt;"",L247&lt;K247),"Terminación anterior al inicio; ","")&amp;IF(M247="","Falta estado; ","")&amp;IF(OR(P247="",P247&lt;=0),"Falta valor del contrato; ","")&amp;IF(AND(M247="En ejecución",Q247=""),"En ejecución sin valor ejecutado; ","")&amp;IF(AND(M247="En ejecución",L247&lt;&gt;"",L247&lt;TODAY()),"Dice en ejecución pero su terminación ya pasó; ","")&amp;IF(M247="En ejecución","En ejecución: no acredita experiencia; ","")&amp;IF(AND(M247&lt;&gt;"En ejecución",L247&lt;&gt;"",X247&lt;&gt;"",Y247=""),"El año no está en la hoja SMMLV; ","")&amp;IF(AND(B247&lt;&gt;"",COUNTIFS($B$2:$B$601,B247,$C$2:$C$601,C247)&gt;1),"Posible duplicado (mismo número y entidad); ","")&amp;IF(COUNTIF(PARTICIPACIONES!$A$2:$A$601,A247)=0,"Sin participaciones; ","")&amp;IF(SUMIFS(PARTICIPACIONES!$E$2:$E$601,PARTICIPACIONES!$A$2:$A$601,A247)&gt;1.0001,"Las participaciones suman más de 100 %; ",""))</f>
        <v/>
      </c>
    </row>
    <row r="248">
      <c r="J248" s="15" t="n"/>
      <c r="K248" s="15" t="n"/>
      <c r="L248" s="15" t="n"/>
      <c r="N248" s="15" t="n"/>
      <c r="O248" s="16" t="n"/>
      <c r="P248" s="16" t="n"/>
      <c r="Q248" s="16" t="n"/>
      <c r="W248" s="12">
        <f>IF(AND(K248&lt;&gt;"",L248&lt;&gt;""),ROUND((L248-K248)/30.4375,1),"")</f>
        <v/>
      </c>
      <c r="X248" s="12">
        <f>IF(OR(A248="",M248="En ejecución",L248=""),"",YEAR(L248))</f>
        <v/>
      </c>
      <c r="Y248" s="13">
        <f>IF(X248="","",IFERROR(VLOOKUP(X248,SMMLV!$A$2:$B$38,2,FALSE),""))</f>
        <v/>
      </c>
      <c r="Z248" s="17">
        <f>IF(OR(Y248="",P248=""),"",ROUND(P248/Y248,2))</f>
        <v/>
      </c>
      <c r="AA248" s="13">
        <f>IF(Z248="","",ROUND(Z248*SMMLV!$E$4,0))</f>
        <v/>
      </c>
      <c r="AB248" s="13">
        <f>IF(AND(M248="En ejecución",P248&lt;&gt;"",Q248&lt;&gt;""),MAX(P248-Q248,0),"")</f>
        <v/>
      </c>
      <c r="AC248" s="12">
        <f>IF(A248="","",IF(B248="","Falta número de contrato; ","")&amp;IF(C248="","Falta entidad; ","")&amp;IF(E248="","Falta objeto; ","")&amp;IF(F248="","Falta especialidad; ","")&amp;IF(K248="","Falta fecha de inicio (recomendada); ","")&amp;IF(AND(M248&lt;&gt;"En ejecución",L248=""),"Falta fecha de terminación; ","")&amp;IF(AND(K248&lt;&gt;"",L248&lt;&gt;"",L248&lt;K248),"Terminación anterior al inicio; ","")&amp;IF(M248="","Falta estado; ","")&amp;IF(OR(P248="",P248&lt;=0),"Falta valor del contrato; ","")&amp;IF(AND(M248="En ejecución",Q248=""),"En ejecución sin valor ejecutado; ","")&amp;IF(AND(M248="En ejecución",L248&lt;&gt;"",L248&lt;TODAY()),"Dice en ejecución pero su terminación ya pasó; ","")&amp;IF(M248="En ejecución","En ejecución: no acredita experiencia; ","")&amp;IF(AND(M248&lt;&gt;"En ejecución",L248&lt;&gt;"",X248&lt;&gt;"",Y248=""),"El año no está en la hoja SMMLV; ","")&amp;IF(AND(B248&lt;&gt;"",COUNTIFS($B$2:$B$601,B248,$C$2:$C$601,C248)&gt;1),"Posible duplicado (mismo número y entidad); ","")&amp;IF(COUNTIF(PARTICIPACIONES!$A$2:$A$601,A248)=0,"Sin participaciones; ","")&amp;IF(SUMIFS(PARTICIPACIONES!$E$2:$E$601,PARTICIPACIONES!$A$2:$A$601,A248)&gt;1.0001,"Las participaciones suman más de 100 %; ",""))</f>
        <v/>
      </c>
    </row>
    <row r="249">
      <c r="J249" s="15" t="n"/>
      <c r="K249" s="15" t="n"/>
      <c r="L249" s="15" t="n"/>
      <c r="N249" s="15" t="n"/>
      <c r="O249" s="16" t="n"/>
      <c r="P249" s="16" t="n"/>
      <c r="Q249" s="16" t="n"/>
      <c r="W249" s="12">
        <f>IF(AND(K249&lt;&gt;"",L249&lt;&gt;""),ROUND((L249-K249)/30.4375,1),"")</f>
        <v/>
      </c>
      <c r="X249" s="12">
        <f>IF(OR(A249="",M249="En ejecución",L249=""),"",YEAR(L249))</f>
        <v/>
      </c>
      <c r="Y249" s="13">
        <f>IF(X249="","",IFERROR(VLOOKUP(X249,SMMLV!$A$2:$B$38,2,FALSE),""))</f>
        <v/>
      </c>
      <c r="Z249" s="17">
        <f>IF(OR(Y249="",P249=""),"",ROUND(P249/Y249,2))</f>
        <v/>
      </c>
      <c r="AA249" s="13">
        <f>IF(Z249="","",ROUND(Z249*SMMLV!$E$4,0))</f>
        <v/>
      </c>
      <c r="AB249" s="13">
        <f>IF(AND(M249="En ejecución",P249&lt;&gt;"",Q249&lt;&gt;""),MAX(P249-Q249,0),"")</f>
        <v/>
      </c>
      <c r="AC249" s="12">
        <f>IF(A249="","",IF(B249="","Falta número de contrato; ","")&amp;IF(C249="","Falta entidad; ","")&amp;IF(E249="","Falta objeto; ","")&amp;IF(F249="","Falta especialidad; ","")&amp;IF(K249="","Falta fecha de inicio (recomendada); ","")&amp;IF(AND(M249&lt;&gt;"En ejecución",L249=""),"Falta fecha de terminación; ","")&amp;IF(AND(K249&lt;&gt;"",L249&lt;&gt;"",L249&lt;K249),"Terminación anterior al inicio; ","")&amp;IF(M249="","Falta estado; ","")&amp;IF(OR(P249="",P249&lt;=0),"Falta valor del contrato; ","")&amp;IF(AND(M249="En ejecución",Q249=""),"En ejecución sin valor ejecutado; ","")&amp;IF(AND(M249="En ejecución",L249&lt;&gt;"",L249&lt;TODAY()),"Dice en ejecución pero su terminación ya pasó; ","")&amp;IF(M249="En ejecución","En ejecución: no acredita experiencia; ","")&amp;IF(AND(M249&lt;&gt;"En ejecución",L249&lt;&gt;"",X249&lt;&gt;"",Y249=""),"El año no está en la hoja SMMLV; ","")&amp;IF(AND(B249&lt;&gt;"",COUNTIFS($B$2:$B$601,B249,$C$2:$C$601,C249)&gt;1),"Posible duplicado (mismo número y entidad); ","")&amp;IF(COUNTIF(PARTICIPACIONES!$A$2:$A$601,A249)=0,"Sin participaciones; ","")&amp;IF(SUMIFS(PARTICIPACIONES!$E$2:$E$601,PARTICIPACIONES!$A$2:$A$601,A249)&gt;1.0001,"Las participaciones suman más de 100 %; ",""))</f>
        <v/>
      </c>
    </row>
    <row r="250">
      <c r="J250" s="15" t="n"/>
      <c r="K250" s="15" t="n"/>
      <c r="L250" s="15" t="n"/>
      <c r="N250" s="15" t="n"/>
      <c r="O250" s="16" t="n"/>
      <c r="P250" s="16" t="n"/>
      <c r="Q250" s="16" t="n"/>
      <c r="W250" s="12">
        <f>IF(AND(K250&lt;&gt;"",L250&lt;&gt;""),ROUND((L250-K250)/30.4375,1),"")</f>
        <v/>
      </c>
      <c r="X250" s="12">
        <f>IF(OR(A250="",M250="En ejecución",L250=""),"",YEAR(L250))</f>
        <v/>
      </c>
      <c r="Y250" s="13">
        <f>IF(X250="","",IFERROR(VLOOKUP(X250,SMMLV!$A$2:$B$38,2,FALSE),""))</f>
        <v/>
      </c>
      <c r="Z250" s="17">
        <f>IF(OR(Y250="",P250=""),"",ROUND(P250/Y250,2))</f>
        <v/>
      </c>
      <c r="AA250" s="13">
        <f>IF(Z250="","",ROUND(Z250*SMMLV!$E$4,0))</f>
        <v/>
      </c>
      <c r="AB250" s="13">
        <f>IF(AND(M250="En ejecución",P250&lt;&gt;"",Q250&lt;&gt;""),MAX(P250-Q250,0),"")</f>
        <v/>
      </c>
      <c r="AC250" s="12">
        <f>IF(A250="","",IF(B250="","Falta número de contrato; ","")&amp;IF(C250="","Falta entidad; ","")&amp;IF(E250="","Falta objeto; ","")&amp;IF(F250="","Falta especialidad; ","")&amp;IF(K250="","Falta fecha de inicio (recomendada); ","")&amp;IF(AND(M250&lt;&gt;"En ejecución",L250=""),"Falta fecha de terminación; ","")&amp;IF(AND(K250&lt;&gt;"",L250&lt;&gt;"",L250&lt;K250),"Terminación anterior al inicio; ","")&amp;IF(M250="","Falta estado; ","")&amp;IF(OR(P250="",P250&lt;=0),"Falta valor del contrato; ","")&amp;IF(AND(M250="En ejecución",Q250=""),"En ejecución sin valor ejecutado; ","")&amp;IF(AND(M250="En ejecución",L250&lt;&gt;"",L250&lt;TODAY()),"Dice en ejecución pero su terminación ya pasó; ","")&amp;IF(M250="En ejecución","En ejecución: no acredita experiencia; ","")&amp;IF(AND(M250&lt;&gt;"En ejecución",L250&lt;&gt;"",X250&lt;&gt;"",Y250=""),"El año no está en la hoja SMMLV; ","")&amp;IF(AND(B250&lt;&gt;"",COUNTIFS($B$2:$B$601,B250,$C$2:$C$601,C250)&gt;1),"Posible duplicado (mismo número y entidad); ","")&amp;IF(COUNTIF(PARTICIPACIONES!$A$2:$A$601,A250)=0,"Sin participaciones; ","")&amp;IF(SUMIFS(PARTICIPACIONES!$E$2:$E$601,PARTICIPACIONES!$A$2:$A$601,A250)&gt;1.0001,"Las participaciones suman más de 100 %; ",""))</f>
        <v/>
      </c>
    </row>
    <row r="251">
      <c r="J251" s="15" t="n"/>
      <c r="K251" s="15" t="n"/>
      <c r="L251" s="15" t="n"/>
      <c r="N251" s="15" t="n"/>
      <c r="O251" s="16" t="n"/>
      <c r="P251" s="16" t="n"/>
      <c r="Q251" s="16" t="n"/>
      <c r="W251" s="12">
        <f>IF(AND(K251&lt;&gt;"",L251&lt;&gt;""),ROUND((L251-K251)/30.4375,1),"")</f>
        <v/>
      </c>
      <c r="X251" s="12">
        <f>IF(OR(A251="",M251="En ejecución",L251=""),"",YEAR(L251))</f>
        <v/>
      </c>
      <c r="Y251" s="13">
        <f>IF(X251="","",IFERROR(VLOOKUP(X251,SMMLV!$A$2:$B$38,2,FALSE),""))</f>
        <v/>
      </c>
      <c r="Z251" s="17">
        <f>IF(OR(Y251="",P251=""),"",ROUND(P251/Y251,2))</f>
        <v/>
      </c>
      <c r="AA251" s="13">
        <f>IF(Z251="","",ROUND(Z251*SMMLV!$E$4,0))</f>
        <v/>
      </c>
      <c r="AB251" s="13">
        <f>IF(AND(M251="En ejecución",P251&lt;&gt;"",Q251&lt;&gt;""),MAX(P251-Q251,0),"")</f>
        <v/>
      </c>
      <c r="AC251" s="12">
        <f>IF(A251="","",IF(B251="","Falta número de contrato; ","")&amp;IF(C251="","Falta entidad; ","")&amp;IF(E251="","Falta objeto; ","")&amp;IF(F251="","Falta especialidad; ","")&amp;IF(K251="","Falta fecha de inicio (recomendada); ","")&amp;IF(AND(M251&lt;&gt;"En ejecución",L251=""),"Falta fecha de terminación; ","")&amp;IF(AND(K251&lt;&gt;"",L251&lt;&gt;"",L251&lt;K251),"Terminación anterior al inicio; ","")&amp;IF(M251="","Falta estado; ","")&amp;IF(OR(P251="",P251&lt;=0),"Falta valor del contrato; ","")&amp;IF(AND(M251="En ejecución",Q251=""),"En ejecución sin valor ejecutado; ","")&amp;IF(AND(M251="En ejecución",L251&lt;&gt;"",L251&lt;TODAY()),"Dice en ejecución pero su terminación ya pasó; ","")&amp;IF(M251="En ejecución","En ejecución: no acredita experiencia; ","")&amp;IF(AND(M251&lt;&gt;"En ejecución",L251&lt;&gt;"",X251&lt;&gt;"",Y251=""),"El año no está en la hoja SMMLV; ","")&amp;IF(AND(B251&lt;&gt;"",COUNTIFS($B$2:$B$601,B251,$C$2:$C$601,C251)&gt;1),"Posible duplicado (mismo número y entidad); ","")&amp;IF(COUNTIF(PARTICIPACIONES!$A$2:$A$601,A251)=0,"Sin participaciones; ","")&amp;IF(SUMIFS(PARTICIPACIONES!$E$2:$E$601,PARTICIPACIONES!$A$2:$A$601,A251)&gt;1.0001,"Las participaciones suman más de 100 %; ",""))</f>
        <v/>
      </c>
    </row>
    <row r="252">
      <c r="J252" s="15" t="n"/>
      <c r="K252" s="15" t="n"/>
      <c r="L252" s="15" t="n"/>
      <c r="N252" s="15" t="n"/>
      <c r="O252" s="16" t="n"/>
      <c r="P252" s="16" t="n"/>
      <c r="Q252" s="16" t="n"/>
      <c r="W252" s="12">
        <f>IF(AND(K252&lt;&gt;"",L252&lt;&gt;""),ROUND((L252-K252)/30.4375,1),"")</f>
        <v/>
      </c>
      <c r="X252" s="12">
        <f>IF(OR(A252="",M252="En ejecución",L252=""),"",YEAR(L252))</f>
        <v/>
      </c>
      <c r="Y252" s="13">
        <f>IF(X252="","",IFERROR(VLOOKUP(X252,SMMLV!$A$2:$B$38,2,FALSE),""))</f>
        <v/>
      </c>
      <c r="Z252" s="17">
        <f>IF(OR(Y252="",P252=""),"",ROUND(P252/Y252,2))</f>
        <v/>
      </c>
      <c r="AA252" s="13">
        <f>IF(Z252="","",ROUND(Z252*SMMLV!$E$4,0))</f>
        <v/>
      </c>
      <c r="AB252" s="13">
        <f>IF(AND(M252="En ejecución",P252&lt;&gt;"",Q252&lt;&gt;""),MAX(P252-Q252,0),"")</f>
        <v/>
      </c>
      <c r="AC252" s="12">
        <f>IF(A252="","",IF(B252="","Falta número de contrato; ","")&amp;IF(C252="","Falta entidad; ","")&amp;IF(E252="","Falta objeto; ","")&amp;IF(F252="","Falta especialidad; ","")&amp;IF(K252="","Falta fecha de inicio (recomendada); ","")&amp;IF(AND(M252&lt;&gt;"En ejecución",L252=""),"Falta fecha de terminación; ","")&amp;IF(AND(K252&lt;&gt;"",L252&lt;&gt;"",L252&lt;K252),"Terminación anterior al inicio; ","")&amp;IF(M252="","Falta estado; ","")&amp;IF(OR(P252="",P252&lt;=0),"Falta valor del contrato; ","")&amp;IF(AND(M252="En ejecución",Q252=""),"En ejecución sin valor ejecutado; ","")&amp;IF(AND(M252="En ejecución",L252&lt;&gt;"",L252&lt;TODAY()),"Dice en ejecución pero su terminación ya pasó; ","")&amp;IF(M252="En ejecución","En ejecución: no acredita experiencia; ","")&amp;IF(AND(M252&lt;&gt;"En ejecución",L252&lt;&gt;"",X252&lt;&gt;"",Y252=""),"El año no está en la hoja SMMLV; ","")&amp;IF(AND(B252&lt;&gt;"",COUNTIFS($B$2:$B$601,B252,$C$2:$C$601,C252)&gt;1),"Posible duplicado (mismo número y entidad); ","")&amp;IF(COUNTIF(PARTICIPACIONES!$A$2:$A$601,A252)=0,"Sin participaciones; ","")&amp;IF(SUMIFS(PARTICIPACIONES!$E$2:$E$601,PARTICIPACIONES!$A$2:$A$601,A252)&gt;1.0001,"Las participaciones suman más de 100 %; ",""))</f>
        <v/>
      </c>
    </row>
    <row r="253">
      <c r="J253" s="15" t="n"/>
      <c r="K253" s="15" t="n"/>
      <c r="L253" s="15" t="n"/>
      <c r="N253" s="15" t="n"/>
      <c r="O253" s="16" t="n"/>
      <c r="P253" s="16" t="n"/>
      <c r="Q253" s="16" t="n"/>
      <c r="W253" s="12">
        <f>IF(AND(K253&lt;&gt;"",L253&lt;&gt;""),ROUND((L253-K253)/30.4375,1),"")</f>
        <v/>
      </c>
      <c r="X253" s="12">
        <f>IF(OR(A253="",M253="En ejecución",L253=""),"",YEAR(L253))</f>
        <v/>
      </c>
      <c r="Y253" s="13">
        <f>IF(X253="","",IFERROR(VLOOKUP(X253,SMMLV!$A$2:$B$38,2,FALSE),""))</f>
        <v/>
      </c>
      <c r="Z253" s="17">
        <f>IF(OR(Y253="",P253=""),"",ROUND(P253/Y253,2))</f>
        <v/>
      </c>
      <c r="AA253" s="13">
        <f>IF(Z253="","",ROUND(Z253*SMMLV!$E$4,0))</f>
        <v/>
      </c>
      <c r="AB253" s="13">
        <f>IF(AND(M253="En ejecución",P253&lt;&gt;"",Q253&lt;&gt;""),MAX(P253-Q253,0),"")</f>
        <v/>
      </c>
      <c r="AC253" s="12">
        <f>IF(A253="","",IF(B253="","Falta número de contrato; ","")&amp;IF(C253="","Falta entidad; ","")&amp;IF(E253="","Falta objeto; ","")&amp;IF(F253="","Falta especialidad; ","")&amp;IF(K253="","Falta fecha de inicio (recomendada); ","")&amp;IF(AND(M253&lt;&gt;"En ejecución",L253=""),"Falta fecha de terminación; ","")&amp;IF(AND(K253&lt;&gt;"",L253&lt;&gt;"",L253&lt;K253),"Terminación anterior al inicio; ","")&amp;IF(M253="","Falta estado; ","")&amp;IF(OR(P253="",P253&lt;=0),"Falta valor del contrato; ","")&amp;IF(AND(M253="En ejecución",Q253=""),"En ejecución sin valor ejecutado; ","")&amp;IF(AND(M253="En ejecución",L253&lt;&gt;"",L253&lt;TODAY()),"Dice en ejecución pero su terminación ya pasó; ","")&amp;IF(M253="En ejecución","En ejecución: no acredita experiencia; ","")&amp;IF(AND(M253&lt;&gt;"En ejecución",L253&lt;&gt;"",X253&lt;&gt;"",Y253=""),"El año no está en la hoja SMMLV; ","")&amp;IF(AND(B253&lt;&gt;"",COUNTIFS($B$2:$B$601,B253,$C$2:$C$601,C253)&gt;1),"Posible duplicado (mismo número y entidad); ","")&amp;IF(COUNTIF(PARTICIPACIONES!$A$2:$A$601,A253)=0,"Sin participaciones; ","")&amp;IF(SUMIFS(PARTICIPACIONES!$E$2:$E$601,PARTICIPACIONES!$A$2:$A$601,A253)&gt;1.0001,"Las participaciones suman más de 100 %; ",""))</f>
        <v/>
      </c>
    </row>
    <row r="254">
      <c r="J254" s="15" t="n"/>
      <c r="K254" s="15" t="n"/>
      <c r="L254" s="15" t="n"/>
      <c r="N254" s="15" t="n"/>
      <c r="O254" s="16" t="n"/>
      <c r="P254" s="16" t="n"/>
      <c r="Q254" s="16" t="n"/>
      <c r="W254" s="12">
        <f>IF(AND(K254&lt;&gt;"",L254&lt;&gt;""),ROUND((L254-K254)/30.4375,1),"")</f>
        <v/>
      </c>
      <c r="X254" s="12">
        <f>IF(OR(A254="",M254="En ejecución",L254=""),"",YEAR(L254))</f>
        <v/>
      </c>
      <c r="Y254" s="13">
        <f>IF(X254="","",IFERROR(VLOOKUP(X254,SMMLV!$A$2:$B$38,2,FALSE),""))</f>
        <v/>
      </c>
      <c r="Z254" s="17">
        <f>IF(OR(Y254="",P254=""),"",ROUND(P254/Y254,2))</f>
        <v/>
      </c>
      <c r="AA254" s="13">
        <f>IF(Z254="","",ROUND(Z254*SMMLV!$E$4,0))</f>
        <v/>
      </c>
      <c r="AB254" s="13">
        <f>IF(AND(M254="En ejecución",P254&lt;&gt;"",Q254&lt;&gt;""),MAX(P254-Q254,0),"")</f>
        <v/>
      </c>
      <c r="AC254" s="12">
        <f>IF(A254="","",IF(B254="","Falta número de contrato; ","")&amp;IF(C254="","Falta entidad; ","")&amp;IF(E254="","Falta objeto; ","")&amp;IF(F254="","Falta especialidad; ","")&amp;IF(K254="","Falta fecha de inicio (recomendada); ","")&amp;IF(AND(M254&lt;&gt;"En ejecución",L254=""),"Falta fecha de terminación; ","")&amp;IF(AND(K254&lt;&gt;"",L254&lt;&gt;"",L254&lt;K254),"Terminación anterior al inicio; ","")&amp;IF(M254="","Falta estado; ","")&amp;IF(OR(P254="",P254&lt;=0),"Falta valor del contrato; ","")&amp;IF(AND(M254="En ejecución",Q254=""),"En ejecución sin valor ejecutado; ","")&amp;IF(AND(M254="En ejecución",L254&lt;&gt;"",L254&lt;TODAY()),"Dice en ejecución pero su terminación ya pasó; ","")&amp;IF(M254="En ejecución","En ejecución: no acredita experiencia; ","")&amp;IF(AND(M254&lt;&gt;"En ejecución",L254&lt;&gt;"",X254&lt;&gt;"",Y254=""),"El año no está en la hoja SMMLV; ","")&amp;IF(AND(B254&lt;&gt;"",COUNTIFS($B$2:$B$601,B254,$C$2:$C$601,C254)&gt;1),"Posible duplicado (mismo número y entidad); ","")&amp;IF(COUNTIF(PARTICIPACIONES!$A$2:$A$601,A254)=0,"Sin participaciones; ","")&amp;IF(SUMIFS(PARTICIPACIONES!$E$2:$E$601,PARTICIPACIONES!$A$2:$A$601,A254)&gt;1.0001,"Las participaciones suman más de 100 %; ",""))</f>
        <v/>
      </c>
    </row>
    <row r="255">
      <c r="J255" s="15" t="n"/>
      <c r="K255" s="15" t="n"/>
      <c r="L255" s="15" t="n"/>
      <c r="N255" s="15" t="n"/>
      <c r="O255" s="16" t="n"/>
      <c r="P255" s="16" t="n"/>
      <c r="Q255" s="16" t="n"/>
      <c r="W255" s="12">
        <f>IF(AND(K255&lt;&gt;"",L255&lt;&gt;""),ROUND((L255-K255)/30.4375,1),"")</f>
        <v/>
      </c>
      <c r="X255" s="12">
        <f>IF(OR(A255="",M255="En ejecución",L255=""),"",YEAR(L255))</f>
        <v/>
      </c>
      <c r="Y255" s="13">
        <f>IF(X255="","",IFERROR(VLOOKUP(X255,SMMLV!$A$2:$B$38,2,FALSE),""))</f>
        <v/>
      </c>
      <c r="Z255" s="17">
        <f>IF(OR(Y255="",P255=""),"",ROUND(P255/Y255,2))</f>
        <v/>
      </c>
      <c r="AA255" s="13">
        <f>IF(Z255="","",ROUND(Z255*SMMLV!$E$4,0))</f>
        <v/>
      </c>
      <c r="AB255" s="13">
        <f>IF(AND(M255="En ejecución",P255&lt;&gt;"",Q255&lt;&gt;""),MAX(P255-Q255,0),"")</f>
        <v/>
      </c>
      <c r="AC255" s="12">
        <f>IF(A255="","",IF(B255="","Falta número de contrato; ","")&amp;IF(C255="","Falta entidad; ","")&amp;IF(E255="","Falta objeto; ","")&amp;IF(F255="","Falta especialidad; ","")&amp;IF(K255="","Falta fecha de inicio (recomendada); ","")&amp;IF(AND(M255&lt;&gt;"En ejecución",L255=""),"Falta fecha de terminación; ","")&amp;IF(AND(K255&lt;&gt;"",L255&lt;&gt;"",L255&lt;K255),"Terminación anterior al inicio; ","")&amp;IF(M255="","Falta estado; ","")&amp;IF(OR(P255="",P255&lt;=0),"Falta valor del contrato; ","")&amp;IF(AND(M255="En ejecución",Q255=""),"En ejecución sin valor ejecutado; ","")&amp;IF(AND(M255="En ejecución",L255&lt;&gt;"",L255&lt;TODAY()),"Dice en ejecución pero su terminación ya pasó; ","")&amp;IF(M255="En ejecución","En ejecución: no acredita experiencia; ","")&amp;IF(AND(M255&lt;&gt;"En ejecución",L255&lt;&gt;"",X255&lt;&gt;"",Y255=""),"El año no está en la hoja SMMLV; ","")&amp;IF(AND(B255&lt;&gt;"",COUNTIFS($B$2:$B$601,B255,$C$2:$C$601,C255)&gt;1),"Posible duplicado (mismo número y entidad); ","")&amp;IF(COUNTIF(PARTICIPACIONES!$A$2:$A$601,A255)=0,"Sin participaciones; ","")&amp;IF(SUMIFS(PARTICIPACIONES!$E$2:$E$601,PARTICIPACIONES!$A$2:$A$601,A255)&gt;1.0001,"Las participaciones suman más de 100 %; ",""))</f>
        <v/>
      </c>
    </row>
    <row r="256">
      <c r="J256" s="15" t="n"/>
      <c r="K256" s="15" t="n"/>
      <c r="L256" s="15" t="n"/>
      <c r="N256" s="15" t="n"/>
      <c r="O256" s="16" t="n"/>
      <c r="P256" s="16" t="n"/>
      <c r="Q256" s="16" t="n"/>
      <c r="W256" s="12">
        <f>IF(AND(K256&lt;&gt;"",L256&lt;&gt;""),ROUND((L256-K256)/30.4375,1),"")</f>
        <v/>
      </c>
      <c r="X256" s="12">
        <f>IF(OR(A256="",M256="En ejecución",L256=""),"",YEAR(L256))</f>
        <v/>
      </c>
      <c r="Y256" s="13">
        <f>IF(X256="","",IFERROR(VLOOKUP(X256,SMMLV!$A$2:$B$38,2,FALSE),""))</f>
        <v/>
      </c>
      <c r="Z256" s="17">
        <f>IF(OR(Y256="",P256=""),"",ROUND(P256/Y256,2))</f>
        <v/>
      </c>
      <c r="AA256" s="13">
        <f>IF(Z256="","",ROUND(Z256*SMMLV!$E$4,0))</f>
        <v/>
      </c>
      <c r="AB256" s="13">
        <f>IF(AND(M256="En ejecución",P256&lt;&gt;"",Q256&lt;&gt;""),MAX(P256-Q256,0),"")</f>
        <v/>
      </c>
      <c r="AC256" s="12">
        <f>IF(A256="","",IF(B256="","Falta número de contrato; ","")&amp;IF(C256="","Falta entidad; ","")&amp;IF(E256="","Falta objeto; ","")&amp;IF(F256="","Falta especialidad; ","")&amp;IF(K256="","Falta fecha de inicio (recomendada); ","")&amp;IF(AND(M256&lt;&gt;"En ejecución",L256=""),"Falta fecha de terminación; ","")&amp;IF(AND(K256&lt;&gt;"",L256&lt;&gt;"",L256&lt;K256),"Terminación anterior al inicio; ","")&amp;IF(M256="","Falta estado; ","")&amp;IF(OR(P256="",P256&lt;=0),"Falta valor del contrato; ","")&amp;IF(AND(M256="En ejecución",Q256=""),"En ejecución sin valor ejecutado; ","")&amp;IF(AND(M256="En ejecución",L256&lt;&gt;"",L256&lt;TODAY()),"Dice en ejecución pero su terminación ya pasó; ","")&amp;IF(M256="En ejecución","En ejecución: no acredita experiencia; ","")&amp;IF(AND(M256&lt;&gt;"En ejecución",L256&lt;&gt;"",X256&lt;&gt;"",Y256=""),"El año no está en la hoja SMMLV; ","")&amp;IF(AND(B256&lt;&gt;"",COUNTIFS($B$2:$B$601,B256,$C$2:$C$601,C256)&gt;1),"Posible duplicado (mismo número y entidad); ","")&amp;IF(COUNTIF(PARTICIPACIONES!$A$2:$A$601,A256)=0,"Sin participaciones; ","")&amp;IF(SUMIFS(PARTICIPACIONES!$E$2:$E$601,PARTICIPACIONES!$A$2:$A$601,A256)&gt;1.0001,"Las participaciones suman más de 100 %; ",""))</f>
        <v/>
      </c>
    </row>
    <row r="257">
      <c r="J257" s="15" t="n"/>
      <c r="K257" s="15" t="n"/>
      <c r="L257" s="15" t="n"/>
      <c r="N257" s="15" t="n"/>
      <c r="O257" s="16" t="n"/>
      <c r="P257" s="16" t="n"/>
      <c r="Q257" s="16" t="n"/>
      <c r="W257" s="12">
        <f>IF(AND(K257&lt;&gt;"",L257&lt;&gt;""),ROUND((L257-K257)/30.4375,1),"")</f>
        <v/>
      </c>
      <c r="X257" s="12">
        <f>IF(OR(A257="",M257="En ejecución",L257=""),"",YEAR(L257))</f>
        <v/>
      </c>
      <c r="Y257" s="13">
        <f>IF(X257="","",IFERROR(VLOOKUP(X257,SMMLV!$A$2:$B$38,2,FALSE),""))</f>
        <v/>
      </c>
      <c r="Z257" s="17">
        <f>IF(OR(Y257="",P257=""),"",ROUND(P257/Y257,2))</f>
        <v/>
      </c>
      <c r="AA257" s="13">
        <f>IF(Z257="","",ROUND(Z257*SMMLV!$E$4,0))</f>
        <v/>
      </c>
      <c r="AB257" s="13">
        <f>IF(AND(M257="En ejecución",P257&lt;&gt;"",Q257&lt;&gt;""),MAX(P257-Q257,0),"")</f>
        <v/>
      </c>
      <c r="AC257" s="12">
        <f>IF(A257="","",IF(B257="","Falta número de contrato; ","")&amp;IF(C257="","Falta entidad; ","")&amp;IF(E257="","Falta objeto; ","")&amp;IF(F257="","Falta especialidad; ","")&amp;IF(K257="","Falta fecha de inicio (recomendada); ","")&amp;IF(AND(M257&lt;&gt;"En ejecución",L257=""),"Falta fecha de terminación; ","")&amp;IF(AND(K257&lt;&gt;"",L257&lt;&gt;"",L257&lt;K257),"Terminación anterior al inicio; ","")&amp;IF(M257="","Falta estado; ","")&amp;IF(OR(P257="",P257&lt;=0),"Falta valor del contrato; ","")&amp;IF(AND(M257="En ejecución",Q257=""),"En ejecución sin valor ejecutado; ","")&amp;IF(AND(M257="En ejecución",L257&lt;&gt;"",L257&lt;TODAY()),"Dice en ejecución pero su terminación ya pasó; ","")&amp;IF(M257="En ejecución","En ejecución: no acredita experiencia; ","")&amp;IF(AND(M257&lt;&gt;"En ejecución",L257&lt;&gt;"",X257&lt;&gt;"",Y257=""),"El año no está en la hoja SMMLV; ","")&amp;IF(AND(B257&lt;&gt;"",COUNTIFS($B$2:$B$601,B257,$C$2:$C$601,C257)&gt;1),"Posible duplicado (mismo número y entidad); ","")&amp;IF(COUNTIF(PARTICIPACIONES!$A$2:$A$601,A257)=0,"Sin participaciones; ","")&amp;IF(SUMIFS(PARTICIPACIONES!$E$2:$E$601,PARTICIPACIONES!$A$2:$A$601,A257)&gt;1.0001,"Las participaciones suman más de 100 %; ",""))</f>
        <v/>
      </c>
    </row>
    <row r="258">
      <c r="J258" s="15" t="n"/>
      <c r="K258" s="15" t="n"/>
      <c r="L258" s="15" t="n"/>
      <c r="N258" s="15" t="n"/>
      <c r="O258" s="16" t="n"/>
      <c r="P258" s="16" t="n"/>
      <c r="Q258" s="16" t="n"/>
      <c r="W258" s="12">
        <f>IF(AND(K258&lt;&gt;"",L258&lt;&gt;""),ROUND((L258-K258)/30.4375,1),"")</f>
        <v/>
      </c>
      <c r="X258" s="12">
        <f>IF(OR(A258="",M258="En ejecución",L258=""),"",YEAR(L258))</f>
        <v/>
      </c>
      <c r="Y258" s="13">
        <f>IF(X258="","",IFERROR(VLOOKUP(X258,SMMLV!$A$2:$B$38,2,FALSE),""))</f>
        <v/>
      </c>
      <c r="Z258" s="17">
        <f>IF(OR(Y258="",P258=""),"",ROUND(P258/Y258,2))</f>
        <v/>
      </c>
      <c r="AA258" s="13">
        <f>IF(Z258="","",ROUND(Z258*SMMLV!$E$4,0))</f>
        <v/>
      </c>
      <c r="AB258" s="13">
        <f>IF(AND(M258="En ejecución",P258&lt;&gt;"",Q258&lt;&gt;""),MAX(P258-Q258,0),"")</f>
        <v/>
      </c>
      <c r="AC258" s="12">
        <f>IF(A258="","",IF(B258="","Falta número de contrato; ","")&amp;IF(C258="","Falta entidad; ","")&amp;IF(E258="","Falta objeto; ","")&amp;IF(F258="","Falta especialidad; ","")&amp;IF(K258="","Falta fecha de inicio (recomendada); ","")&amp;IF(AND(M258&lt;&gt;"En ejecución",L258=""),"Falta fecha de terminación; ","")&amp;IF(AND(K258&lt;&gt;"",L258&lt;&gt;"",L258&lt;K258),"Terminación anterior al inicio; ","")&amp;IF(M258="","Falta estado; ","")&amp;IF(OR(P258="",P258&lt;=0),"Falta valor del contrato; ","")&amp;IF(AND(M258="En ejecución",Q258=""),"En ejecución sin valor ejecutado; ","")&amp;IF(AND(M258="En ejecución",L258&lt;&gt;"",L258&lt;TODAY()),"Dice en ejecución pero su terminación ya pasó; ","")&amp;IF(M258="En ejecución","En ejecución: no acredita experiencia; ","")&amp;IF(AND(M258&lt;&gt;"En ejecución",L258&lt;&gt;"",X258&lt;&gt;"",Y258=""),"El año no está en la hoja SMMLV; ","")&amp;IF(AND(B258&lt;&gt;"",COUNTIFS($B$2:$B$601,B258,$C$2:$C$601,C258)&gt;1),"Posible duplicado (mismo número y entidad); ","")&amp;IF(COUNTIF(PARTICIPACIONES!$A$2:$A$601,A258)=0,"Sin participaciones; ","")&amp;IF(SUMIFS(PARTICIPACIONES!$E$2:$E$601,PARTICIPACIONES!$A$2:$A$601,A258)&gt;1.0001,"Las participaciones suman más de 100 %; ",""))</f>
        <v/>
      </c>
    </row>
    <row r="259">
      <c r="J259" s="15" t="n"/>
      <c r="K259" s="15" t="n"/>
      <c r="L259" s="15" t="n"/>
      <c r="N259" s="15" t="n"/>
      <c r="O259" s="16" t="n"/>
      <c r="P259" s="16" t="n"/>
      <c r="Q259" s="16" t="n"/>
      <c r="W259" s="12">
        <f>IF(AND(K259&lt;&gt;"",L259&lt;&gt;""),ROUND((L259-K259)/30.4375,1),"")</f>
        <v/>
      </c>
      <c r="X259" s="12">
        <f>IF(OR(A259="",M259="En ejecución",L259=""),"",YEAR(L259))</f>
        <v/>
      </c>
      <c r="Y259" s="13">
        <f>IF(X259="","",IFERROR(VLOOKUP(X259,SMMLV!$A$2:$B$38,2,FALSE),""))</f>
        <v/>
      </c>
      <c r="Z259" s="17">
        <f>IF(OR(Y259="",P259=""),"",ROUND(P259/Y259,2))</f>
        <v/>
      </c>
      <c r="AA259" s="13">
        <f>IF(Z259="","",ROUND(Z259*SMMLV!$E$4,0))</f>
        <v/>
      </c>
      <c r="AB259" s="13">
        <f>IF(AND(M259="En ejecución",P259&lt;&gt;"",Q259&lt;&gt;""),MAX(P259-Q259,0),"")</f>
        <v/>
      </c>
      <c r="AC259" s="12">
        <f>IF(A259="","",IF(B259="","Falta número de contrato; ","")&amp;IF(C259="","Falta entidad; ","")&amp;IF(E259="","Falta objeto; ","")&amp;IF(F259="","Falta especialidad; ","")&amp;IF(K259="","Falta fecha de inicio (recomendada); ","")&amp;IF(AND(M259&lt;&gt;"En ejecución",L259=""),"Falta fecha de terminación; ","")&amp;IF(AND(K259&lt;&gt;"",L259&lt;&gt;"",L259&lt;K259),"Terminación anterior al inicio; ","")&amp;IF(M259="","Falta estado; ","")&amp;IF(OR(P259="",P259&lt;=0),"Falta valor del contrato; ","")&amp;IF(AND(M259="En ejecución",Q259=""),"En ejecución sin valor ejecutado; ","")&amp;IF(AND(M259="En ejecución",L259&lt;&gt;"",L259&lt;TODAY()),"Dice en ejecución pero su terminación ya pasó; ","")&amp;IF(M259="En ejecución","En ejecución: no acredita experiencia; ","")&amp;IF(AND(M259&lt;&gt;"En ejecución",L259&lt;&gt;"",X259&lt;&gt;"",Y259=""),"El año no está en la hoja SMMLV; ","")&amp;IF(AND(B259&lt;&gt;"",COUNTIFS($B$2:$B$601,B259,$C$2:$C$601,C259)&gt;1),"Posible duplicado (mismo número y entidad); ","")&amp;IF(COUNTIF(PARTICIPACIONES!$A$2:$A$601,A259)=0,"Sin participaciones; ","")&amp;IF(SUMIFS(PARTICIPACIONES!$E$2:$E$601,PARTICIPACIONES!$A$2:$A$601,A259)&gt;1.0001,"Las participaciones suman más de 100 %; ",""))</f>
        <v/>
      </c>
    </row>
    <row r="260">
      <c r="J260" s="15" t="n"/>
      <c r="K260" s="15" t="n"/>
      <c r="L260" s="15" t="n"/>
      <c r="N260" s="15" t="n"/>
      <c r="O260" s="16" t="n"/>
      <c r="P260" s="16" t="n"/>
      <c r="Q260" s="16" t="n"/>
      <c r="W260" s="12">
        <f>IF(AND(K260&lt;&gt;"",L260&lt;&gt;""),ROUND((L260-K260)/30.4375,1),"")</f>
        <v/>
      </c>
      <c r="X260" s="12">
        <f>IF(OR(A260="",M260="En ejecución",L260=""),"",YEAR(L260))</f>
        <v/>
      </c>
      <c r="Y260" s="13">
        <f>IF(X260="","",IFERROR(VLOOKUP(X260,SMMLV!$A$2:$B$38,2,FALSE),""))</f>
        <v/>
      </c>
      <c r="Z260" s="17">
        <f>IF(OR(Y260="",P260=""),"",ROUND(P260/Y260,2))</f>
        <v/>
      </c>
      <c r="AA260" s="13">
        <f>IF(Z260="","",ROUND(Z260*SMMLV!$E$4,0))</f>
        <v/>
      </c>
      <c r="AB260" s="13">
        <f>IF(AND(M260="En ejecución",P260&lt;&gt;"",Q260&lt;&gt;""),MAX(P260-Q260,0),"")</f>
        <v/>
      </c>
      <c r="AC260" s="12">
        <f>IF(A260="","",IF(B260="","Falta número de contrato; ","")&amp;IF(C260="","Falta entidad; ","")&amp;IF(E260="","Falta objeto; ","")&amp;IF(F260="","Falta especialidad; ","")&amp;IF(K260="","Falta fecha de inicio (recomendada); ","")&amp;IF(AND(M260&lt;&gt;"En ejecución",L260=""),"Falta fecha de terminación; ","")&amp;IF(AND(K260&lt;&gt;"",L260&lt;&gt;"",L260&lt;K260),"Terminación anterior al inicio; ","")&amp;IF(M260="","Falta estado; ","")&amp;IF(OR(P260="",P260&lt;=0),"Falta valor del contrato; ","")&amp;IF(AND(M260="En ejecución",Q260=""),"En ejecución sin valor ejecutado; ","")&amp;IF(AND(M260="En ejecución",L260&lt;&gt;"",L260&lt;TODAY()),"Dice en ejecución pero su terminación ya pasó; ","")&amp;IF(M260="En ejecución","En ejecución: no acredita experiencia; ","")&amp;IF(AND(M260&lt;&gt;"En ejecución",L260&lt;&gt;"",X260&lt;&gt;"",Y260=""),"El año no está en la hoja SMMLV; ","")&amp;IF(AND(B260&lt;&gt;"",COUNTIFS($B$2:$B$601,B260,$C$2:$C$601,C260)&gt;1),"Posible duplicado (mismo número y entidad); ","")&amp;IF(COUNTIF(PARTICIPACIONES!$A$2:$A$601,A260)=0,"Sin participaciones; ","")&amp;IF(SUMIFS(PARTICIPACIONES!$E$2:$E$601,PARTICIPACIONES!$A$2:$A$601,A260)&gt;1.0001,"Las participaciones suman más de 100 %; ",""))</f>
        <v/>
      </c>
    </row>
    <row r="261">
      <c r="J261" s="15" t="n"/>
      <c r="K261" s="15" t="n"/>
      <c r="L261" s="15" t="n"/>
      <c r="N261" s="15" t="n"/>
      <c r="O261" s="16" t="n"/>
      <c r="P261" s="16" t="n"/>
      <c r="Q261" s="16" t="n"/>
      <c r="W261" s="12">
        <f>IF(AND(K261&lt;&gt;"",L261&lt;&gt;""),ROUND((L261-K261)/30.4375,1),"")</f>
        <v/>
      </c>
      <c r="X261" s="12">
        <f>IF(OR(A261="",M261="En ejecución",L261=""),"",YEAR(L261))</f>
        <v/>
      </c>
      <c r="Y261" s="13">
        <f>IF(X261="","",IFERROR(VLOOKUP(X261,SMMLV!$A$2:$B$38,2,FALSE),""))</f>
        <v/>
      </c>
      <c r="Z261" s="17">
        <f>IF(OR(Y261="",P261=""),"",ROUND(P261/Y261,2))</f>
        <v/>
      </c>
      <c r="AA261" s="13">
        <f>IF(Z261="","",ROUND(Z261*SMMLV!$E$4,0))</f>
        <v/>
      </c>
      <c r="AB261" s="13">
        <f>IF(AND(M261="En ejecución",P261&lt;&gt;"",Q261&lt;&gt;""),MAX(P261-Q261,0),"")</f>
        <v/>
      </c>
      <c r="AC261" s="12">
        <f>IF(A261="","",IF(B261="","Falta número de contrato; ","")&amp;IF(C261="","Falta entidad; ","")&amp;IF(E261="","Falta objeto; ","")&amp;IF(F261="","Falta especialidad; ","")&amp;IF(K261="","Falta fecha de inicio (recomendada); ","")&amp;IF(AND(M261&lt;&gt;"En ejecución",L261=""),"Falta fecha de terminación; ","")&amp;IF(AND(K261&lt;&gt;"",L261&lt;&gt;"",L261&lt;K261),"Terminación anterior al inicio; ","")&amp;IF(M261="","Falta estado; ","")&amp;IF(OR(P261="",P261&lt;=0),"Falta valor del contrato; ","")&amp;IF(AND(M261="En ejecución",Q261=""),"En ejecución sin valor ejecutado; ","")&amp;IF(AND(M261="En ejecución",L261&lt;&gt;"",L261&lt;TODAY()),"Dice en ejecución pero su terminación ya pasó; ","")&amp;IF(M261="En ejecución","En ejecución: no acredita experiencia; ","")&amp;IF(AND(M261&lt;&gt;"En ejecución",L261&lt;&gt;"",X261&lt;&gt;"",Y261=""),"El año no está en la hoja SMMLV; ","")&amp;IF(AND(B261&lt;&gt;"",COUNTIFS($B$2:$B$601,B261,$C$2:$C$601,C261)&gt;1),"Posible duplicado (mismo número y entidad); ","")&amp;IF(COUNTIF(PARTICIPACIONES!$A$2:$A$601,A261)=0,"Sin participaciones; ","")&amp;IF(SUMIFS(PARTICIPACIONES!$E$2:$E$601,PARTICIPACIONES!$A$2:$A$601,A261)&gt;1.0001,"Las participaciones suman más de 100 %; ",""))</f>
        <v/>
      </c>
    </row>
    <row r="262">
      <c r="J262" s="15" t="n"/>
      <c r="K262" s="15" t="n"/>
      <c r="L262" s="15" t="n"/>
      <c r="N262" s="15" t="n"/>
      <c r="O262" s="16" t="n"/>
      <c r="P262" s="16" t="n"/>
      <c r="Q262" s="16" t="n"/>
      <c r="W262" s="12">
        <f>IF(AND(K262&lt;&gt;"",L262&lt;&gt;""),ROUND((L262-K262)/30.4375,1),"")</f>
        <v/>
      </c>
      <c r="X262" s="12">
        <f>IF(OR(A262="",M262="En ejecución",L262=""),"",YEAR(L262))</f>
        <v/>
      </c>
      <c r="Y262" s="13">
        <f>IF(X262="","",IFERROR(VLOOKUP(X262,SMMLV!$A$2:$B$38,2,FALSE),""))</f>
        <v/>
      </c>
      <c r="Z262" s="17">
        <f>IF(OR(Y262="",P262=""),"",ROUND(P262/Y262,2))</f>
        <v/>
      </c>
      <c r="AA262" s="13">
        <f>IF(Z262="","",ROUND(Z262*SMMLV!$E$4,0))</f>
        <v/>
      </c>
      <c r="AB262" s="13">
        <f>IF(AND(M262="En ejecución",P262&lt;&gt;"",Q262&lt;&gt;""),MAX(P262-Q262,0),"")</f>
        <v/>
      </c>
      <c r="AC262" s="12">
        <f>IF(A262="","",IF(B262="","Falta número de contrato; ","")&amp;IF(C262="","Falta entidad; ","")&amp;IF(E262="","Falta objeto; ","")&amp;IF(F262="","Falta especialidad; ","")&amp;IF(K262="","Falta fecha de inicio (recomendada); ","")&amp;IF(AND(M262&lt;&gt;"En ejecución",L262=""),"Falta fecha de terminación; ","")&amp;IF(AND(K262&lt;&gt;"",L262&lt;&gt;"",L262&lt;K262),"Terminación anterior al inicio; ","")&amp;IF(M262="","Falta estado; ","")&amp;IF(OR(P262="",P262&lt;=0),"Falta valor del contrato; ","")&amp;IF(AND(M262="En ejecución",Q262=""),"En ejecución sin valor ejecutado; ","")&amp;IF(AND(M262="En ejecución",L262&lt;&gt;"",L262&lt;TODAY()),"Dice en ejecución pero su terminación ya pasó; ","")&amp;IF(M262="En ejecución","En ejecución: no acredita experiencia; ","")&amp;IF(AND(M262&lt;&gt;"En ejecución",L262&lt;&gt;"",X262&lt;&gt;"",Y262=""),"El año no está en la hoja SMMLV; ","")&amp;IF(AND(B262&lt;&gt;"",COUNTIFS($B$2:$B$601,B262,$C$2:$C$601,C262)&gt;1),"Posible duplicado (mismo número y entidad); ","")&amp;IF(COUNTIF(PARTICIPACIONES!$A$2:$A$601,A262)=0,"Sin participaciones; ","")&amp;IF(SUMIFS(PARTICIPACIONES!$E$2:$E$601,PARTICIPACIONES!$A$2:$A$601,A262)&gt;1.0001,"Las participaciones suman más de 100 %; ",""))</f>
        <v/>
      </c>
    </row>
    <row r="263">
      <c r="J263" s="15" t="n"/>
      <c r="K263" s="15" t="n"/>
      <c r="L263" s="15" t="n"/>
      <c r="N263" s="15" t="n"/>
      <c r="O263" s="16" t="n"/>
      <c r="P263" s="16" t="n"/>
      <c r="Q263" s="16" t="n"/>
      <c r="W263" s="12">
        <f>IF(AND(K263&lt;&gt;"",L263&lt;&gt;""),ROUND((L263-K263)/30.4375,1),"")</f>
        <v/>
      </c>
      <c r="X263" s="12">
        <f>IF(OR(A263="",M263="En ejecución",L263=""),"",YEAR(L263))</f>
        <v/>
      </c>
      <c r="Y263" s="13">
        <f>IF(X263="","",IFERROR(VLOOKUP(X263,SMMLV!$A$2:$B$38,2,FALSE),""))</f>
        <v/>
      </c>
      <c r="Z263" s="17">
        <f>IF(OR(Y263="",P263=""),"",ROUND(P263/Y263,2))</f>
        <v/>
      </c>
      <c r="AA263" s="13">
        <f>IF(Z263="","",ROUND(Z263*SMMLV!$E$4,0))</f>
        <v/>
      </c>
      <c r="AB263" s="13">
        <f>IF(AND(M263="En ejecución",P263&lt;&gt;"",Q263&lt;&gt;""),MAX(P263-Q263,0),"")</f>
        <v/>
      </c>
      <c r="AC263" s="12">
        <f>IF(A263="","",IF(B263="","Falta número de contrato; ","")&amp;IF(C263="","Falta entidad; ","")&amp;IF(E263="","Falta objeto; ","")&amp;IF(F263="","Falta especialidad; ","")&amp;IF(K263="","Falta fecha de inicio (recomendada); ","")&amp;IF(AND(M263&lt;&gt;"En ejecución",L263=""),"Falta fecha de terminación; ","")&amp;IF(AND(K263&lt;&gt;"",L263&lt;&gt;"",L263&lt;K263),"Terminación anterior al inicio; ","")&amp;IF(M263="","Falta estado; ","")&amp;IF(OR(P263="",P263&lt;=0),"Falta valor del contrato; ","")&amp;IF(AND(M263="En ejecución",Q263=""),"En ejecución sin valor ejecutado; ","")&amp;IF(AND(M263="En ejecución",L263&lt;&gt;"",L263&lt;TODAY()),"Dice en ejecución pero su terminación ya pasó; ","")&amp;IF(M263="En ejecución","En ejecución: no acredita experiencia; ","")&amp;IF(AND(M263&lt;&gt;"En ejecución",L263&lt;&gt;"",X263&lt;&gt;"",Y263=""),"El año no está en la hoja SMMLV; ","")&amp;IF(AND(B263&lt;&gt;"",COUNTIFS($B$2:$B$601,B263,$C$2:$C$601,C263)&gt;1),"Posible duplicado (mismo número y entidad); ","")&amp;IF(COUNTIF(PARTICIPACIONES!$A$2:$A$601,A263)=0,"Sin participaciones; ","")&amp;IF(SUMIFS(PARTICIPACIONES!$E$2:$E$601,PARTICIPACIONES!$A$2:$A$601,A263)&gt;1.0001,"Las participaciones suman más de 100 %; ",""))</f>
        <v/>
      </c>
    </row>
    <row r="264">
      <c r="J264" s="15" t="n"/>
      <c r="K264" s="15" t="n"/>
      <c r="L264" s="15" t="n"/>
      <c r="N264" s="15" t="n"/>
      <c r="O264" s="16" t="n"/>
      <c r="P264" s="16" t="n"/>
      <c r="Q264" s="16" t="n"/>
      <c r="W264" s="12">
        <f>IF(AND(K264&lt;&gt;"",L264&lt;&gt;""),ROUND((L264-K264)/30.4375,1),"")</f>
        <v/>
      </c>
      <c r="X264" s="12">
        <f>IF(OR(A264="",M264="En ejecución",L264=""),"",YEAR(L264))</f>
        <v/>
      </c>
      <c r="Y264" s="13">
        <f>IF(X264="","",IFERROR(VLOOKUP(X264,SMMLV!$A$2:$B$38,2,FALSE),""))</f>
        <v/>
      </c>
      <c r="Z264" s="17">
        <f>IF(OR(Y264="",P264=""),"",ROUND(P264/Y264,2))</f>
        <v/>
      </c>
      <c r="AA264" s="13">
        <f>IF(Z264="","",ROUND(Z264*SMMLV!$E$4,0))</f>
        <v/>
      </c>
      <c r="AB264" s="13">
        <f>IF(AND(M264="En ejecución",P264&lt;&gt;"",Q264&lt;&gt;""),MAX(P264-Q264,0),"")</f>
        <v/>
      </c>
      <c r="AC264" s="12">
        <f>IF(A264="","",IF(B264="","Falta número de contrato; ","")&amp;IF(C264="","Falta entidad; ","")&amp;IF(E264="","Falta objeto; ","")&amp;IF(F264="","Falta especialidad; ","")&amp;IF(K264="","Falta fecha de inicio (recomendada); ","")&amp;IF(AND(M264&lt;&gt;"En ejecución",L264=""),"Falta fecha de terminación; ","")&amp;IF(AND(K264&lt;&gt;"",L264&lt;&gt;"",L264&lt;K264),"Terminación anterior al inicio; ","")&amp;IF(M264="","Falta estado; ","")&amp;IF(OR(P264="",P264&lt;=0),"Falta valor del contrato; ","")&amp;IF(AND(M264="En ejecución",Q264=""),"En ejecución sin valor ejecutado; ","")&amp;IF(AND(M264="En ejecución",L264&lt;&gt;"",L264&lt;TODAY()),"Dice en ejecución pero su terminación ya pasó; ","")&amp;IF(M264="En ejecución","En ejecución: no acredita experiencia; ","")&amp;IF(AND(M264&lt;&gt;"En ejecución",L264&lt;&gt;"",X264&lt;&gt;"",Y264=""),"El año no está en la hoja SMMLV; ","")&amp;IF(AND(B264&lt;&gt;"",COUNTIFS($B$2:$B$601,B264,$C$2:$C$601,C264)&gt;1),"Posible duplicado (mismo número y entidad); ","")&amp;IF(COUNTIF(PARTICIPACIONES!$A$2:$A$601,A264)=0,"Sin participaciones; ","")&amp;IF(SUMIFS(PARTICIPACIONES!$E$2:$E$601,PARTICIPACIONES!$A$2:$A$601,A264)&gt;1.0001,"Las participaciones suman más de 100 %; ",""))</f>
        <v/>
      </c>
    </row>
    <row r="265">
      <c r="J265" s="15" t="n"/>
      <c r="K265" s="15" t="n"/>
      <c r="L265" s="15" t="n"/>
      <c r="N265" s="15" t="n"/>
      <c r="O265" s="16" t="n"/>
      <c r="P265" s="16" t="n"/>
      <c r="Q265" s="16" t="n"/>
      <c r="W265" s="12">
        <f>IF(AND(K265&lt;&gt;"",L265&lt;&gt;""),ROUND((L265-K265)/30.4375,1),"")</f>
        <v/>
      </c>
      <c r="X265" s="12">
        <f>IF(OR(A265="",M265="En ejecución",L265=""),"",YEAR(L265))</f>
        <v/>
      </c>
      <c r="Y265" s="13">
        <f>IF(X265="","",IFERROR(VLOOKUP(X265,SMMLV!$A$2:$B$38,2,FALSE),""))</f>
        <v/>
      </c>
      <c r="Z265" s="17">
        <f>IF(OR(Y265="",P265=""),"",ROUND(P265/Y265,2))</f>
        <v/>
      </c>
      <c r="AA265" s="13">
        <f>IF(Z265="","",ROUND(Z265*SMMLV!$E$4,0))</f>
        <v/>
      </c>
      <c r="AB265" s="13">
        <f>IF(AND(M265="En ejecución",P265&lt;&gt;"",Q265&lt;&gt;""),MAX(P265-Q265,0),"")</f>
        <v/>
      </c>
      <c r="AC265" s="12">
        <f>IF(A265="","",IF(B265="","Falta número de contrato; ","")&amp;IF(C265="","Falta entidad; ","")&amp;IF(E265="","Falta objeto; ","")&amp;IF(F265="","Falta especialidad; ","")&amp;IF(K265="","Falta fecha de inicio (recomendada); ","")&amp;IF(AND(M265&lt;&gt;"En ejecución",L265=""),"Falta fecha de terminación; ","")&amp;IF(AND(K265&lt;&gt;"",L265&lt;&gt;"",L265&lt;K265),"Terminación anterior al inicio; ","")&amp;IF(M265="","Falta estado; ","")&amp;IF(OR(P265="",P265&lt;=0),"Falta valor del contrato; ","")&amp;IF(AND(M265="En ejecución",Q265=""),"En ejecución sin valor ejecutado; ","")&amp;IF(AND(M265="En ejecución",L265&lt;&gt;"",L265&lt;TODAY()),"Dice en ejecución pero su terminación ya pasó; ","")&amp;IF(M265="En ejecución","En ejecución: no acredita experiencia; ","")&amp;IF(AND(M265&lt;&gt;"En ejecución",L265&lt;&gt;"",X265&lt;&gt;"",Y265=""),"El año no está en la hoja SMMLV; ","")&amp;IF(AND(B265&lt;&gt;"",COUNTIFS($B$2:$B$601,B265,$C$2:$C$601,C265)&gt;1),"Posible duplicado (mismo número y entidad); ","")&amp;IF(COUNTIF(PARTICIPACIONES!$A$2:$A$601,A265)=0,"Sin participaciones; ","")&amp;IF(SUMIFS(PARTICIPACIONES!$E$2:$E$601,PARTICIPACIONES!$A$2:$A$601,A265)&gt;1.0001,"Las participaciones suman más de 100 %; ",""))</f>
        <v/>
      </c>
    </row>
    <row r="266">
      <c r="J266" s="15" t="n"/>
      <c r="K266" s="15" t="n"/>
      <c r="L266" s="15" t="n"/>
      <c r="N266" s="15" t="n"/>
      <c r="O266" s="16" t="n"/>
      <c r="P266" s="16" t="n"/>
      <c r="Q266" s="16" t="n"/>
      <c r="W266" s="12">
        <f>IF(AND(K266&lt;&gt;"",L266&lt;&gt;""),ROUND((L266-K266)/30.4375,1),"")</f>
        <v/>
      </c>
      <c r="X266" s="12">
        <f>IF(OR(A266="",M266="En ejecución",L266=""),"",YEAR(L266))</f>
        <v/>
      </c>
      <c r="Y266" s="13">
        <f>IF(X266="","",IFERROR(VLOOKUP(X266,SMMLV!$A$2:$B$38,2,FALSE),""))</f>
        <v/>
      </c>
      <c r="Z266" s="17">
        <f>IF(OR(Y266="",P266=""),"",ROUND(P266/Y266,2))</f>
        <v/>
      </c>
      <c r="AA266" s="13">
        <f>IF(Z266="","",ROUND(Z266*SMMLV!$E$4,0))</f>
        <v/>
      </c>
      <c r="AB266" s="13">
        <f>IF(AND(M266="En ejecución",P266&lt;&gt;"",Q266&lt;&gt;""),MAX(P266-Q266,0),"")</f>
        <v/>
      </c>
      <c r="AC266" s="12">
        <f>IF(A266="","",IF(B266="","Falta número de contrato; ","")&amp;IF(C266="","Falta entidad; ","")&amp;IF(E266="","Falta objeto; ","")&amp;IF(F266="","Falta especialidad; ","")&amp;IF(K266="","Falta fecha de inicio (recomendada); ","")&amp;IF(AND(M266&lt;&gt;"En ejecución",L266=""),"Falta fecha de terminación; ","")&amp;IF(AND(K266&lt;&gt;"",L266&lt;&gt;"",L266&lt;K266),"Terminación anterior al inicio; ","")&amp;IF(M266="","Falta estado; ","")&amp;IF(OR(P266="",P266&lt;=0),"Falta valor del contrato; ","")&amp;IF(AND(M266="En ejecución",Q266=""),"En ejecución sin valor ejecutado; ","")&amp;IF(AND(M266="En ejecución",L266&lt;&gt;"",L266&lt;TODAY()),"Dice en ejecución pero su terminación ya pasó; ","")&amp;IF(M266="En ejecución","En ejecución: no acredita experiencia; ","")&amp;IF(AND(M266&lt;&gt;"En ejecución",L266&lt;&gt;"",X266&lt;&gt;"",Y266=""),"El año no está en la hoja SMMLV; ","")&amp;IF(AND(B266&lt;&gt;"",COUNTIFS($B$2:$B$601,B266,$C$2:$C$601,C266)&gt;1),"Posible duplicado (mismo número y entidad); ","")&amp;IF(COUNTIF(PARTICIPACIONES!$A$2:$A$601,A266)=0,"Sin participaciones; ","")&amp;IF(SUMIFS(PARTICIPACIONES!$E$2:$E$601,PARTICIPACIONES!$A$2:$A$601,A266)&gt;1.0001,"Las participaciones suman más de 100 %; ",""))</f>
        <v/>
      </c>
    </row>
    <row r="267">
      <c r="J267" s="15" t="n"/>
      <c r="K267" s="15" t="n"/>
      <c r="L267" s="15" t="n"/>
      <c r="N267" s="15" t="n"/>
      <c r="O267" s="16" t="n"/>
      <c r="P267" s="16" t="n"/>
      <c r="Q267" s="16" t="n"/>
      <c r="W267" s="12">
        <f>IF(AND(K267&lt;&gt;"",L267&lt;&gt;""),ROUND((L267-K267)/30.4375,1),"")</f>
        <v/>
      </c>
      <c r="X267" s="12">
        <f>IF(OR(A267="",M267="En ejecución",L267=""),"",YEAR(L267))</f>
        <v/>
      </c>
      <c r="Y267" s="13">
        <f>IF(X267="","",IFERROR(VLOOKUP(X267,SMMLV!$A$2:$B$38,2,FALSE),""))</f>
        <v/>
      </c>
      <c r="Z267" s="17">
        <f>IF(OR(Y267="",P267=""),"",ROUND(P267/Y267,2))</f>
        <v/>
      </c>
      <c r="AA267" s="13">
        <f>IF(Z267="","",ROUND(Z267*SMMLV!$E$4,0))</f>
        <v/>
      </c>
      <c r="AB267" s="13">
        <f>IF(AND(M267="En ejecución",P267&lt;&gt;"",Q267&lt;&gt;""),MAX(P267-Q267,0),"")</f>
        <v/>
      </c>
      <c r="AC267" s="12">
        <f>IF(A267="","",IF(B267="","Falta número de contrato; ","")&amp;IF(C267="","Falta entidad; ","")&amp;IF(E267="","Falta objeto; ","")&amp;IF(F267="","Falta especialidad; ","")&amp;IF(K267="","Falta fecha de inicio (recomendada); ","")&amp;IF(AND(M267&lt;&gt;"En ejecución",L267=""),"Falta fecha de terminación; ","")&amp;IF(AND(K267&lt;&gt;"",L267&lt;&gt;"",L267&lt;K267),"Terminación anterior al inicio; ","")&amp;IF(M267="","Falta estado; ","")&amp;IF(OR(P267="",P267&lt;=0),"Falta valor del contrato; ","")&amp;IF(AND(M267="En ejecución",Q267=""),"En ejecución sin valor ejecutado; ","")&amp;IF(AND(M267="En ejecución",L267&lt;&gt;"",L267&lt;TODAY()),"Dice en ejecución pero su terminación ya pasó; ","")&amp;IF(M267="En ejecución","En ejecución: no acredita experiencia; ","")&amp;IF(AND(M267&lt;&gt;"En ejecución",L267&lt;&gt;"",X267&lt;&gt;"",Y267=""),"El año no está en la hoja SMMLV; ","")&amp;IF(AND(B267&lt;&gt;"",COUNTIFS($B$2:$B$601,B267,$C$2:$C$601,C267)&gt;1),"Posible duplicado (mismo número y entidad); ","")&amp;IF(COUNTIF(PARTICIPACIONES!$A$2:$A$601,A267)=0,"Sin participaciones; ","")&amp;IF(SUMIFS(PARTICIPACIONES!$E$2:$E$601,PARTICIPACIONES!$A$2:$A$601,A267)&gt;1.0001,"Las participaciones suman más de 100 %; ",""))</f>
        <v/>
      </c>
    </row>
    <row r="268">
      <c r="J268" s="15" t="n"/>
      <c r="K268" s="15" t="n"/>
      <c r="L268" s="15" t="n"/>
      <c r="N268" s="15" t="n"/>
      <c r="O268" s="16" t="n"/>
      <c r="P268" s="16" t="n"/>
      <c r="Q268" s="16" t="n"/>
      <c r="W268" s="12">
        <f>IF(AND(K268&lt;&gt;"",L268&lt;&gt;""),ROUND((L268-K268)/30.4375,1),"")</f>
        <v/>
      </c>
      <c r="X268" s="12">
        <f>IF(OR(A268="",M268="En ejecución",L268=""),"",YEAR(L268))</f>
        <v/>
      </c>
      <c r="Y268" s="13">
        <f>IF(X268="","",IFERROR(VLOOKUP(X268,SMMLV!$A$2:$B$38,2,FALSE),""))</f>
        <v/>
      </c>
      <c r="Z268" s="17">
        <f>IF(OR(Y268="",P268=""),"",ROUND(P268/Y268,2))</f>
        <v/>
      </c>
      <c r="AA268" s="13">
        <f>IF(Z268="","",ROUND(Z268*SMMLV!$E$4,0))</f>
        <v/>
      </c>
      <c r="AB268" s="13">
        <f>IF(AND(M268="En ejecución",P268&lt;&gt;"",Q268&lt;&gt;""),MAX(P268-Q268,0),"")</f>
        <v/>
      </c>
      <c r="AC268" s="12">
        <f>IF(A268="","",IF(B268="","Falta número de contrato; ","")&amp;IF(C268="","Falta entidad; ","")&amp;IF(E268="","Falta objeto; ","")&amp;IF(F268="","Falta especialidad; ","")&amp;IF(K268="","Falta fecha de inicio (recomendada); ","")&amp;IF(AND(M268&lt;&gt;"En ejecución",L268=""),"Falta fecha de terminación; ","")&amp;IF(AND(K268&lt;&gt;"",L268&lt;&gt;"",L268&lt;K268),"Terminación anterior al inicio; ","")&amp;IF(M268="","Falta estado; ","")&amp;IF(OR(P268="",P268&lt;=0),"Falta valor del contrato; ","")&amp;IF(AND(M268="En ejecución",Q268=""),"En ejecución sin valor ejecutado; ","")&amp;IF(AND(M268="En ejecución",L268&lt;&gt;"",L268&lt;TODAY()),"Dice en ejecución pero su terminación ya pasó; ","")&amp;IF(M268="En ejecución","En ejecución: no acredita experiencia; ","")&amp;IF(AND(M268&lt;&gt;"En ejecución",L268&lt;&gt;"",X268&lt;&gt;"",Y268=""),"El año no está en la hoja SMMLV; ","")&amp;IF(AND(B268&lt;&gt;"",COUNTIFS($B$2:$B$601,B268,$C$2:$C$601,C268)&gt;1),"Posible duplicado (mismo número y entidad); ","")&amp;IF(COUNTIF(PARTICIPACIONES!$A$2:$A$601,A268)=0,"Sin participaciones; ","")&amp;IF(SUMIFS(PARTICIPACIONES!$E$2:$E$601,PARTICIPACIONES!$A$2:$A$601,A268)&gt;1.0001,"Las participaciones suman más de 100 %; ",""))</f>
        <v/>
      </c>
    </row>
    <row r="269">
      <c r="J269" s="15" t="n"/>
      <c r="K269" s="15" t="n"/>
      <c r="L269" s="15" t="n"/>
      <c r="N269" s="15" t="n"/>
      <c r="O269" s="16" t="n"/>
      <c r="P269" s="16" t="n"/>
      <c r="Q269" s="16" t="n"/>
      <c r="W269" s="12">
        <f>IF(AND(K269&lt;&gt;"",L269&lt;&gt;""),ROUND((L269-K269)/30.4375,1),"")</f>
        <v/>
      </c>
      <c r="X269" s="12">
        <f>IF(OR(A269="",M269="En ejecución",L269=""),"",YEAR(L269))</f>
        <v/>
      </c>
      <c r="Y269" s="13">
        <f>IF(X269="","",IFERROR(VLOOKUP(X269,SMMLV!$A$2:$B$38,2,FALSE),""))</f>
        <v/>
      </c>
      <c r="Z269" s="17">
        <f>IF(OR(Y269="",P269=""),"",ROUND(P269/Y269,2))</f>
        <v/>
      </c>
      <c r="AA269" s="13">
        <f>IF(Z269="","",ROUND(Z269*SMMLV!$E$4,0))</f>
        <v/>
      </c>
      <c r="AB269" s="13">
        <f>IF(AND(M269="En ejecución",P269&lt;&gt;"",Q269&lt;&gt;""),MAX(P269-Q269,0),"")</f>
        <v/>
      </c>
      <c r="AC269" s="12">
        <f>IF(A269="","",IF(B269="","Falta número de contrato; ","")&amp;IF(C269="","Falta entidad; ","")&amp;IF(E269="","Falta objeto; ","")&amp;IF(F269="","Falta especialidad; ","")&amp;IF(K269="","Falta fecha de inicio (recomendada); ","")&amp;IF(AND(M269&lt;&gt;"En ejecución",L269=""),"Falta fecha de terminación; ","")&amp;IF(AND(K269&lt;&gt;"",L269&lt;&gt;"",L269&lt;K269),"Terminación anterior al inicio; ","")&amp;IF(M269="","Falta estado; ","")&amp;IF(OR(P269="",P269&lt;=0),"Falta valor del contrato; ","")&amp;IF(AND(M269="En ejecución",Q269=""),"En ejecución sin valor ejecutado; ","")&amp;IF(AND(M269="En ejecución",L269&lt;&gt;"",L269&lt;TODAY()),"Dice en ejecución pero su terminación ya pasó; ","")&amp;IF(M269="En ejecución","En ejecución: no acredita experiencia; ","")&amp;IF(AND(M269&lt;&gt;"En ejecución",L269&lt;&gt;"",X269&lt;&gt;"",Y269=""),"El año no está en la hoja SMMLV; ","")&amp;IF(AND(B269&lt;&gt;"",COUNTIFS($B$2:$B$601,B269,$C$2:$C$601,C269)&gt;1),"Posible duplicado (mismo número y entidad); ","")&amp;IF(COUNTIF(PARTICIPACIONES!$A$2:$A$601,A269)=0,"Sin participaciones; ","")&amp;IF(SUMIFS(PARTICIPACIONES!$E$2:$E$601,PARTICIPACIONES!$A$2:$A$601,A269)&gt;1.0001,"Las participaciones suman más de 100 %; ",""))</f>
        <v/>
      </c>
    </row>
    <row r="270">
      <c r="J270" s="15" t="n"/>
      <c r="K270" s="15" t="n"/>
      <c r="L270" s="15" t="n"/>
      <c r="N270" s="15" t="n"/>
      <c r="O270" s="16" t="n"/>
      <c r="P270" s="16" t="n"/>
      <c r="Q270" s="16" t="n"/>
      <c r="W270" s="12">
        <f>IF(AND(K270&lt;&gt;"",L270&lt;&gt;""),ROUND((L270-K270)/30.4375,1),"")</f>
        <v/>
      </c>
      <c r="X270" s="12">
        <f>IF(OR(A270="",M270="En ejecución",L270=""),"",YEAR(L270))</f>
        <v/>
      </c>
      <c r="Y270" s="13">
        <f>IF(X270="","",IFERROR(VLOOKUP(X270,SMMLV!$A$2:$B$38,2,FALSE),""))</f>
        <v/>
      </c>
      <c r="Z270" s="17">
        <f>IF(OR(Y270="",P270=""),"",ROUND(P270/Y270,2))</f>
        <v/>
      </c>
      <c r="AA270" s="13">
        <f>IF(Z270="","",ROUND(Z270*SMMLV!$E$4,0))</f>
        <v/>
      </c>
      <c r="AB270" s="13">
        <f>IF(AND(M270="En ejecución",P270&lt;&gt;"",Q270&lt;&gt;""),MAX(P270-Q270,0),"")</f>
        <v/>
      </c>
      <c r="AC270" s="12">
        <f>IF(A270="","",IF(B270="","Falta número de contrato; ","")&amp;IF(C270="","Falta entidad; ","")&amp;IF(E270="","Falta objeto; ","")&amp;IF(F270="","Falta especialidad; ","")&amp;IF(K270="","Falta fecha de inicio (recomendada); ","")&amp;IF(AND(M270&lt;&gt;"En ejecución",L270=""),"Falta fecha de terminación; ","")&amp;IF(AND(K270&lt;&gt;"",L270&lt;&gt;"",L270&lt;K270),"Terminación anterior al inicio; ","")&amp;IF(M270="","Falta estado; ","")&amp;IF(OR(P270="",P270&lt;=0),"Falta valor del contrato; ","")&amp;IF(AND(M270="En ejecución",Q270=""),"En ejecución sin valor ejecutado; ","")&amp;IF(AND(M270="En ejecución",L270&lt;&gt;"",L270&lt;TODAY()),"Dice en ejecución pero su terminación ya pasó; ","")&amp;IF(M270="En ejecución","En ejecución: no acredita experiencia; ","")&amp;IF(AND(M270&lt;&gt;"En ejecución",L270&lt;&gt;"",X270&lt;&gt;"",Y270=""),"El año no está en la hoja SMMLV; ","")&amp;IF(AND(B270&lt;&gt;"",COUNTIFS($B$2:$B$601,B270,$C$2:$C$601,C270)&gt;1),"Posible duplicado (mismo número y entidad); ","")&amp;IF(COUNTIF(PARTICIPACIONES!$A$2:$A$601,A270)=0,"Sin participaciones; ","")&amp;IF(SUMIFS(PARTICIPACIONES!$E$2:$E$601,PARTICIPACIONES!$A$2:$A$601,A270)&gt;1.0001,"Las participaciones suman más de 100 %; ",""))</f>
        <v/>
      </c>
    </row>
    <row r="271">
      <c r="J271" s="15" t="n"/>
      <c r="K271" s="15" t="n"/>
      <c r="L271" s="15" t="n"/>
      <c r="N271" s="15" t="n"/>
      <c r="O271" s="16" t="n"/>
      <c r="P271" s="16" t="n"/>
      <c r="Q271" s="16" t="n"/>
      <c r="W271" s="12">
        <f>IF(AND(K271&lt;&gt;"",L271&lt;&gt;""),ROUND((L271-K271)/30.4375,1),"")</f>
        <v/>
      </c>
      <c r="X271" s="12">
        <f>IF(OR(A271="",M271="En ejecución",L271=""),"",YEAR(L271))</f>
        <v/>
      </c>
      <c r="Y271" s="13">
        <f>IF(X271="","",IFERROR(VLOOKUP(X271,SMMLV!$A$2:$B$38,2,FALSE),""))</f>
        <v/>
      </c>
      <c r="Z271" s="17">
        <f>IF(OR(Y271="",P271=""),"",ROUND(P271/Y271,2))</f>
        <v/>
      </c>
      <c r="AA271" s="13">
        <f>IF(Z271="","",ROUND(Z271*SMMLV!$E$4,0))</f>
        <v/>
      </c>
      <c r="AB271" s="13">
        <f>IF(AND(M271="En ejecución",P271&lt;&gt;"",Q271&lt;&gt;""),MAX(P271-Q271,0),"")</f>
        <v/>
      </c>
      <c r="AC271" s="12">
        <f>IF(A271="","",IF(B271="","Falta número de contrato; ","")&amp;IF(C271="","Falta entidad; ","")&amp;IF(E271="","Falta objeto; ","")&amp;IF(F271="","Falta especialidad; ","")&amp;IF(K271="","Falta fecha de inicio (recomendada); ","")&amp;IF(AND(M271&lt;&gt;"En ejecución",L271=""),"Falta fecha de terminación; ","")&amp;IF(AND(K271&lt;&gt;"",L271&lt;&gt;"",L271&lt;K271),"Terminación anterior al inicio; ","")&amp;IF(M271="","Falta estado; ","")&amp;IF(OR(P271="",P271&lt;=0),"Falta valor del contrato; ","")&amp;IF(AND(M271="En ejecución",Q271=""),"En ejecución sin valor ejecutado; ","")&amp;IF(AND(M271="En ejecución",L271&lt;&gt;"",L271&lt;TODAY()),"Dice en ejecución pero su terminación ya pasó; ","")&amp;IF(M271="En ejecución","En ejecución: no acredita experiencia; ","")&amp;IF(AND(M271&lt;&gt;"En ejecución",L271&lt;&gt;"",X271&lt;&gt;"",Y271=""),"El año no está en la hoja SMMLV; ","")&amp;IF(AND(B271&lt;&gt;"",COUNTIFS($B$2:$B$601,B271,$C$2:$C$601,C271)&gt;1),"Posible duplicado (mismo número y entidad); ","")&amp;IF(COUNTIF(PARTICIPACIONES!$A$2:$A$601,A271)=0,"Sin participaciones; ","")&amp;IF(SUMIFS(PARTICIPACIONES!$E$2:$E$601,PARTICIPACIONES!$A$2:$A$601,A271)&gt;1.0001,"Las participaciones suman más de 100 %; ",""))</f>
        <v/>
      </c>
    </row>
    <row r="272">
      <c r="J272" s="15" t="n"/>
      <c r="K272" s="15" t="n"/>
      <c r="L272" s="15" t="n"/>
      <c r="N272" s="15" t="n"/>
      <c r="O272" s="16" t="n"/>
      <c r="P272" s="16" t="n"/>
      <c r="Q272" s="16" t="n"/>
      <c r="W272" s="12">
        <f>IF(AND(K272&lt;&gt;"",L272&lt;&gt;""),ROUND((L272-K272)/30.4375,1),"")</f>
        <v/>
      </c>
      <c r="X272" s="12">
        <f>IF(OR(A272="",M272="En ejecución",L272=""),"",YEAR(L272))</f>
        <v/>
      </c>
      <c r="Y272" s="13">
        <f>IF(X272="","",IFERROR(VLOOKUP(X272,SMMLV!$A$2:$B$38,2,FALSE),""))</f>
        <v/>
      </c>
      <c r="Z272" s="17">
        <f>IF(OR(Y272="",P272=""),"",ROUND(P272/Y272,2))</f>
        <v/>
      </c>
      <c r="AA272" s="13">
        <f>IF(Z272="","",ROUND(Z272*SMMLV!$E$4,0))</f>
        <v/>
      </c>
      <c r="AB272" s="13">
        <f>IF(AND(M272="En ejecución",P272&lt;&gt;"",Q272&lt;&gt;""),MAX(P272-Q272,0),"")</f>
        <v/>
      </c>
      <c r="AC272" s="12">
        <f>IF(A272="","",IF(B272="","Falta número de contrato; ","")&amp;IF(C272="","Falta entidad; ","")&amp;IF(E272="","Falta objeto; ","")&amp;IF(F272="","Falta especialidad; ","")&amp;IF(K272="","Falta fecha de inicio (recomendada); ","")&amp;IF(AND(M272&lt;&gt;"En ejecución",L272=""),"Falta fecha de terminación; ","")&amp;IF(AND(K272&lt;&gt;"",L272&lt;&gt;"",L272&lt;K272),"Terminación anterior al inicio; ","")&amp;IF(M272="","Falta estado; ","")&amp;IF(OR(P272="",P272&lt;=0),"Falta valor del contrato; ","")&amp;IF(AND(M272="En ejecución",Q272=""),"En ejecución sin valor ejecutado; ","")&amp;IF(AND(M272="En ejecución",L272&lt;&gt;"",L272&lt;TODAY()),"Dice en ejecución pero su terminación ya pasó; ","")&amp;IF(M272="En ejecución","En ejecución: no acredita experiencia; ","")&amp;IF(AND(M272&lt;&gt;"En ejecución",L272&lt;&gt;"",X272&lt;&gt;"",Y272=""),"El año no está en la hoja SMMLV; ","")&amp;IF(AND(B272&lt;&gt;"",COUNTIFS($B$2:$B$601,B272,$C$2:$C$601,C272)&gt;1),"Posible duplicado (mismo número y entidad); ","")&amp;IF(COUNTIF(PARTICIPACIONES!$A$2:$A$601,A272)=0,"Sin participaciones; ","")&amp;IF(SUMIFS(PARTICIPACIONES!$E$2:$E$601,PARTICIPACIONES!$A$2:$A$601,A272)&gt;1.0001,"Las participaciones suman más de 100 %; ",""))</f>
        <v/>
      </c>
    </row>
    <row r="273">
      <c r="J273" s="15" t="n"/>
      <c r="K273" s="15" t="n"/>
      <c r="L273" s="15" t="n"/>
      <c r="N273" s="15" t="n"/>
      <c r="O273" s="16" t="n"/>
      <c r="P273" s="16" t="n"/>
      <c r="Q273" s="16" t="n"/>
      <c r="W273" s="12">
        <f>IF(AND(K273&lt;&gt;"",L273&lt;&gt;""),ROUND((L273-K273)/30.4375,1),"")</f>
        <v/>
      </c>
      <c r="X273" s="12">
        <f>IF(OR(A273="",M273="En ejecución",L273=""),"",YEAR(L273))</f>
        <v/>
      </c>
      <c r="Y273" s="13">
        <f>IF(X273="","",IFERROR(VLOOKUP(X273,SMMLV!$A$2:$B$38,2,FALSE),""))</f>
        <v/>
      </c>
      <c r="Z273" s="17">
        <f>IF(OR(Y273="",P273=""),"",ROUND(P273/Y273,2))</f>
        <v/>
      </c>
      <c r="AA273" s="13">
        <f>IF(Z273="","",ROUND(Z273*SMMLV!$E$4,0))</f>
        <v/>
      </c>
      <c r="AB273" s="13">
        <f>IF(AND(M273="En ejecución",P273&lt;&gt;"",Q273&lt;&gt;""),MAX(P273-Q273,0),"")</f>
        <v/>
      </c>
      <c r="AC273" s="12">
        <f>IF(A273="","",IF(B273="","Falta número de contrato; ","")&amp;IF(C273="","Falta entidad; ","")&amp;IF(E273="","Falta objeto; ","")&amp;IF(F273="","Falta especialidad; ","")&amp;IF(K273="","Falta fecha de inicio (recomendada); ","")&amp;IF(AND(M273&lt;&gt;"En ejecución",L273=""),"Falta fecha de terminación; ","")&amp;IF(AND(K273&lt;&gt;"",L273&lt;&gt;"",L273&lt;K273),"Terminación anterior al inicio; ","")&amp;IF(M273="","Falta estado; ","")&amp;IF(OR(P273="",P273&lt;=0),"Falta valor del contrato; ","")&amp;IF(AND(M273="En ejecución",Q273=""),"En ejecución sin valor ejecutado; ","")&amp;IF(AND(M273="En ejecución",L273&lt;&gt;"",L273&lt;TODAY()),"Dice en ejecución pero su terminación ya pasó; ","")&amp;IF(M273="En ejecución","En ejecución: no acredita experiencia; ","")&amp;IF(AND(M273&lt;&gt;"En ejecución",L273&lt;&gt;"",X273&lt;&gt;"",Y273=""),"El año no está en la hoja SMMLV; ","")&amp;IF(AND(B273&lt;&gt;"",COUNTIFS($B$2:$B$601,B273,$C$2:$C$601,C273)&gt;1),"Posible duplicado (mismo número y entidad); ","")&amp;IF(COUNTIF(PARTICIPACIONES!$A$2:$A$601,A273)=0,"Sin participaciones; ","")&amp;IF(SUMIFS(PARTICIPACIONES!$E$2:$E$601,PARTICIPACIONES!$A$2:$A$601,A273)&gt;1.0001,"Las participaciones suman más de 100 %; ",""))</f>
        <v/>
      </c>
    </row>
    <row r="274">
      <c r="J274" s="15" t="n"/>
      <c r="K274" s="15" t="n"/>
      <c r="L274" s="15" t="n"/>
      <c r="N274" s="15" t="n"/>
      <c r="O274" s="16" t="n"/>
      <c r="P274" s="16" t="n"/>
      <c r="Q274" s="16" t="n"/>
      <c r="W274" s="12">
        <f>IF(AND(K274&lt;&gt;"",L274&lt;&gt;""),ROUND((L274-K274)/30.4375,1),"")</f>
        <v/>
      </c>
      <c r="X274" s="12">
        <f>IF(OR(A274="",M274="En ejecución",L274=""),"",YEAR(L274))</f>
        <v/>
      </c>
      <c r="Y274" s="13">
        <f>IF(X274="","",IFERROR(VLOOKUP(X274,SMMLV!$A$2:$B$38,2,FALSE),""))</f>
        <v/>
      </c>
      <c r="Z274" s="17">
        <f>IF(OR(Y274="",P274=""),"",ROUND(P274/Y274,2))</f>
        <v/>
      </c>
      <c r="AA274" s="13">
        <f>IF(Z274="","",ROUND(Z274*SMMLV!$E$4,0))</f>
        <v/>
      </c>
      <c r="AB274" s="13">
        <f>IF(AND(M274="En ejecución",P274&lt;&gt;"",Q274&lt;&gt;""),MAX(P274-Q274,0),"")</f>
        <v/>
      </c>
      <c r="AC274" s="12">
        <f>IF(A274="","",IF(B274="","Falta número de contrato; ","")&amp;IF(C274="","Falta entidad; ","")&amp;IF(E274="","Falta objeto; ","")&amp;IF(F274="","Falta especialidad; ","")&amp;IF(K274="","Falta fecha de inicio (recomendada); ","")&amp;IF(AND(M274&lt;&gt;"En ejecución",L274=""),"Falta fecha de terminación; ","")&amp;IF(AND(K274&lt;&gt;"",L274&lt;&gt;"",L274&lt;K274),"Terminación anterior al inicio; ","")&amp;IF(M274="","Falta estado; ","")&amp;IF(OR(P274="",P274&lt;=0),"Falta valor del contrato; ","")&amp;IF(AND(M274="En ejecución",Q274=""),"En ejecución sin valor ejecutado; ","")&amp;IF(AND(M274="En ejecución",L274&lt;&gt;"",L274&lt;TODAY()),"Dice en ejecución pero su terminación ya pasó; ","")&amp;IF(M274="En ejecución","En ejecución: no acredita experiencia; ","")&amp;IF(AND(M274&lt;&gt;"En ejecución",L274&lt;&gt;"",X274&lt;&gt;"",Y274=""),"El año no está en la hoja SMMLV; ","")&amp;IF(AND(B274&lt;&gt;"",COUNTIFS($B$2:$B$601,B274,$C$2:$C$601,C274)&gt;1),"Posible duplicado (mismo número y entidad); ","")&amp;IF(COUNTIF(PARTICIPACIONES!$A$2:$A$601,A274)=0,"Sin participaciones; ","")&amp;IF(SUMIFS(PARTICIPACIONES!$E$2:$E$601,PARTICIPACIONES!$A$2:$A$601,A274)&gt;1.0001,"Las participaciones suman más de 100 %; ",""))</f>
        <v/>
      </c>
    </row>
    <row r="275">
      <c r="J275" s="15" t="n"/>
      <c r="K275" s="15" t="n"/>
      <c r="L275" s="15" t="n"/>
      <c r="N275" s="15" t="n"/>
      <c r="O275" s="16" t="n"/>
      <c r="P275" s="16" t="n"/>
      <c r="Q275" s="16" t="n"/>
      <c r="W275" s="12">
        <f>IF(AND(K275&lt;&gt;"",L275&lt;&gt;""),ROUND((L275-K275)/30.4375,1),"")</f>
        <v/>
      </c>
      <c r="X275" s="12">
        <f>IF(OR(A275="",M275="En ejecución",L275=""),"",YEAR(L275))</f>
        <v/>
      </c>
      <c r="Y275" s="13">
        <f>IF(X275="","",IFERROR(VLOOKUP(X275,SMMLV!$A$2:$B$38,2,FALSE),""))</f>
        <v/>
      </c>
      <c r="Z275" s="17">
        <f>IF(OR(Y275="",P275=""),"",ROUND(P275/Y275,2))</f>
        <v/>
      </c>
      <c r="AA275" s="13">
        <f>IF(Z275="","",ROUND(Z275*SMMLV!$E$4,0))</f>
        <v/>
      </c>
      <c r="AB275" s="13">
        <f>IF(AND(M275="En ejecución",P275&lt;&gt;"",Q275&lt;&gt;""),MAX(P275-Q275,0),"")</f>
        <v/>
      </c>
      <c r="AC275" s="12">
        <f>IF(A275="","",IF(B275="","Falta número de contrato; ","")&amp;IF(C275="","Falta entidad; ","")&amp;IF(E275="","Falta objeto; ","")&amp;IF(F275="","Falta especialidad; ","")&amp;IF(K275="","Falta fecha de inicio (recomendada); ","")&amp;IF(AND(M275&lt;&gt;"En ejecución",L275=""),"Falta fecha de terminación; ","")&amp;IF(AND(K275&lt;&gt;"",L275&lt;&gt;"",L275&lt;K275),"Terminación anterior al inicio; ","")&amp;IF(M275="","Falta estado; ","")&amp;IF(OR(P275="",P275&lt;=0),"Falta valor del contrato; ","")&amp;IF(AND(M275="En ejecución",Q275=""),"En ejecución sin valor ejecutado; ","")&amp;IF(AND(M275="En ejecución",L275&lt;&gt;"",L275&lt;TODAY()),"Dice en ejecución pero su terminación ya pasó; ","")&amp;IF(M275="En ejecución","En ejecución: no acredita experiencia; ","")&amp;IF(AND(M275&lt;&gt;"En ejecución",L275&lt;&gt;"",X275&lt;&gt;"",Y275=""),"El año no está en la hoja SMMLV; ","")&amp;IF(AND(B275&lt;&gt;"",COUNTIFS($B$2:$B$601,B275,$C$2:$C$601,C275)&gt;1),"Posible duplicado (mismo número y entidad); ","")&amp;IF(COUNTIF(PARTICIPACIONES!$A$2:$A$601,A275)=0,"Sin participaciones; ","")&amp;IF(SUMIFS(PARTICIPACIONES!$E$2:$E$601,PARTICIPACIONES!$A$2:$A$601,A275)&gt;1.0001,"Las participaciones suman más de 100 %; ",""))</f>
        <v/>
      </c>
    </row>
    <row r="276">
      <c r="J276" s="15" t="n"/>
      <c r="K276" s="15" t="n"/>
      <c r="L276" s="15" t="n"/>
      <c r="N276" s="15" t="n"/>
      <c r="O276" s="16" t="n"/>
      <c r="P276" s="16" t="n"/>
      <c r="Q276" s="16" t="n"/>
      <c r="W276" s="12">
        <f>IF(AND(K276&lt;&gt;"",L276&lt;&gt;""),ROUND((L276-K276)/30.4375,1),"")</f>
        <v/>
      </c>
      <c r="X276" s="12">
        <f>IF(OR(A276="",M276="En ejecución",L276=""),"",YEAR(L276))</f>
        <v/>
      </c>
      <c r="Y276" s="13">
        <f>IF(X276="","",IFERROR(VLOOKUP(X276,SMMLV!$A$2:$B$38,2,FALSE),""))</f>
        <v/>
      </c>
      <c r="Z276" s="17">
        <f>IF(OR(Y276="",P276=""),"",ROUND(P276/Y276,2))</f>
        <v/>
      </c>
      <c r="AA276" s="13">
        <f>IF(Z276="","",ROUND(Z276*SMMLV!$E$4,0))</f>
        <v/>
      </c>
      <c r="AB276" s="13">
        <f>IF(AND(M276="En ejecución",P276&lt;&gt;"",Q276&lt;&gt;""),MAX(P276-Q276,0),"")</f>
        <v/>
      </c>
      <c r="AC276" s="12">
        <f>IF(A276="","",IF(B276="","Falta número de contrato; ","")&amp;IF(C276="","Falta entidad; ","")&amp;IF(E276="","Falta objeto; ","")&amp;IF(F276="","Falta especialidad; ","")&amp;IF(K276="","Falta fecha de inicio (recomendada); ","")&amp;IF(AND(M276&lt;&gt;"En ejecución",L276=""),"Falta fecha de terminación; ","")&amp;IF(AND(K276&lt;&gt;"",L276&lt;&gt;"",L276&lt;K276),"Terminación anterior al inicio; ","")&amp;IF(M276="","Falta estado; ","")&amp;IF(OR(P276="",P276&lt;=0),"Falta valor del contrato; ","")&amp;IF(AND(M276="En ejecución",Q276=""),"En ejecución sin valor ejecutado; ","")&amp;IF(AND(M276="En ejecución",L276&lt;&gt;"",L276&lt;TODAY()),"Dice en ejecución pero su terminación ya pasó; ","")&amp;IF(M276="En ejecución","En ejecución: no acredita experiencia; ","")&amp;IF(AND(M276&lt;&gt;"En ejecución",L276&lt;&gt;"",X276&lt;&gt;"",Y276=""),"El año no está en la hoja SMMLV; ","")&amp;IF(AND(B276&lt;&gt;"",COUNTIFS($B$2:$B$601,B276,$C$2:$C$601,C276)&gt;1),"Posible duplicado (mismo número y entidad); ","")&amp;IF(COUNTIF(PARTICIPACIONES!$A$2:$A$601,A276)=0,"Sin participaciones; ","")&amp;IF(SUMIFS(PARTICIPACIONES!$E$2:$E$601,PARTICIPACIONES!$A$2:$A$601,A276)&gt;1.0001,"Las participaciones suman más de 100 %; ",""))</f>
        <v/>
      </c>
    </row>
    <row r="277">
      <c r="J277" s="15" t="n"/>
      <c r="K277" s="15" t="n"/>
      <c r="L277" s="15" t="n"/>
      <c r="N277" s="15" t="n"/>
      <c r="O277" s="16" t="n"/>
      <c r="P277" s="16" t="n"/>
      <c r="Q277" s="16" t="n"/>
      <c r="W277" s="12">
        <f>IF(AND(K277&lt;&gt;"",L277&lt;&gt;""),ROUND((L277-K277)/30.4375,1),"")</f>
        <v/>
      </c>
      <c r="X277" s="12">
        <f>IF(OR(A277="",M277="En ejecución",L277=""),"",YEAR(L277))</f>
        <v/>
      </c>
      <c r="Y277" s="13">
        <f>IF(X277="","",IFERROR(VLOOKUP(X277,SMMLV!$A$2:$B$38,2,FALSE),""))</f>
        <v/>
      </c>
      <c r="Z277" s="17">
        <f>IF(OR(Y277="",P277=""),"",ROUND(P277/Y277,2))</f>
        <v/>
      </c>
      <c r="AA277" s="13">
        <f>IF(Z277="","",ROUND(Z277*SMMLV!$E$4,0))</f>
        <v/>
      </c>
      <c r="AB277" s="13">
        <f>IF(AND(M277="En ejecución",P277&lt;&gt;"",Q277&lt;&gt;""),MAX(P277-Q277,0),"")</f>
        <v/>
      </c>
      <c r="AC277" s="12">
        <f>IF(A277="","",IF(B277="","Falta número de contrato; ","")&amp;IF(C277="","Falta entidad; ","")&amp;IF(E277="","Falta objeto; ","")&amp;IF(F277="","Falta especialidad; ","")&amp;IF(K277="","Falta fecha de inicio (recomendada); ","")&amp;IF(AND(M277&lt;&gt;"En ejecución",L277=""),"Falta fecha de terminación; ","")&amp;IF(AND(K277&lt;&gt;"",L277&lt;&gt;"",L277&lt;K277),"Terminación anterior al inicio; ","")&amp;IF(M277="","Falta estado; ","")&amp;IF(OR(P277="",P277&lt;=0),"Falta valor del contrato; ","")&amp;IF(AND(M277="En ejecución",Q277=""),"En ejecución sin valor ejecutado; ","")&amp;IF(AND(M277="En ejecución",L277&lt;&gt;"",L277&lt;TODAY()),"Dice en ejecución pero su terminación ya pasó; ","")&amp;IF(M277="En ejecución","En ejecución: no acredita experiencia; ","")&amp;IF(AND(M277&lt;&gt;"En ejecución",L277&lt;&gt;"",X277&lt;&gt;"",Y277=""),"El año no está en la hoja SMMLV; ","")&amp;IF(AND(B277&lt;&gt;"",COUNTIFS($B$2:$B$601,B277,$C$2:$C$601,C277)&gt;1),"Posible duplicado (mismo número y entidad); ","")&amp;IF(COUNTIF(PARTICIPACIONES!$A$2:$A$601,A277)=0,"Sin participaciones; ","")&amp;IF(SUMIFS(PARTICIPACIONES!$E$2:$E$601,PARTICIPACIONES!$A$2:$A$601,A277)&gt;1.0001,"Las participaciones suman más de 100 %; ",""))</f>
        <v/>
      </c>
    </row>
    <row r="278">
      <c r="J278" s="15" t="n"/>
      <c r="K278" s="15" t="n"/>
      <c r="L278" s="15" t="n"/>
      <c r="N278" s="15" t="n"/>
      <c r="O278" s="16" t="n"/>
      <c r="P278" s="16" t="n"/>
      <c r="Q278" s="16" t="n"/>
      <c r="W278" s="12">
        <f>IF(AND(K278&lt;&gt;"",L278&lt;&gt;""),ROUND((L278-K278)/30.4375,1),"")</f>
        <v/>
      </c>
      <c r="X278" s="12">
        <f>IF(OR(A278="",M278="En ejecución",L278=""),"",YEAR(L278))</f>
        <v/>
      </c>
      <c r="Y278" s="13">
        <f>IF(X278="","",IFERROR(VLOOKUP(X278,SMMLV!$A$2:$B$38,2,FALSE),""))</f>
        <v/>
      </c>
      <c r="Z278" s="17">
        <f>IF(OR(Y278="",P278=""),"",ROUND(P278/Y278,2))</f>
        <v/>
      </c>
      <c r="AA278" s="13">
        <f>IF(Z278="","",ROUND(Z278*SMMLV!$E$4,0))</f>
        <v/>
      </c>
      <c r="AB278" s="13">
        <f>IF(AND(M278="En ejecución",P278&lt;&gt;"",Q278&lt;&gt;""),MAX(P278-Q278,0),"")</f>
        <v/>
      </c>
      <c r="AC278" s="12">
        <f>IF(A278="","",IF(B278="","Falta número de contrato; ","")&amp;IF(C278="","Falta entidad; ","")&amp;IF(E278="","Falta objeto; ","")&amp;IF(F278="","Falta especialidad; ","")&amp;IF(K278="","Falta fecha de inicio (recomendada); ","")&amp;IF(AND(M278&lt;&gt;"En ejecución",L278=""),"Falta fecha de terminación; ","")&amp;IF(AND(K278&lt;&gt;"",L278&lt;&gt;"",L278&lt;K278),"Terminación anterior al inicio; ","")&amp;IF(M278="","Falta estado; ","")&amp;IF(OR(P278="",P278&lt;=0),"Falta valor del contrato; ","")&amp;IF(AND(M278="En ejecución",Q278=""),"En ejecución sin valor ejecutado; ","")&amp;IF(AND(M278="En ejecución",L278&lt;&gt;"",L278&lt;TODAY()),"Dice en ejecución pero su terminación ya pasó; ","")&amp;IF(M278="En ejecución","En ejecución: no acredita experiencia; ","")&amp;IF(AND(M278&lt;&gt;"En ejecución",L278&lt;&gt;"",X278&lt;&gt;"",Y278=""),"El año no está en la hoja SMMLV; ","")&amp;IF(AND(B278&lt;&gt;"",COUNTIFS($B$2:$B$601,B278,$C$2:$C$601,C278)&gt;1),"Posible duplicado (mismo número y entidad); ","")&amp;IF(COUNTIF(PARTICIPACIONES!$A$2:$A$601,A278)=0,"Sin participaciones; ","")&amp;IF(SUMIFS(PARTICIPACIONES!$E$2:$E$601,PARTICIPACIONES!$A$2:$A$601,A278)&gt;1.0001,"Las participaciones suman más de 100 %; ",""))</f>
        <v/>
      </c>
    </row>
    <row r="279">
      <c r="J279" s="15" t="n"/>
      <c r="K279" s="15" t="n"/>
      <c r="L279" s="15" t="n"/>
      <c r="N279" s="15" t="n"/>
      <c r="O279" s="16" t="n"/>
      <c r="P279" s="16" t="n"/>
      <c r="Q279" s="16" t="n"/>
      <c r="W279" s="12">
        <f>IF(AND(K279&lt;&gt;"",L279&lt;&gt;""),ROUND((L279-K279)/30.4375,1),"")</f>
        <v/>
      </c>
      <c r="X279" s="12">
        <f>IF(OR(A279="",M279="En ejecución",L279=""),"",YEAR(L279))</f>
        <v/>
      </c>
      <c r="Y279" s="13">
        <f>IF(X279="","",IFERROR(VLOOKUP(X279,SMMLV!$A$2:$B$38,2,FALSE),""))</f>
        <v/>
      </c>
      <c r="Z279" s="17">
        <f>IF(OR(Y279="",P279=""),"",ROUND(P279/Y279,2))</f>
        <v/>
      </c>
      <c r="AA279" s="13">
        <f>IF(Z279="","",ROUND(Z279*SMMLV!$E$4,0))</f>
        <v/>
      </c>
      <c r="AB279" s="13">
        <f>IF(AND(M279="En ejecución",P279&lt;&gt;"",Q279&lt;&gt;""),MAX(P279-Q279,0),"")</f>
        <v/>
      </c>
      <c r="AC279" s="12">
        <f>IF(A279="","",IF(B279="","Falta número de contrato; ","")&amp;IF(C279="","Falta entidad; ","")&amp;IF(E279="","Falta objeto; ","")&amp;IF(F279="","Falta especialidad; ","")&amp;IF(K279="","Falta fecha de inicio (recomendada); ","")&amp;IF(AND(M279&lt;&gt;"En ejecución",L279=""),"Falta fecha de terminación; ","")&amp;IF(AND(K279&lt;&gt;"",L279&lt;&gt;"",L279&lt;K279),"Terminación anterior al inicio; ","")&amp;IF(M279="","Falta estado; ","")&amp;IF(OR(P279="",P279&lt;=0),"Falta valor del contrato; ","")&amp;IF(AND(M279="En ejecución",Q279=""),"En ejecución sin valor ejecutado; ","")&amp;IF(AND(M279="En ejecución",L279&lt;&gt;"",L279&lt;TODAY()),"Dice en ejecución pero su terminación ya pasó; ","")&amp;IF(M279="En ejecución","En ejecución: no acredita experiencia; ","")&amp;IF(AND(M279&lt;&gt;"En ejecución",L279&lt;&gt;"",X279&lt;&gt;"",Y279=""),"El año no está en la hoja SMMLV; ","")&amp;IF(AND(B279&lt;&gt;"",COUNTIFS($B$2:$B$601,B279,$C$2:$C$601,C279)&gt;1),"Posible duplicado (mismo número y entidad); ","")&amp;IF(COUNTIF(PARTICIPACIONES!$A$2:$A$601,A279)=0,"Sin participaciones; ","")&amp;IF(SUMIFS(PARTICIPACIONES!$E$2:$E$601,PARTICIPACIONES!$A$2:$A$601,A279)&gt;1.0001,"Las participaciones suman más de 100 %; ",""))</f>
        <v/>
      </c>
    </row>
    <row r="280">
      <c r="J280" s="15" t="n"/>
      <c r="K280" s="15" t="n"/>
      <c r="L280" s="15" t="n"/>
      <c r="N280" s="15" t="n"/>
      <c r="O280" s="16" t="n"/>
      <c r="P280" s="16" t="n"/>
      <c r="Q280" s="16" t="n"/>
      <c r="W280" s="12">
        <f>IF(AND(K280&lt;&gt;"",L280&lt;&gt;""),ROUND((L280-K280)/30.4375,1),"")</f>
        <v/>
      </c>
      <c r="X280" s="12">
        <f>IF(OR(A280="",M280="En ejecución",L280=""),"",YEAR(L280))</f>
        <v/>
      </c>
      <c r="Y280" s="13">
        <f>IF(X280="","",IFERROR(VLOOKUP(X280,SMMLV!$A$2:$B$38,2,FALSE),""))</f>
        <v/>
      </c>
      <c r="Z280" s="17">
        <f>IF(OR(Y280="",P280=""),"",ROUND(P280/Y280,2))</f>
        <v/>
      </c>
      <c r="AA280" s="13">
        <f>IF(Z280="","",ROUND(Z280*SMMLV!$E$4,0))</f>
        <v/>
      </c>
      <c r="AB280" s="13">
        <f>IF(AND(M280="En ejecución",P280&lt;&gt;"",Q280&lt;&gt;""),MAX(P280-Q280,0),"")</f>
        <v/>
      </c>
      <c r="AC280" s="12">
        <f>IF(A280="","",IF(B280="","Falta número de contrato; ","")&amp;IF(C280="","Falta entidad; ","")&amp;IF(E280="","Falta objeto; ","")&amp;IF(F280="","Falta especialidad; ","")&amp;IF(K280="","Falta fecha de inicio (recomendada); ","")&amp;IF(AND(M280&lt;&gt;"En ejecución",L280=""),"Falta fecha de terminación; ","")&amp;IF(AND(K280&lt;&gt;"",L280&lt;&gt;"",L280&lt;K280),"Terminación anterior al inicio; ","")&amp;IF(M280="","Falta estado; ","")&amp;IF(OR(P280="",P280&lt;=0),"Falta valor del contrato; ","")&amp;IF(AND(M280="En ejecución",Q280=""),"En ejecución sin valor ejecutado; ","")&amp;IF(AND(M280="En ejecución",L280&lt;&gt;"",L280&lt;TODAY()),"Dice en ejecución pero su terminación ya pasó; ","")&amp;IF(M280="En ejecución","En ejecución: no acredita experiencia; ","")&amp;IF(AND(M280&lt;&gt;"En ejecución",L280&lt;&gt;"",X280&lt;&gt;"",Y280=""),"El año no está en la hoja SMMLV; ","")&amp;IF(AND(B280&lt;&gt;"",COUNTIFS($B$2:$B$601,B280,$C$2:$C$601,C280)&gt;1),"Posible duplicado (mismo número y entidad); ","")&amp;IF(COUNTIF(PARTICIPACIONES!$A$2:$A$601,A280)=0,"Sin participaciones; ","")&amp;IF(SUMIFS(PARTICIPACIONES!$E$2:$E$601,PARTICIPACIONES!$A$2:$A$601,A280)&gt;1.0001,"Las participaciones suman más de 100 %; ",""))</f>
        <v/>
      </c>
    </row>
    <row r="281">
      <c r="J281" s="15" t="n"/>
      <c r="K281" s="15" t="n"/>
      <c r="L281" s="15" t="n"/>
      <c r="N281" s="15" t="n"/>
      <c r="O281" s="16" t="n"/>
      <c r="P281" s="16" t="n"/>
      <c r="Q281" s="16" t="n"/>
      <c r="W281" s="12">
        <f>IF(AND(K281&lt;&gt;"",L281&lt;&gt;""),ROUND((L281-K281)/30.4375,1),"")</f>
        <v/>
      </c>
      <c r="X281" s="12">
        <f>IF(OR(A281="",M281="En ejecución",L281=""),"",YEAR(L281))</f>
        <v/>
      </c>
      <c r="Y281" s="13">
        <f>IF(X281="","",IFERROR(VLOOKUP(X281,SMMLV!$A$2:$B$38,2,FALSE),""))</f>
        <v/>
      </c>
      <c r="Z281" s="17">
        <f>IF(OR(Y281="",P281=""),"",ROUND(P281/Y281,2))</f>
        <v/>
      </c>
      <c r="AA281" s="13">
        <f>IF(Z281="","",ROUND(Z281*SMMLV!$E$4,0))</f>
        <v/>
      </c>
      <c r="AB281" s="13">
        <f>IF(AND(M281="En ejecución",P281&lt;&gt;"",Q281&lt;&gt;""),MAX(P281-Q281,0),"")</f>
        <v/>
      </c>
      <c r="AC281" s="12">
        <f>IF(A281="","",IF(B281="","Falta número de contrato; ","")&amp;IF(C281="","Falta entidad; ","")&amp;IF(E281="","Falta objeto; ","")&amp;IF(F281="","Falta especialidad; ","")&amp;IF(K281="","Falta fecha de inicio (recomendada); ","")&amp;IF(AND(M281&lt;&gt;"En ejecución",L281=""),"Falta fecha de terminación; ","")&amp;IF(AND(K281&lt;&gt;"",L281&lt;&gt;"",L281&lt;K281),"Terminación anterior al inicio; ","")&amp;IF(M281="","Falta estado; ","")&amp;IF(OR(P281="",P281&lt;=0),"Falta valor del contrato; ","")&amp;IF(AND(M281="En ejecución",Q281=""),"En ejecución sin valor ejecutado; ","")&amp;IF(AND(M281="En ejecución",L281&lt;&gt;"",L281&lt;TODAY()),"Dice en ejecución pero su terminación ya pasó; ","")&amp;IF(M281="En ejecución","En ejecución: no acredita experiencia; ","")&amp;IF(AND(M281&lt;&gt;"En ejecución",L281&lt;&gt;"",X281&lt;&gt;"",Y281=""),"El año no está en la hoja SMMLV; ","")&amp;IF(AND(B281&lt;&gt;"",COUNTIFS($B$2:$B$601,B281,$C$2:$C$601,C281)&gt;1),"Posible duplicado (mismo número y entidad); ","")&amp;IF(COUNTIF(PARTICIPACIONES!$A$2:$A$601,A281)=0,"Sin participaciones; ","")&amp;IF(SUMIFS(PARTICIPACIONES!$E$2:$E$601,PARTICIPACIONES!$A$2:$A$601,A281)&gt;1.0001,"Las participaciones suman más de 100 %; ",""))</f>
        <v/>
      </c>
    </row>
    <row r="282">
      <c r="J282" s="15" t="n"/>
      <c r="K282" s="15" t="n"/>
      <c r="L282" s="15" t="n"/>
      <c r="N282" s="15" t="n"/>
      <c r="O282" s="16" t="n"/>
      <c r="P282" s="16" t="n"/>
      <c r="Q282" s="16" t="n"/>
      <c r="W282" s="12">
        <f>IF(AND(K282&lt;&gt;"",L282&lt;&gt;""),ROUND((L282-K282)/30.4375,1),"")</f>
        <v/>
      </c>
      <c r="X282" s="12">
        <f>IF(OR(A282="",M282="En ejecución",L282=""),"",YEAR(L282))</f>
        <v/>
      </c>
      <c r="Y282" s="13">
        <f>IF(X282="","",IFERROR(VLOOKUP(X282,SMMLV!$A$2:$B$38,2,FALSE),""))</f>
        <v/>
      </c>
      <c r="Z282" s="17">
        <f>IF(OR(Y282="",P282=""),"",ROUND(P282/Y282,2))</f>
        <v/>
      </c>
      <c r="AA282" s="13">
        <f>IF(Z282="","",ROUND(Z282*SMMLV!$E$4,0))</f>
        <v/>
      </c>
      <c r="AB282" s="13">
        <f>IF(AND(M282="En ejecución",P282&lt;&gt;"",Q282&lt;&gt;""),MAX(P282-Q282,0),"")</f>
        <v/>
      </c>
      <c r="AC282" s="12">
        <f>IF(A282="","",IF(B282="","Falta número de contrato; ","")&amp;IF(C282="","Falta entidad; ","")&amp;IF(E282="","Falta objeto; ","")&amp;IF(F282="","Falta especialidad; ","")&amp;IF(K282="","Falta fecha de inicio (recomendada); ","")&amp;IF(AND(M282&lt;&gt;"En ejecución",L282=""),"Falta fecha de terminación; ","")&amp;IF(AND(K282&lt;&gt;"",L282&lt;&gt;"",L282&lt;K282),"Terminación anterior al inicio; ","")&amp;IF(M282="","Falta estado; ","")&amp;IF(OR(P282="",P282&lt;=0),"Falta valor del contrato; ","")&amp;IF(AND(M282="En ejecución",Q282=""),"En ejecución sin valor ejecutado; ","")&amp;IF(AND(M282="En ejecución",L282&lt;&gt;"",L282&lt;TODAY()),"Dice en ejecución pero su terminación ya pasó; ","")&amp;IF(M282="En ejecución","En ejecución: no acredita experiencia; ","")&amp;IF(AND(M282&lt;&gt;"En ejecución",L282&lt;&gt;"",X282&lt;&gt;"",Y282=""),"El año no está en la hoja SMMLV; ","")&amp;IF(AND(B282&lt;&gt;"",COUNTIFS($B$2:$B$601,B282,$C$2:$C$601,C282)&gt;1),"Posible duplicado (mismo número y entidad); ","")&amp;IF(COUNTIF(PARTICIPACIONES!$A$2:$A$601,A282)=0,"Sin participaciones; ","")&amp;IF(SUMIFS(PARTICIPACIONES!$E$2:$E$601,PARTICIPACIONES!$A$2:$A$601,A282)&gt;1.0001,"Las participaciones suman más de 100 %; ",""))</f>
        <v/>
      </c>
    </row>
    <row r="283">
      <c r="J283" s="15" t="n"/>
      <c r="K283" s="15" t="n"/>
      <c r="L283" s="15" t="n"/>
      <c r="N283" s="15" t="n"/>
      <c r="O283" s="16" t="n"/>
      <c r="P283" s="16" t="n"/>
      <c r="Q283" s="16" t="n"/>
      <c r="W283" s="12">
        <f>IF(AND(K283&lt;&gt;"",L283&lt;&gt;""),ROUND((L283-K283)/30.4375,1),"")</f>
        <v/>
      </c>
      <c r="X283" s="12">
        <f>IF(OR(A283="",M283="En ejecución",L283=""),"",YEAR(L283))</f>
        <v/>
      </c>
      <c r="Y283" s="13">
        <f>IF(X283="","",IFERROR(VLOOKUP(X283,SMMLV!$A$2:$B$38,2,FALSE),""))</f>
        <v/>
      </c>
      <c r="Z283" s="17">
        <f>IF(OR(Y283="",P283=""),"",ROUND(P283/Y283,2))</f>
        <v/>
      </c>
      <c r="AA283" s="13">
        <f>IF(Z283="","",ROUND(Z283*SMMLV!$E$4,0))</f>
        <v/>
      </c>
      <c r="AB283" s="13">
        <f>IF(AND(M283="En ejecución",P283&lt;&gt;"",Q283&lt;&gt;""),MAX(P283-Q283,0),"")</f>
        <v/>
      </c>
      <c r="AC283" s="12">
        <f>IF(A283="","",IF(B283="","Falta número de contrato; ","")&amp;IF(C283="","Falta entidad; ","")&amp;IF(E283="","Falta objeto; ","")&amp;IF(F283="","Falta especialidad; ","")&amp;IF(K283="","Falta fecha de inicio (recomendada); ","")&amp;IF(AND(M283&lt;&gt;"En ejecución",L283=""),"Falta fecha de terminación; ","")&amp;IF(AND(K283&lt;&gt;"",L283&lt;&gt;"",L283&lt;K283),"Terminación anterior al inicio; ","")&amp;IF(M283="","Falta estado; ","")&amp;IF(OR(P283="",P283&lt;=0),"Falta valor del contrato; ","")&amp;IF(AND(M283="En ejecución",Q283=""),"En ejecución sin valor ejecutado; ","")&amp;IF(AND(M283="En ejecución",L283&lt;&gt;"",L283&lt;TODAY()),"Dice en ejecución pero su terminación ya pasó; ","")&amp;IF(M283="En ejecución","En ejecución: no acredita experiencia; ","")&amp;IF(AND(M283&lt;&gt;"En ejecución",L283&lt;&gt;"",X283&lt;&gt;"",Y283=""),"El año no está en la hoja SMMLV; ","")&amp;IF(AND(B283&lt;&gt;"",COUNTIFS($B$2:$B$601,B283,$C$2:$C$601,C283)&gt;1),"Posible duplicado (mismo número y entidad); ","")&amp;IF(COUNTIF(PARTICIPACIONES!$A$2:$A$601,A283)=0,"Sin participaciones; ","")&amp;IF(SUMIFS(PARTICIPACIONES!$E$2:$E$601,PARTICIPACIONES!$A$2:$A$601,A283)&gt;1.0001,"Las participaciones suman más de 100 %; ",""))</f>
        <v/>
      </c>
    </row>
    <row r="284">
      <c r="J284" s="15" t="n"/>
      <c r="K284" s="15" t="n"/>
      <c r="L284" s="15" t="n"/>
      <c r="N284" s="15" t="n"/>
      <c r="O284" s="16" t="n"/>
      <c r="P284" s="16" t="n"/>
      <c r="Q284" s="16" t="n"/>
      <c r="W284" s="12">
        <f>IF(AND(K284&lt;&gt;"",L284&lt;&gt;""),ROUND((L284-K284)/30.4375,1),"")</f>
        <v/>
      </c>
      <c r="X284" s="12">
        <f>IF(OR(A284="",M284="En ejecución",L284=""),"",YEAR(L284))</f>
        <v/>
      </c>
      <c r="Y284" s="13">
        <f>IF(X284="","",IFERROR(VLOOKUP(X284,SMMLV!$A$2:$B$38,2,FALSE),""))</f>
        <v/>
      </c>
      <c r="Z284" s="17">
        <f>IF(OR(Y284="",P284=""),"",ROUND(P284/Y284,2))</f>
        <v/>
      </c>
      <c r="AA284" s="13">
        <f>IF(Z284="","",ROUND(Z284*SMMLV!$E$4,0))</f>
        <v/>
      </c>
      <c r="AB284" s="13">
        <f>IF(AND(M284="En ejecución",P284&lt;&gt;"",Q284&lt;&gt;""),MAX(P284-Q284,0),"")</f>
        <v/>
      </c>
      <c r="AC284" s="12">
        <f>IF(A284="","",IF(B284="","Falta número de contrato; ","")&amp;IF(C284="","Falta entidad; ","")&amp;IF(E284="","Falta objeto; ","")&amp;IF(F284="","Falta especialidad; ","")&amp;IF(K284="","Falta fecha de inicio (recomendada); ","")&amp;IF(AND(M284&lt;&gt;"En ejecución",L284=""),"Falta fecha de terminación; ","")&amp;IF(AND(K284&lt;&gt;"",L284&lt;&gt;"",L284&lt;K284),"Terminación anterior al inicio; ","")&amp;IF(M284="","Falta estado; ","")&amp;IF(OR(P284="",P284&lt;=0),"Falta valor del contrato; ","")&amp;IF(AND(M284="En ejecución",Q284=""),"En ejecución sin valor ejecutado; ","")&amp;IF(AND(M284="En ejecución",L284&lt;&gt;"",L284&lt;TODAY()),"Dice en ejecución pero su terminación ya pasó; ","")&amp;IF(M284="En ejecución","En ejecución: no acredita experiencia; ","")&amp;IF(AND(M284&lt;&gt;"En ejecución",L284&lt;&gt;"",X284&lt;&gt;"",Y284=""),"El año no está en la hoja SMMLV; ","")&amp;IF(AND(B284&lt;&gt;"",COUNTIFS($B$2:$B$601,B284,$C$2:$C$601,C284)&gt;1),"Posible duplicado (mismo número y entidad); ","")&amp;IF(COUNTIF(PARTICIPACIONES!$A$2:$A$601,A284)=0,"Sin participaciones; ","")&amp;IF(SUMIFS(PARTICIPACIONES!$E$2:$E$601,PARTICIPACIONES!$A$2:$A$601,A284)&gt;1.0001,"Las participaciones suman más de 100 %; ",""))</f>
        <v/>
      </c>
    </row>
    <row r="285">
      <c r="J285" s="15" t="n"/>
      <c r="K285" s="15" t="n"/>
      <c r="L285" s="15" t="n"/>
      <c r="N285" s="15" t="n"/>
      <c r="O285" s="16" t="n"/>
      <c r="P285" s="16" t="n"/>
      <c r="Q285" s="16" t="n"/>
      <c r="W285" s="12">
        <f>IF(AND(K285&lt;&gt;"",L285&lt;&gt;""),ROUND((L285-K285)/30.4375,1),"")</f>
        <v/>
      </c>
      <c r="X285" s="12">
        <f>IF(OR(A285="",M285="En ejecución",L285=""),"",YEAR(L285))</f>
        <v/>
      </c>
      <c r="Y285" s="13">
        <f>IF(X285="","",IFERROR(VLOOKUP(X285,SMMLV!$A$2:$B$38,2,FALSE),""))</f>
        <v/>
      </c>
      <c r="Z285" s="17">
        <f>IF(OR(Y285="",P285=""),"",ROUND(P285/Y285,2))</f>
        <v/>
      </c>
      <c r="AA285" s="13">
        <f>IF(Z285="","",ROUND(Z285*SMMLV!$E$4,0))</f>
        <v/>
      </c>
      <c r="AB285" s="13">
        <f>IF(AND(M285="En ejecución",P285&lt;&gt;"",Q285&lt;&gt;""),MAX(P285-Q285,0),"")</f>
        <v/>
      </c>
      <c r="AC285" s="12">
        <f>IF(A285="","",IF(B285="","Falta número de contrato; ","")&amp;IF(C285="","Falta entidad; ","")&amp;IF(E285="","Falta objeto; ","")&amp;IF(F285="","Falta especialidad; ","")&amp;IF(K285="","Falta fecha de inicio (recomendada); ","")&amp;IF(AND(M285&lt;&gt;"En ejecución",L285=""),"Falta fecha de terminación; ","")&amp;IF(AND(K285&lt;&gt;"",L285&lt;&gt;"",L285&lt;K285),"Terminación anterior al inicio; ","")&amp;IF(M285="","Falta estado; ","")&amp;IF(OR(P285="",P285&lt;=0),"Falta valor del contrato; ","")&amp;IF(AND(M285="En ejecución",Q285=""),"En ejecución sin valor ejecutado; ","")&amp;IF(AND(M285="En ejecución",L285&lt;&gt;"",L285&lt;TODAY()),"Dice en ejecución pero su terminación ya pasó; ","")&amp;IF(M285="En ejecución","En ejecución: no acredita experiencia; ","")&amp;IF(AND(M285&lt;&gt;"En ejecución",L285&lt;&gt;"",X285&lt;&gt;"",Y285=""),"El año no está en la hoja SMMLV; ","")&amp;IF(AND(B285&lt;&gt;"",COUNTIFS($B$2:$B$601,B285,$C$2:$C$601,C285)&gt;1),"Posible duplicado (mismo número y entidad); ","")&amp;IF(COUNTIF(PARTICIPACIONES!$A$2:$A$601,A285)=0,"Sin participaciones; ","")&amp;IF(SUMIFS(PARTICIPACIONES!$E$2:$E$601,PARTICIPACIONES!$A$2:$A$601,A285)&gt;1.0001,"Las participaciones suman más de 100 %; ",""))</f>
        <v/>
      </c>
    </row>
    <row r="286">
      <c r="J286" s="15" t="n"/>
      <c r="K286" s="15" t="n"/>
      <c r="L286" s="15" t="n"/>
      <c r="N286" s="15" t="n"/>
      <c r="O286" s="16" t="n"/>
      <c r="P286" s="16" t="n"/>
      <c r="Q286" s="16" t="n"/>
      <c r="W286" s="12">
        <f>IF(AND(K286&lt;&gt;"",L286&lt;&gt;""),ROUND((L286-K286)/30.4375,1),"")</f>
        <v/>
      </c>
      <c r="X286" s="12">
        <f>IF(OR(A286="",M286="En ejecución",L286=""),"",YEAR(L286))</f>
        <v/>
      </c>
      <c r="Y286" s="13">
        <f>IF(X286="","",IFERROR(VLOOKUP(X286,SMMLV!$A$2:$B$38,2,FALSE),""))</f>
        <v/>
      </c>
      <c r="Z286" s="17">
        <f>IF(OR(Y286="",P286=""),"",ROUND(P286/Y286,2))</f>
        <v/>
      </c>
      <c r="AA286" s="13">
        <f>IF(Z286="","",ROUND(Z286*SMMLV!$E$4,0))</f>
        <v/>
      </c>
      <c r="AB286" s="13">
        <f>IF(AND(M286="En ejecución",P286&lt;&gt;"",Q286&lt;&gt;""),MAX(P286-Q286,0),"")</f>
        <v/>
      </c>
      <c r="AC286" s="12">
        <f>IF(A286="","",IF(B286="","Falta número de contrato; ","")&amp;IF(C286="","Falta entidad; ","")&amp;IF(E286="","Falta objeto; ","")&amp;IF(F286="","Falta especialidad; ","")&amp;IF(K286="","Falta fecha de inicio (recomendada); ","")&amp;IF(AND(M286&lt;&gt;"En ejecución",L286=""),"Falta fecha de terminación; ","")&amp;IF(AND(K286&lt;&gt;"",L286&lt;&gt;"",L286&lt;K286),"Terminación anterior al inicio; ","")&amp;IF(M286="","Falta estado; ","")&amp;IF(OR(P286="",P286&lt;=0),"Falta valor del contrato; ","")&amp;IF(AND(M286="En ejecución",Q286=""),"En ejecución sin valor ejecutado; ","")&amp;IF(AND(M286="En ejecución",L286&lt;&gt;"",L286&lt;TODAY()),"Dice en ejecución pero su terminación ya pasó; ","")&amp;IF(M286="En ejecución","En ejecución: no acredita experiencia; ","")&amp;IF(AND(M286&lt;&gt;"En ejecución",L286&lt;&gt;"",X286&lt;&gt;"",Y286=""),"El año no está en la hoja SMMLV; ","")&amp;IF(AND(B286&lt;&gt;"",COUNTIFS($B$2:$B$601,B286,$C$2:$C$601,C286)&gt;1),"Posible duplicado (mismo número y entidad); ","")&amp;IF(COUNTIF(PARTICIPACIONES!$A$2:$A$601,A286)=0,"Sin participaciones; ","")&amp;IF(SUMIFS(PARTICIPACIONES!$E$2:$E$601,PARTICIPACIONES!$A$2:$A$601,A286)&gt;1.0001,"Las participaciones suman más de 100 %; ",""))</f>
        <v/>
      </c>
    </row>
    <row r="287">
      <c r="J287" s="15" t="n"/>
      <c r="K287" s="15" t="n"/>
      <c r="L287" s="15" t="n"/>
      <c r="N287" s="15" t="n"/>
      <c r="O287" s="16" t="n"/>
      <c r="P287" s="16" t="n"/>
      <c r="Q287" s="16" t="n"/>
      <c r="W287" s="12">
        <f>IF(AND(K287&lt;&gt;"",L287&lt;&gt;""),ROUND((L287-K287)/30.4375,1),"")</f>
        <v/>
      </c>
      <c r="X287" s="12">
        <f>IF(OR(A287="",M287="En ejecución",L287=""),"",YEAR(L287))</f>
        <v/>
      </c>
      <c r="Y287" s="13">
        <f>IF(X287="","",IFERROR(VLOOKUP(X287,SMMLV!$A$2:$B$38,2,FALSE),""))</f>
        <v/>
      </c>
      <c r="Z287" s="17">
        <f>IF(OR(Y287="",P287=""),"",ROUND(P287/Y287,2))</f>
        <v/>
      </c>
      <c r="AA287" s="13">
        <f>IF(Z287="","",ROUND(Z287*SMMLV!$E$4,0))</f>
        <v/>
      </c>
      <c r="AB287" s="13">
        <f>IF(AND(M287="En ejecución",P287&lt;&gt;"",Q287&lt;&gt;""),MAX(P287-Q287,0),"")</f>
        <v/>
      </c>
      <c r="AC287" s="12">
        <f>IF(A287="","",IF(B287="","Falta número de contrato; ","")&amp;IF(C287="","Falta entidad; ","")&amp;IF(E287="","Falta objeto; ","")&amp;IF(F287="","Falta especialidad; ","")&amp;IF(K287="","Falta fecha de inicio (recomendada); ","")&amp;IF(AND(M287&lt;&gt;"En ejecución",L287=""),"Falta fecha de terminación; ","")&amp;IF(AND(K287&lt;&gt;"",L287&lt;&gt;"",L287&lt;K287),"Terminación anterior al inicio; ","")&amp;IF(M287="","Falta estado; ","")&amp;IF(OR(P287="",P287&lt;=0),"Falta valor del contrato; ","")&amp;IF(AND(M287="En ejecución",Q287=""),"En ejecución sin valor ejecutado; ","")&amp;IF(AND(M287="En ejecución",L287&lt;&gt;"",L287&lt;TODAY()),"Dice en ejecución pero su terminación ya pasó; ","")&amp;IF(M287="En ejecución","En ejecución: no acredita experiencia; ","")&amp;IF(AND(M287&lt;&gt;"En ejecución",L287&lt;&gt;"",X287&lt;&gt;"",Y287=""),"El año no está en la hoja SMMLV; ","")&amp;IF(AND(B287&lt;&gt;"",COUNTIFS($B$2:$B$601,B287,$C$2:$C$601,C287)&gt;1),"Posible duplicado (mismo número y entidad); ","")&amp;IF(COUNTIF(PARTICIPACIONES!$A$2:$A$601,A287)=0,"Sin participaciones; ","")&amp;IF(SUMIFS(PARTICIPACIONES!$E$2:$E$601,PARTICIPACIONES!$A$2:$A$601,A287)&gt;1.0001,"Las participaciones suman más de 100 %; ",""))</f>
        <v/>
      </c>
    </row>
    <row r="288">
      <c r="J288" s="15" t="n"/>
      <c r="K288" s="15" t="n"/>
      <c r="L288" s="15" t="n"/>
      <c r="N288" s="15" t="n"/>
      <c r="O288" s="16" t="n"/>
      <c r="P288" s="16" t="n"/>
      <c r="Q288" s="16" t="n"/>
      <c r="W288" s="12">
        <f>IF(AND(K288&lt;&gt;"",L288&lt;&gt;""),ROUND((L288-K288)/30.4375,1),"")</f>
        <v/>
      </c>
      <c r="X288" s="12">
        <f>IF(OR(A288="",M288="En ejecución",L288=""),"",YEAR(L288))</f>
        <v/>
      </c>
      <c r="Y288" s="13">
        <f>IF(X288="","",IFERROR(VLOOKUP(X288,SMMLV!$A$2:$B$38,2,FALSE),""))</f>
        <v/>
      </c>
      <c r="Z288" s="17">
        <f>IF(OR(Y288="",P288=""),"",ROUND(P288/Y288,2))</f>
        <v/>
      </c>
      <c r="AA288" s="13">
        <f>IF(Z288="","",ROUND(Z288*SMMLV!$E$4,0))</f>
        <v/>
      </c>
      <c r="AB288" s="13">
        <f>IF(AND(M288="En ejecución",P288&lt;&gt;"",Q288&lt;&gt;""),MAX(P288-Q288,0),"")</f>
        <v/>
      </c>
      <c r="AC288" s="12">
        <f>IF(A288="","",IF(B288="","Falta número de contrato; ","")&amp;IF(C288="","Falta entidad; ","")&amp;IF(E288="","Falta objeto; ","")&amp;IF(F288="","Falta especialidad; ","")&amp;IF(K288="","Falta fecha de inicio (recomendada); ","")&amp;IF(AND(M288&lt;&gt;"En ejecución",L288=""),"Falta fecha de terminación; ","")&amp;IF(AND(K288&lt;&gt;"",L288&lt;&gt;"",L288&lt;K288),"Terminación anterior al inicio; ","")&amp;IF(M288="","Falta estado; ","")&amp;IF(OR(P288="",P288&lt;=0),"Falta valor del contrato; ","")&amp;IF(AND(M288="En ejecución",Q288=""),"En ejecución sin valor ejecutado; ","")&amp;IF(AND(M288="En ejecución",L288&lt;&gt;"",L288&lt;TODAY()),"Dice en ejecución pero su terminación ya pasó; ","")&amp;IF(M288="En ejecución","En ejecución: no acredita experiencia; ","")&amp;IF(AND(M288&lt;&gt;"En ejecución",L288&lt;&gt;"",X288&lt;&gt;"",Y288=""),"El año no está en la hoja SMMLV; ","")&amp;IF(AND(B288&lt;&gt;"",COUNTIFS($B$2:$B$601,B288,$C$2:$C$601,C288)&gt;1),"Posible duplicado (mismo número y entidad); ","")&amp;IF(COUNTIF(PARTICIPACIONES!$A$2:$A$601,A288)=0,"Sin participaciones; ","")&amp;IF(SUMIFS(PARTICIPACIONES!$E$2:$E$601,PARTICIPACIONES!$A$2:$A$601,A288)&gt;1.0001,"Las participaciones suman más de 100 %; ",""))</f>
        <v/>
      </c>
    </row>
    <row r="289">
      <c r="J289" s="15" t="n"/>
      <c r="K289" s="15" t="n"/>
      <c r="L289" s="15" t="n"/>
      <c r="N289" s="15" t="n"/>
      <c r="O289" s="16" t="n"/>
      <c r="P289" s="16" t="n"/>
      <c r="Q289" s="16" t="n"/>
      <c r="W289" s="12">
        <f>IF(AND(K289&lt;&gt;"",L289&lt;&gt;""),ROUND((L289-K289)/30.4375,1),"")</f>
        <v/>
      </c>
      <c r="X289" s="12">
        <f>IF(OR(A289="",M289="En ejecución",L289=""),"",YEAR(L289))</f>
        <v/>
      </c>
      <c r="Y289" s="13">
        <f>IF(X289="","",IFERROR(VLOOKUP(X289,SMMLV!$A$2:$B$38,2,FALSE),""))</f>
        <v/>
      </c>
      <c r="Z289" s="17">
        <f>IF(OR(Y289="",P289=""),"",ROUND(P289/Y289,2))</f>
        <v/>
      </c>
      <c r="AA289" s="13">
        <f>IF(Z289="","",ROUND(Z289*SMMLV!$E$4,0))</f>
        <v/>
      </c>
      <c r="AB289" s="13">
        <f>IF(AND(M289="En ejecución",P289&lt;&gt;"",Q289&lt;&gt;""),MAX(P289-Q289,0),"")</f>
        <v/>
      </c>
      <c r="AC289" s="12">
        <f>IF(A289="","",IF(B289="","Falta número de contrato; ","")&amp;IF(C289="","Falta entidad; ","")&amp;IF(E289="","Falta objeto; ","")&amp;IF(F289="","Falta especialidad; ","")&amp;IF(K289="","Falta fecha de inicio (recomendada); ","")&amp;IF(AND(M289&lt;&gt;"En ejecución",L289=""),"Falta fecha de terminación; ","")&amp;IF(AND(K289&lt;&gt;"",L289&lt;&gt;"",L289&lt;K289),"Terminación anterior al inicio; ","")&amp;IF(M289="","Falta estado; ","")&amp;IF(OR(P289="",P289&lt;=0),"Falta valor del contrato; ","")&amp;IF(AND(M289="En ejecución",Q289=""),"En ejecución sin valor ejecutado; ","")&amp;IF(AND(M289="En ejecución",L289&lt;&gt;"",L289&lt;TODAY()),"Dice en ejecución pero su terminación ya pasó; ","")&amp;IF(M289="En ejecución","En ejecución: no acredita experiencia; ","")&amp;IF(AND(M289&lt;&gt;"En ejecución",L289&lt;&gt;"",X289&lt;&gt;"",Y289=""),"El año no está en la hoja SMMLV; ","")&amp;IF(AND(B289&lt;&gt;"",COUNTIFS($B$2:$B$601,B289,$C$2:$C$601,C289)&gt;1),"Posible duplicado (mismo número y entidad); ","")&amp;IF(COUNTIF(PARTICIPACIONES!$A$2:$A$601,A289)=0,"Sin participaciones; ","")&amp;IF(SUMIFS(PARTICIPACIONES!$E$2:$E$601,PARTICIPACIONES!$A$2:$A$601,A289)&gt;1.0001,"Las participaciones suman más de 100 %; ",""))</f>
        <v/>
      </c>
    </row>
    <row r="290">
      <c r="J290" s="15" t="n"/>
      <c r="K290" s="15" t="n"/>
      <c r="L290" s="15" t="n"/>
      <c r="N290" s="15" t="n"/>
      <c r="O290" s="16" t="n"/>
      <c r="P290" s="16" t="n"/>
      <c r="Q290" s="16" t="n"/>
      <c r="W290" s="12">
        <f>IF(AND(K290&lt;&gt;"",L290&lt;&gt;""),ROUND((L290-K290)/30.4375,1),"")</f>
        <v/>
      </c>
      <c r="X290" s="12">
        <f>IF(OR(A290="",M290="En ejecución",L290=""),"",YEAR(L290))</f>
        <v/>
      </c>
      <c r="Y290" s="13">
        <f>IF(X290="","",IFERROR(VLOOKUP(X290,SMMLV!$A$2:$B$38,2,FALSE),""))</f>
        <v/>
      </c>
      <c r="Z290" s="17">
        <f>IF(OR(Y290="",P290=""),"",ROUND(P290/Y290,2))</f>
        <v/>
      </c>
      <c r="AA290" s="13">
        <f>IF(Z290="","",ROUND(Z290*SMMLV!$E$4,0))</f>
        <v/>
      </c>
      <c r="AB290" s="13">
        <f>IF(AND(M290="En ejecución",P290&lt;&gt;"",Q290&lt;&gt;""),MAX(P290-Q290,0),"")</f>
        <v/>
      </c>
      <c r="AC290" s="12">
        <f>IF(A290="","",IF(B290="","Falta número de contrato; ","")&amp;IF(C290="","Falta entidad; ","")&amp;IF(E290="","Falta objeto; ","")&amp;IF(F290="","Falta especialidad; ","")&amp;IF(K290="","Falta fecha de inicio (recomendada); ","")&amp;IF(AND(M290&lt;&gt;"En ejecución",L290=""),"Falta fecha de terminación; ","")&amp;IF(AND(K290&lt;&gt;"",L290&lt;&gt;"",L290&lt;K290),"Terminación anterior al inicio; ","")&amp;IF(M290="","Falta estado; ","")&amp;IF(OR(P290="",P290&lt;=0),"Falta valor del contrato; ","")&amp;IF(AND(M290="En ejecución",Q290=""),"En ejecución sin valor ejecutado; ","")&amp;IF(AND(M290="En ejecución",L290&lt;&gt;"",L290&lt;TODAY()),"Dice en ejecución pero su terminación ya pasó; ","")&amp;IF(M290="En ejecución","En ejecución: no acredita experiencia; ","")&amp;IF(AND(M290&lt;&gt;"En ejecución",L290&lt;&gt;"",X290&lt;&gt;"",Y290=""),"El año no está en la hoja SMMLV; ","")&amp;IF(AND(B290&lt;&gt;"",COUNTIFS($B$2:$B$601,B290,$C$2:$C$601,C290)&gt;1),"Posible duplicado (mismo número y entidad); ","")&amp;IF(COUNTIF(PARTICIPACIONES!$A$2:$A$601,A290)=0,"Sin participaciones; ","")&amp;IF(SUMIFS(PARTICIPACIONES!$E$2:$E$601,PARTICIPACIONES!$A$2:$A$601,A290)&gt;1.0001,"Las participaciones suman más de 100 %; ",""))</f>
        <v/>
      </c>
    </row>
    <row r="291">
      <c r="J291" s="15" t="n"/>
      <c r="K291" s="15" t="n"/>
      <c r="L291" s="15" t="n"/>
      <c r="N291" s="15" t="n"/>
      <c r="O291" s="16" t="n"/>
      <c r="P291" s="16" t="n"/>
      <c r="Q291" s="16" t="n"/>
      <c r="W291" s="12">
        <f>IF(AND(K291&lt;&gt;"",L291&lt;&gt;""),ROUND((L291-K291)/30.4375,1),"")</f>
        <v/>
      </c>
      <c r="X291" s="12">
        <f>IF(OR(A291="",M291="En ejecución",L291=""),"",YEAR(L291))</f>
        <v/>
      </c>
      <c r="Y291" s="13">
        <f>IF(X291="","",IFERROR(VLOOKUP(X291,SMMLV!$A$2:$B$38,2,FALSE),""))</f>
        <v/>
      </c>
      <c r="Z291" s="17">
        <f>IF(OR(Y291="",P291=""),"",ROUND(P291/Y291,2))</f>
        <v/>
      </c>
      <c r="AA291" s="13">
        <f>IF(Z291="","",ROUND(Z291*SMMLV!$E$4,0))</f>
        <v/>
      </c>
      <c r="AB291" s="13">
        <f>IF(AND(M291="En ejecución",P291&lt;&gt;"",Q291&lt;&gt;""),MAX(P291-Q291,0),"")</f>
        <v/>
      </c>
      <c r="AC291" s="12">
        <f>IF(A291="","",IF(B291="","Falta número de contrato; ","")&amp;IF(C291="","Falta entidad; ","")&amp;IF(E291="","Falta objeto; ","")&amp;IF(F291="","Falta especialidad; ","")&amp;IF(K291="","Falta fecha de inicio (recomendada); ","")&amp;IF(AND(M291&lt;&gt;"En ejecución",L291=""),"Falta fecha de terminación; ","")&amp;IF(AND(K291&lt;&gt;"",L291&lt;&gt;"",L291&lt;K291),"Terminación anterior al inicio; ","")&amp;IF(M291="","Falta estado; ","")&amp;IF(OR(P291="",P291&lt;=0),"Falta valor del contrato; ","")&amp;IF(AND(M291="En ejecución",Q291=""),"En ejecución sin valor ejecutado; ","")&amp;IF(AND(M291="En ejecución",L291&lt;&gt;"",L291&lt;TODAY()),"Dice en ejecución pero su terminación ya pasó; ","")&amp;IF(M291="En ejecución","En ejecución: no acredita experiencia; ","")&amp;IF(AND(M291&lt;&gt;"En ejecución",L291&lt;&gt;"",X291&lt;&gt;"",Y291=""),"El año no está en la hoja SMMLV; ","")&amp;IF(AND(B291&lt;&gt;"",COUNTIFS($B$2:$B$601,B291,$C$2:$C$601,C291)&gt;1),"Posible duplicado (mismo número y entidad); ","")&amp;IF(COUNTIF(PARTICIPACIONES!$A$2:$A$601,A291)=0,"Sin participaciones; ","")&amp;IF(SUMIFS(PARTICIPACIONES!$E$2:$E$601,PARTICIPACIONES!$A$2:$A$601,A291)&gt;1.0001,"Las participaciones suman más de 100 %; ",""))</f>
        <v/>
      </c>
    </row>
    <row r="292">
      <c r="J292" s="15" t="n"/>
      <c r="K292" s="15" t="n"/>
      <c r="L292" s="15" t="n"/>
      <c r="N292" s="15" t="n"/>
      <c r="O292" s="16" t="n"/>
      <c r="P292" s="16" t="n"/>
      <c r="Q292" s="16" t="n"/>
      <c r="W292" s="12">
        <f>IF(AND(K292&lt;&gt;"",L292&lt;&gt;""),ROUND((L292-K292)/30.4375,1),"")</f>
        <v/>
      </c>
      <c r="X292" s="12">
        <f>IF(OR(A292="",M292="En ejecución",L292=""),"",YEAR(L292))</f>
        <v/>
      </c>
      <c r="Y292" s="13">
        <f>IF(X292="","",IFERROR(VLOOKUP(X292,SMMLV!$A$2:$B$38,2,FALSE),""))</f>
        <v/>
      </c>
      <c r="Z292" s="17">
        <f>IF(OR(Y292="",P292=""),"",ROUND(P292/Y292,2))</f>
        <v/>
      </c>
      <c r="AA292" s="13">
        <f>IF(Z292="","",ROUND(Z292*SMMLV!$E$4,0))</f>
        <v/>
      </c>
      <c r="AB292" s="13">
        <f>IF(AND(M292="En ejecución",P292&lt;&gt;"",Q292&lt;&gt;""),MAX(P292-Q292,0),"")</f>
        <v/>
      </c>
      <c r="AC292" s="12">
        <f>IF(A292="","",IF(B292="","Falta número de contrato; ","")&amp;IF(C292="","Falta entidad; ","")&amp;IF(E292="","Falta objeto; ","")&amp;IF(F292="","Falta especialidad; ","")&amp;IF(K292="","Falta fecha de inicio (recomendada); ","")&amp;IF(AND(M292&lt;&gt;"En ejecución",L292=""),"Falta fecha de terminación; ","")&amp;IF(AND(K292&lt;&gt;"",L292&lt;&gt;"",L292&lt;K292),"Terminación anterior al inicio; ","")&amp;IF(M292="","Falta estado; ","")&amp;IF(OR(P292="",P292&lt;=0),"Falta valor del contrato; ","")&amp;IF(AND(M292="En ejecución",Q292=""),"En ejecución sin valor ejecutado; ","")&amp;IF(AND(M292="En ejecución",L292&lt;&gt;"",L292&lt;TODAY()),"Dice en ejecución pero su terminación ya pasó; ","")&amp;IF(M292="En ejecución","En ejecución: no acredita experiencia; ","")&amp;IF(AND(M292&lt;&gt;"En ejecución",L292&lt;&gt;"",X292&lt;&gt;"",Y292=""),"El año no está en la hoja SMMLV; ","")&amp;IF(AND(B292&lt;&gt;"",COUNTIFS($B$2:$B$601,B292,$C$2:$C$601,C292)&gt;1),"Posible duplicado (mismo número y entidad); ","")&amp;IF(COUNTIF(PARTICIPACIONES!$A$2:$A$601,A292)=0,"Sin participaciones; ","")&amp;IF(SUMIFS(PARTICIPACIONES!$E$2:$E$601,PARTICIPACIONES!$A$2:$A$601,A292)&gt;1.0001,"Las participaciones suman más de 100 %; ",""))</f>
        <v/>
      </c>
    </row>
    <row r="293">
      <c r="J293" s="15" t="n"/>
      <c r="K293" s="15" t="n"/>
      <c r="L293" s="15" t="n"/>
      <c r="N293" s="15" t="n"/>
      <c r="O293" s="16" t="n"/>
      <c r="P293" s="16" t="n"/>
      <c r="Q293" s="16" t="n"/>
      <c r="W293" s="12">
        <f>IF(AND(K293&lt;&gt;"",L293&lt;&gt;""),ROUND((L293-K293)/30.4375,1),"")</f>
        <v/>
      </c>
      <c r="X293" s="12">
        <f>IF(OR(A293="",M293="En ejecución",L293=""),"",YEAR(L293))</f>
        <v/>
      </c>
      <c r="Y293" s="13">
        <f>IF(X293="","",IFERROR(VLOOKUP(X293,SMMLV!$A$2:$B$38,2,FALSE),""))</f>
        <v/>
      </c>
      <c r="Z293" s="17">
        <f>IF(OR(Y293="",P293=""),"",ROUND(P293/Y293,2))</f>
        <v/>
      </c>
      <c r="AA293" s="13">
        <f>IF(Z293="","",ROUND(Z293*SMMLV!$E$4,0))</f>
        <v/>
      </c>
      <c r="AB293" s="13">
        <f>IF(AND(M293="En ejecución",P293&lt;&gt;"",Q293&lt;&gt;""),MAX(P293-Q293,0),"")</f>
        <v/>
      </c>
      <c r="AC293" s="12">
        <f>IF(A293="","",IF(B293="","Falta número de contrato; ","")&amp;IF(C293="","Falta entidad; ","")&amp;IF(E293="","Falta objeto; ","")&amp;IF(F293="","Falta especialidad; ","")&amp;IF(K293="","Falta fecha de inicio (recomendada); ","")&amp;IF(AND(M293&lt;&gt;"En ejecución",L293=""),"Falta fecha de terminación; ","")&amp;IF(AND(K293&lt;&gt;"",L293&lt;&gt;"",L293&lt;K293),"Terminación anterior al inicio; ","")&amp;IF(M293="","Falta estado; ","")&amp;IF(OR(P293="",P293&lt;=0),"Falta valor del contrato; ","")&amp;IF(AND(M293="En ejecución",Q293=""),"En ejecución sin valor ejecutado; ","")&amp;IF(AND(M293="En ejecución",L293&lt;&gt;"",L293&lt;TODAY()),"Dice en ejecución pero su terminación ya pasó; ","")&amp;IF(M293="En ejecución","En ejecución: no acredita experiencia; ","")&amp;IF(AND(M293&lt;&gt;"En ejecución",L293&lt;&gt;"",X293&lt;&gt;"",Y293=""),"El año no está en la hoja SMMLV; ","")&amp;IF(AND(B293&lt;&gt;"",COUNTIFS($B$2:$B$601,B293,$C$2:$C$601,C293)&gt;1),"Posible duplicado (mismo número y entidad); ","")&amp;IF(COUNTIF(PARTICIPACIONES!$A$2:$A$601,A293)=0,"Sin participaciones; ","")&amp;IF(SUMIFS(PARTICIPACIONES!$E$2:$E$601,PARTICIPACIONES!$A$2:$A$601,A293)&gt;1.0001,"Las participaciones suman más de 100 %; ",""))</f>
        <v/>
      </c>
    </row>
    <row r="294">
      <c r="J294" s="15" t="n"/>
      <c r="K294" s="15" t="n"/>
      <c r="L294" s="15" t="n"/>
      <c r="N294" s="15" t="n"/>
      <c r="O294" s="16" t="n"/>
      <c r="P294" s="16" t="n"/>
      <c r="Q294" s="16" t="n"/>
      <c r="W294" s="12">
        <f>IF(AND(K294&lt;&gt;"",L294&lt;&gt;""),ROUND((L294-K294)/30.4375,1),"")</f>
        <v/>
      </c>
      <c r="X294" s="12">
        <f>IF(OR(A294="",M294="En ejecución",L294=""),"",YEAR(L294))</f>
        <v/>
      </c>
      <c r="Y294" s="13">
        <f>IF(X294="","",IFERROR(VLOOKUP(X294,SMMLV!$A$2:$B$38,2,FALSE),""))</f>
        <v/>
      </c>
      <c r="Z294" s="17">
        <f>IF(OR(Y294="",P294=""),"",ROUND(P294/Y294,2))</f>
        <v/>
      </c>
      <c r="AA294" s="13">
        <f>IF(Z294="","",ROUND(Z294*SMMLV!$E$4,0))</f>
        <v/>
      </c>
      <c r="AB294" s="13">
        <f>IF(AND(M294="En ejecución",P294&lt;&gt;"",Q294&lt;&gt;""),MAX(P294-Q294,0),"")</f>
        <v/>
      </c>
      <c r="AC294" s="12">
        <f>IF(A294="","",IF(B294="","Falta número de contrato; ","")&amp;IF(C294="","Falta entidad; ","")&amp;IF(E294="","Falta objeto; ","")&amp;IF(F294="","Falta especialidad; ","")&amp;IF(K294="","Falta fecha de inicio (recomendada); ","")&amp;IF(AND(M294&lt;&gt;"En ejecución",L294=""),"Falta fecha de terminación; ","")&amp;IF(AND(K294&lt;&gt;"",L294&lt;&gt;"",L294&lt;K294),"Terminación anterior al inicio; ","")&amp;IF(M294="","Falta estado; ","")&amp;IF(OR(P294="",P294&lt;=0),"Falta valor del contrato; ","")&amp;IF(AND(M294="En ejecución",Q294=""),"En ejecución sin valor ejecutado; ","")&amp;IF(AND(M294="En ejecución",L294&lt;&gt;"",L294&lt;TODAY()),"Dice en ejecución pero su terminación ya pasó; ","")&amp;IF(M294="En ejecución","En ejecución: no acredita experiencia; ","")&amp;IF(AND(M294&lt;&gt;"En ejecución",L294&lt;&gt;"",X294&lt;&gt;"",Y294=""),"El año no está en la hoja SMMLV; ","")&amp;IF(AND(B294&lt;&gt;"",COUNTIFS($B$2:$B$601,B294,$C$2:$C$601,C294)&gt;1),"Posible duplicado (mismo número y entidad); ","")&amp;IF(COUNTIF(PARTICIPACIONES!$A$2:$A$601,A294)=0,"Sin participaciones; ","")&amp;IF(SUMIFS(PARTICIPACIONES!$E$2:$E$601,PARTICIPACIONES!$A$2:$A$601,A294)&gt;1.0001,"Las participaciones suman más de 100 %; ",""))</f>
        <v/>
      </c>
    </row>
    <row r="295">
      <c r="J295" s="15" t="n"/>
      <c r="K295" s="15" t="n"/>
      <c r="L295" s="15" t="n"/>
      <c r="N295" s="15" t="n"/>
      <c r="O295" s="16" t="n"/>
      <c r="P295" s="16" t="n"/>
      <c r="Q295" s="16" t="n"/>
      <c r="W295" s="12">
        <f>IF(AND(K295&lt;&gt;"",L295&lt;&gt;""),ROUND((L295-K295)/30.4375,1),"")</f>
        <v/>
      </c>
      <c r="X295" s="12">
        <f>IF(OR(A295="",M295="En ejecución",L295=""),"",YEAR(L295))</f>
        <v/>
      </c>
      <c r="Y295" s="13">
        <f>IF(X295="","",IFERROR(VLOOKUP(X295,SMMLV!$A$2:$B$38,2,FALSE),""))</f>
        <v/>
      </c>
      <c r="Z295" s="17">
        <f>IF(OR(Y295="",P295=""),"",ROUND(P295/Y295,2))</f>
        <v/>
      </c>
      <c r="AA295" s="13">
        <f>IF(Z295="","",ROUND(Z295*SMMLV!$E$4,0))</f>
        <v/>
      </c>
      <c r="AB295" s="13">
        <f>IF(AND(M295="En ejecución",P295&lt;&gt;"",Q295&lt;&gt;""),MAX(P295-Q295,0),"")</f>
        <v/>
      </c>
      <c r="AC295" s="12">
        <f>IF(A295="","",IF(B295="","Falta número de contrato; ","")&amp;IF(C295="","Falta entidad; ","")&amp;IF(E295="","Falta objeto; ","")&amp;IF(F295="","Falta especialidad; ","")&amp;IF(K295="","Falta fecha de inicio (recomendada); ","")&amp;IF(AND(M295&lt;&gt;"En ejecución",L295=""),"Falta fecha de terminación; ","")&amp;IF(AND(K295&lt;&gt;"",L295&lt;&gt;"",L295&lt;K295),"Terminación anterior al inicio; ","")&amp;IF(M295="","Falta estado; ","")&amp;IF(OR(P295="",P295&lt;=0),"Falta valor del contrato; ","")&amp;IF(AND(M295="En ejecución",Q295=""),"En ejecución sin valor ejecutado; ","")&amp;IF(AND(M295="En ejecución",L295&lt;&gt;"",L295&lt;TODAY()),"Dice en ejecución pero su terminación ya pasó; ","")&amp;IF(M295="En ejecución","En ejecución: no acredita experiencia; ","")&amp;IF(AND(M295&lt;&gt;"En ejecución",L295&lt;&gt;"",X295&lt;&gt;"",Y295=""),"El año no está en la hoja SMMLV; ","")&amp;IF(AND(B295&lt;&gt;"",COUNTIFS($B$2:$B$601,B295,$C$2:$C$601,C295)&gt;1),"Posible duplicado (mismo número y entidad); ","")&amp;IF(COUNTIF(PARTICIPACIONES!$A$2:$A$601,A295)=0,"Sin participaciones; ","")&amp;IF(SUMIFS(PARTICIPACIONES!$E$2:$E$601,PARTICIPACIONES!$A$2:$A$601,A295)&gt;1.0001,"Las participaciones suman más de 100 %; ",""))</f>
        <v/>
      </c>
    </row>
    <row r="296">
      <c r="J296" s="15" t="n"/>
      <c r="K296" s="15" t="n"/>
      <c r="L296" s="15" t="n"/>
      <c r="N296" s="15" t="n"/>
      <c r="O296" s="16" t="n"/>
      <c r="P296" s="16" t="n"/>
      <c r="Q296" s="16" t="n"/>
      <c r="W296" s="12">
        <f>IF(AND(K296&lt;&gt;"",L296&lt;&gt;""),ROUND((L296-K296)/30.4375,1),"")</f>
        <v/>
      </c>
      <c r="X296" s="12">
        <f>IF(OR(A296="",M296="En ejecución",L296=""),"",YEAR(L296))</f>
        <v/>
      </c>
      <c r="Y296" s="13">
        <f>IF(X296="","",IFERROR(VLOOKUP(X296,SMMLV!$A$2:$B$38,2,FALSE),""))</f>
        <v/>
      </c>
      <c r="Z296" s="17">
        <f>IF(OR(Y296="",P296=""),"",ROUND(P296/Y296,2))</f>
        <v/>
      </c>
      <c r="AA296" s="13">
        <f>IF(Z296="","",ROUND(Z296*SMMLV!$E$4,0))</f>
        <v/>
      </c>
      <c r="AB296" s="13">
        <f>IF(AND(M296="En ejecución",P296&lt;&gt;"",Q296&lt;&gt;""),MAX(P296-Q296,0),"")</f>
        <v/>
      </c>
      <c r="AC296" s="12">
        <f>IF(A296="","",IF(B296="","Falta número de contrato; ","")&amp;IF(C296="","Falta entidad; ","")&amp;IF(E296="","Falta objeto; ","")&amp;IF(F296="","Falta especialidad; ","")&amp;IF(K296="","Falta fecha de inicio (recomendada); ","")&amp;IF(AND(M296&lt;&gt;"En ejecución",L296=""),"Falta fecha de terminación; ","")&amp;IF(AND(K296&lt;&gt;"",L296&lt;&gt;"",L296&lt;K296),"Terminación anterior al inicio; ","")&amp;IF(M296="","Falta estado; ","")&amp;IF(OR(P296="",P296&lt;=0),"Falta valor del contrato; ","")&amp;IF(AND(M296="En ejecución",Q296=""),"En ejecución sin valor ejecutado; ","")&amp;IF(AND(M296="En ejecución",L296&lt;&gt;"",L296&lt;TODAY()),"Dice en ejecución pero su terminación ya pasó; ","")&amp;IF(M296="En ejecución","En ejecución: no acredita experiencia; ","")&amp;IF(AND(M296&lt;&gt;"En ejecución",L296&lt;&gt;"",X296&lt;&gt;"",Y296=""),"El año no está en la hoja SMMLV; ","")&amp;IF(AND(B296&lt;&gt;"",COUNTIFS($B$2:$B$601,B296,$C$2:$C$601,C296)&gt;1),"Posible duplicado (mismo número y entidad); ","")&amp;IF(COUNTIF(PARTICIPACIONES!$A$2:$A$601,A296)=0,"Sin participaciones; ","")&amp;IF(SUMIFS(PARTICIPACIONES!$E$2:$E$601,PARTICIPACIONES!$A$2:$A$601,A296)&gt;1.0001,"Las participaciones suman más de 100 %; ",""))</f>
        <v/>
      </c>
    </row>
    <row r="297">
      <c r="J297" s="15" t="n"/>
      <c r="K297" s="15" t="n"/>
      <c r="L297" s="15" t="n"/>
      <c r="N297" s="15" t="n"/>
      <c r="O297" s="16" t="n"/>
      <c r="P297" s="16" t="n"/>
      <c r="Q297" s="16" t="n"/>
      <c r="W297" s="12">
        <f>IF(AND(K297&lt;&gt;"",L297&lt;&gt;""),ROUND((L297-K297)/30.4375,1),"")</f>
        <v/>
      </c>
      <c r="X297" s="12">
        <f>IF(OR(A297="",M297="En ejecución",L297=""),"",YEAR(L297))</f>
        <v/>
      </c>
      <c r="Y297" s="13">
        <f>IF(X297="","",IFERROR(VLOOKUP(X297,SMMLV!$A$2:$B$38,2,FALSE),""))</f>
        <v/>
      </c>
      <c r="Z297" s="17">
        <f>IF(OR(Y297="",P297=""),"",ROUND(P297/Y297,2))</f>
        <v/>
      </c>
      <c r="AA297" s="13">
        <f>IF(Z297="","",ROUND(Z297*SMMLV!$E$4,0))</f>
        <v/>
      </c>
      <c r="AB297" s="13">
        <f>IF(AND(M297="En ejecución",P297&lt;&gt;"",Q297&lt;&gt;""),MAX(P297-Q297,0),"")</f>
        <v/>
      </c>
      <c r="AC297" s="12">
        <f>IF(A297="","",IF(B297="","Falta número de contrato; ","")&amp;IF(C297="","Falta entidad; ","")&amp;IF(E297="","Falta objeto; ","")&amp;IF(F297="","Falta especialidad; ","")&amp;IF(K297="","Falta fecha de inicio (recomendada); ","")&amp;IF(AND(M297&lt;&gt;"En ejecución",L297=""),"Falta fecha de terminación; ","")&amp;IF(AND(K297&lt;&gt;"",L297&lt;&gt;"",L297&lt;K297),"Terminación anterior al inicio; ","")&amp;IF(M297="","Falta estado; ","")&amp;IF(OR(P297="",P297&lt;=0),"Falta valor del contrato; ","")&amp;IF(AND(M297="En ejecución",Q297=""),"En ejecución sin valor ejecutado; ","")&amp;IF(AND(M297="En ejecución",L297&lt;&gt;"",L297&lt;TODAY()),"Dice en ejecución pero su terminación ya pasó; ","")&amp;IF(M297="En ejecución","En ejecución: no acredita experiencia; ","")&amp;IF(AND(M297&lt;&gt;"En ejecución",L297&lt;&gt;"",X297&lt;&gt;"",Y297=""),"El año no está en la hoja SMMLV; ","")&amp;IF(AND(B297&lt;&gt;"",COUNTIFS($B$2:$B$601,B297,$C$2:$C$601,C297)&gt;1),"Posible duplicado (mismo número y entidad); ","")&amp;IF(COUNTIF(PARTICIPACIONES!$A$2:$A$601,A297)=0,"Sin participaciones; ","")&amp;IF(SUMIFS(PARTICIPACIONES!$E$2:$E$601,PARTICIPACIONES!$A$2:$A$601,A297)&gt;1.0001,"Las participaciones suman más de 100 %; ",""))</f>
        <v/>
      </c>
    </row>
    <row r="298">
      <c r="J298" s="15" t="n"/>
      <c r="K298" s="15" t="n"/>
      <c r="L298" s="15" t="n"/>
      <c r="N298" s="15" t="n"/>
      <c r="O298" s="16" t="n"/>
      <c r="P298" s="16" t="n"/>
      <c r="Q298" s="16" t="n"/>
      <c r="W298" s="12">
        <f>IF(AND(K298&lt;&gt;"",L298&lt;&gt;""),ROUND((L298-K298)/30.4375,1),"")</f>
        <v/>
      </c>
      <c r="X298" s="12">
        <f>IF(OR(A298="",M298="En ejecución",L298=""),"",YEAR(L298))</f>
        <v/>
      </c>
      <c r="Y298" s="13">
        <f>IF(X298="","",IFERROR(VLOOKUP(X298,SMMLV!$A$2:$B$38,2,FALSE),""))</f>
        <v/>
      </c>
      <c r="Z298" s="17">
        <f>IF(OR(Y298="",P298=""),"",ROUND(P298/Y298,2))</f>
        <v/>
      </c>
      <c r="AA298" s="13">
        <f>IF(Z298="","",ROUND(Z298*SMMLV!$E$4,0))</f>
        <v/>
      </c>
      <c r="AB298" s="13">
        <f>IF(AND(M298="En ejecución",P298&lt;&gt;"",Q298&lt;&gt;""),MAX(P298-Q298,0),"")</f>
        <v/>
      </c>
      <c r="AC298" s="12">
        <f>IF(A298="","",IF(B298="","Falta número de contrato; ","")&amp;IF(C298="","Falta entidad; ","")&amp;IF(E298="","Falta objeto; ","")&amp;IF(F298="","Falta especialidad; ","")&amp;IF(K298="","Falta fecha de inicio (recomendada); ","")&amp;IF(AND(M298&lt;&gt;"En ejecución",L298=""),"Falta fecha de terminación; ","")&amp;IF(AND(K298&lt;&gt;"",L298&lt;&gt;"",L298&lt;K298),"Terminación anterior al inicio; ","")&amp;IF(M298="","Falta estado; ","")&amp;IF(OR(P298="",P298&lt;=0),"Falta valor del contrato; ","")&amp;IF(AND(M298="En ejecución",Q298=""),"En ejecución sin valor ejecutado; ","")&amp;IF(AND(M298="En ejecución",L298&lt;&gt;"",L298&lt;TODAY()),"Dice en ejecución pero su terminación ya pasó; ","")&amp;IF(M298="En ejecución","En ejecución: no acredita experiencia; ","")&amp;IF(AND(M298&lt;&gt;"En ejecución",L298&lt;&gt;"",X298&lt;&gt;"",Y298=""),"El año no está en la hoja SMMLV; ","")&amp;IF(AND(B298&lt;&gt;"",COUNTIFS($B$2:$B$601,B298,$C$2:$C$601,C298)&gt;1),"Posible duplicado (mismo número y entidad); ","")&amp;IF(COUNTIF(PARTICIPACIONES!$A$2:$A$601,A298)=0,"Sin participaciones; ","")&amp;IF(SUMIFS(PARTICIPACIONES!$E$2:$E$601,PARTICIPACIONES!$A$2:$A$601,A298)&gt;1.0001,"Las participaciones suman más de 100 %; ",""))</f>
        <v/>
      </c>
    </row>
    <row r="299">
      <c r="J299" s="15" t="n"/>
      <c r="K299" s="15" t="n"/>
      <c r="L299" s="15" t="n"/>
      <c r="N299" s="15" t="n"/>
      <c r="O299" s="16" t="n"/>
      <c r="P299" s="16" t="n"/>
      <c r="Q299" s="16" t="n"/>
      <c r="W299" s="12">
        <f>IF(AND(K299&lt;&gt;"",L299&lt;&gt;""),ROUND((L299-K299)/30.4375,1),"")</f>
        <v/>
      </c>
      <c r="X299" s="12">
        <f>IF(OR(A299="",M299="En ejecución",L299=""),"",YEAR(L299))</f>
        <v/>
      </c>
      <c r="Y299" s="13">
        <f>IF(X299="","",IFERROR(VLOOKUP(X299,SMMLV!$A$2:$B$38,2,FALSE),""))</f>
        <v/>
      </c>
      <c r="Z299" s="17">
        <f>IF(OR(Y299="",P299=""),"",ROUND(P299/Y299,2))</f>
        <v/>
      </c>
      <c r="AA299" s="13">
        <f>IF(Z299="","",ROUND(Z299*SMMLV!$E$4,0))</f>
        <v/>
      </c>
      <c r="AB299" s="13">
        <f>IF(AND(M299="En ejecución",P299&lt;&gt;"",Q299&lt;&gt;""),MAX(P299-Q299,0),"")</f>
        <v/>
      </c>
      <c r="AC299" s="12">
        <f>IF(A299="","",IF(B299="","Falta número de contrato; ","")&amp;IF(C299="","Falta entidad; ","")&amp;IF(E299="","Falta objeto; ","")&amp;IF(F299="","Falta especialidad; ","")&amp;IF(K299="","Falta fecha de inicio (recomendada); ","")&amp;IF(AND(M299&lt;&gt;"En ejecución",L299=""),"Falta fecha de terminación; ","")&amp;IF(AND(K299&lt;&gt;"",L299&lt;&gt;"",L299&lt;K299),"Terminación anterior al inicio; ","")&amp;IF(M299="","Falta estado; ","")&amp;IF(OR(P299="",P299&lt;=0),"Falta valor del contrato; ","")&amp;IF(AND(M299="En ejecución",Q299=""),"En ejecución sin valor ejecutado; ","")&amp;IF(AND(M299="En ejecución",L299&lt;&gt;"",L299&lt;TODAY()),"Dice en ejecución pero su terminación ya pasó; ","")&amp;IF(M299="En ejecución","En ejecución: no acredita experiencia; ","")&amp;IF(AND(M299&lt;&gt;"En ejecución",L299&lt;&gt;"",X299&lt;&gt;"",Y299=""),"El año no está en la hoja SMMLV; ","")&amp;IF(AND(B299&lt;&gt;"",COUNTIFS($B$2:$B$601,B299,$C$2:$C$601,C299)&gt;1),"Posible duplicado (mismo número y entidad); ","")&amp;IF(COUNTIF(PARTICIPACIONES!$A$2:$A$601,A299)=0,"Sin participaciones; ","")&amp;IF(SUMIFS(PARTICIPACIONES!$E$2:$E$601,PARTICIPACIONES!$A$2:$A$601,A299)&gt;1.0001,"Las participaciones suman más de 100 %; ",""))</f>
        <v/>
      </c>
    </row>
    <row r="300">
      <c r="J300" s="15" t="n"/>
      <c r="K300" s="15" t="n"/>
      <c r="L300" s="15" t="n"/>
      <c r="N300" s="15" t="n"/>
      <c r="O300" s="16" t="n"/>
      <c r="P300" s="16" t="n"/>
      <c r="Q300" s="16" t="n"/>
      <c r="W300" s="12">
        <f>IF(AND(K300&lt;&gt;"",L300&lt;&gt;""),ROUND((L300-K300)/30.4375,1),"")</f>
        <v/>
      </c>
      <c r="X300" s="12">
        <f>IF(OR(A300="",M300="En ejecución",L300=""),"",YEAR(L300))</f>
        <v/>
      </c>
      <c r="Y300" s="13">
        <f>IF(X300="","",IFERROR(VLOOKUP(X300,SMMLV!$A$2:$B$38,2,FALSE),""))</f>
        <v/>
      </c>
      <c r="Z300" s="17">
        <f>IF(OR(Y300="",P300=""),"",ROUND(P300/Y300,2))</f>
        <v/>
      </c>
      <c r="AA300" s="13">
        <f>IF(Z300="","",ROUND(Z300*SMMLV!$E$4,0))</f>
        <v/>
      </c>
      <c r="AB300" s="13">
        <f>IF(AND(M300="En ejecución",P300&lt;&gt;"",Q300&lt;&gt;""),MAX(P300-Q300,0),"")</f>
        <v/>
      </c>
      <c r="AC300" s="12">
        <f>IF(A300="","",IF(B300="","Falta número de contrato; ","")&amp;IF(C300="","Falta entidad; ","")&amp;IF(E300="","Falta objeto; ","")&amp;IF(F300="","Falta especialidad; ","")&amp;IF(K300="","Falta fecha de inicio (recomendada); ","")&amp;IF(AND(M300&lt;&gt;"En ejecución",L300=""),"Falta fecha de terminación; ","")&amp;IF(AND(K300&lt;&gt;"",L300&lt;&gt;"",L300&lt;K300),"Terminación anterior al inicio; ","")&amp;IF(M300="","Falta estado; ","")&amp;IF(OR(P300="",P300&lt;=0),"Falta valor del contrato; ","")&amp;IF(AND(M300="En ejecución",Q300=""),"En ejecución sin valor ejecutado; ","")&amp;IF(AND(M300="En ejecución",L300&lt;&gt;"",L300&lt;TODAY()),"Dice en ejecución pero su terminación ya pasó; ","")&amp;IF(M300="En ejecución","En ejecución: no acredita experiencia; ","")&amp;IF(AND(M300&lt;&gt;"En ejecución",L300&lt;&gt;"",X300&lt;&gt;"",Y300=""),"El año no está en la hoja SMMLV; ","")&amp;IF(AND(B300&lt;&gt;"",COUNTIFS($B$2:$B$601,B300,$C$2:$C$601,C300)&gt;1),"Posible duplicado (mismo número y entidad); ","")&amp;IF(COUNTIF(PARTICIPACIONES!$A$2:$A$601,A300)=0,"Sin participaciones; ","")&amp;IF(SUMIFS(PARTICIPACIONES!$E$2:$E$601,PARTICIPACIONES!$A$2:$A$601,A300)&gt;1.0001,"Las participaciones suman más de 100 %; ",""))</f>
        <v/>
      </c>
    </row>
    <row r="301">
      <c r="J301" s="15" t="n"/>
      <c r="K301" s="15" t="n"/>
      <c r="L301" s="15" t="n"/>
      <c r="N301" s="15" t="n"/>
      <c r="O301" s="16" t="n"/>
      <c r="P301" s="16" t="n"/>
      <c r="Q301" s="16" t="n"/>
      <c r="W301" s="12">
        <f>IF(AND(K301&lt;&gt;"",L301&lt;&gt;""),ROUND((L301-K301)/30.4375,1),"")</f>
        <v/>
      </c>
      <c r="X301" s="12">
        <f>IF(OR(A301="",M301="En ejecución",L301=""),"",YEAR(L301))</f>
        <v/>
      </c>
      <c r="Y301" s="13">
        <f>IF(X301="","",IFERROR(VLOOKUP(X301,SMMLV!$A$2:$B$38,2,FALSE),""))</f>
        <v/>
      </c>
      <c r="Z301" s="17">
        <f>IF(OR(Y301="",P301=""),"",ROUND(P301/Y301,2))</f>
        <v/>
      </c>
      <c r="AA301" s="13">
        <f>IF(Z301="","",ROUND(Z301*SMMLV!$E$4,0))</f>
        <v/>
      </c>
      <c r="AB301" s="13">
        <f>IF(AND(M301="En ejecución",P301&lt;&gt;"",Q301&lt;&gt;""),MAX(P301-Q301,0),"")</f>
        <v/>
      </c>
      <c r="AC301" s="12">
        <f>IF(A301="","",IF(B301="","Falta número de contrato; ","")&amp;IF(C301="","Falta entidad; ","")&amp;IF(E301="","Falta objeto; ","")&amp;IF(F301="","Falta especialidad; ","")&amp;IF(K301="","Falta fecha de inicio (recomendada); ","")&amp;IF(AND(M301&lt;&gt;"En ejecución",L301=""),"Falta fecha de terminación; ","")&amp;IF(AND(K301&lt;&gt;"",L301&lt;&gt;"",L301&lt;K301),"Terminación anterior al inicio; ","")&amp;IF(M301="","Falta estado; ","")&amp;IF(OR(P301="",P301&lt;=0),"Falta valor del contrato; ","")&amp;IF(AND(M301="En ejecución",Q301=""),"En ejecución sin valor ejecutado; ","")&amp;IF(AND(M301="En ejecución",L301&lt;&gt;"",L301&lt;TODAY()),"Dice en ejecución pero su terminación ya pasó; ","")&amp;IF(M301="En ejecución","En ejecución: no acredita experiencia; ","")&amp;IF(AND(M301&lt;&gt;"En ejecución",L301&lt;&gt;"",X301&lt;&gt;"",Y301=""),"El año no está en la hoja SMMLV; ","")&amp;IF(AND(B301&lt;&gt;"",COUNTIFS($B$2:$B$601,B301,$C$2:$C$601,C301)&gt;1),"Posible duplicado (mismo número y entidad); ","")&amp;IF(COUNTIF(PARTICIPACIONES!$A$2:$A$601,A301)=0,"Sin participaciones; ","")&amp;IF(SUMIFS(PARTICIPACIONES!$E$2:$E$601,PARTICIPACIONES!$A$2:$A$601,A301)&gt;1.0001,"Las participaciones suman más de 100 %; ",""))</f>
        <v/>
      </c>
    </row>
    <row r="302">
      <c r="J302" s="15" t="n"/>
      <c r="K302" s="15" t="n"/>
      <c r="L302" s="15" t="n"/>
      <c r="N302" s="15" t="n"/>
      <c r="O302" s="16" t="n"/>
      <c r="P302" s="16" t="n"/>
      <c r="Q302" s="16" t="n"/>
      <c r="W302" s="12">
        <f>IF(AND(K302&lt;&gt;"",L302&lt;&gt;""),ROUND((L302-K302)/30.4375,1),"")</f>
        <v/>
      </c>
      <c r="X302" s="12">
        <f>IF(OR(A302="",M302="En ejecución",L302=""),"",YEAR(L302))</f>
        <v/>
      </c>
      <c r="Y302" s="13">
        <f>IF(X302="","",IFERROR(VLOOKUP(X302,SMMLV!$A$2:$B$38,2,FALSE),""))</f>
        <v/>
      </c>
      <c r="Z302" s="17">
        <f>IF(OR(Y302="",P302=""),"",ROUND(P302/Y302,2))</f>
        <v/>
      </c>
      <c r="AA302" s="13">
        <f>IF(Z302="","",ROUND(Z302*SMMLV!$E$4,0))</f>
        <v/>
      </c>
      <c r="AB302" s="13">
        <f>IF(AND(M302="En ejecución",P302&lt;&gt;"",Q302&lt;&gt;""),MAX(P302-Q302,0),"")</f>
        <v/>
      </c>
      <c r="AC302" s="12">
        <f>IF(A302="","",IF(B302="","Falta número de contrato; ","")&amp;IF(C302="","Falta entidad; ","")&amp;IF(E302="","Falta objeto; ","")&amp;IF(F302="","Falta especialidad; ","")&amp;IF(K302="","Falta fecha de inicio (recomendada); ","")&amp;IF(AND(M302&lt;&gt;"En ejecución",L302=""),"Falta fecha de terminación; ","")&amp;IF(AND(K302&lt;&gt;"",L302&lt;&gt;"",L302&lt;K302),"Terminación anterior al inicio; ","")&amp;IF(M302="","Falta estado; ","")&amp;IF(OR(P302="",P302&lt;=0),"Falta valor del contrato; ","")&amp;IF(AND(M302="En ejecución",Q302=""),"En ejecución sin valor ejecutado; ","")&amp;IF(AND(M302="En ejecución",L302&lt;&gt;"",L302&lt;TODAY()),"Dice en ejecución pero su terminación ya pasó; ","")&amp;IF(M302="En ejecución","En ejecución: no acredita experiencia; ","")&amp;IF(AND(M302&lt;&gt;"En ejecución",L302&lt;&gt;"",X302&lt;&gt;"",Y302=""),"El año no está en la hoja SMMLV; ","")&amp;IF(AND(B302&lt;&gt;"",COUNTIFS($B$2:$B$601,B302,$C$2:$C$601,C302)&gt;1),"Posible duplicado (mismo número y entidad); ","")&amp;IF(COUNTIF(PARTICIPACIONES!$A$2:$A$601,A302)=0,"Sin participaciones; ","")&amp;IF(SUMIFS(PARTICIPACIONES!$E$2:$E$601,PARTICIPACIONES!$A$2:$A$601,A302)&gt;1.0001,"Las participaciones suman más de 100 %; ",""))</f>
        <v/>
      </c>
    </row>
    <row r="303">
      <c r="J303" s="15" t="n"/>
      <c r="K303" s="15" t="n"/>
      <c r="L303" s="15" t="n"/>
      <c r="N303" s="15" t="n"/>
      <c r="O303" s="16" t="n"/>
      <c r="P303" s="16" t="n"/>
      <c r="Q303" s="16" t="n"/>
      <c r="W303" s="12">
        <f>IF(AND(K303&lt;&gt;"",L303&lt;&gt;""),ROUND((L303-K303)/30.4375,1),"")</f>
        <v/>
      </c>
      <c r="X303" s="12">
        <f>IF(OR(A303="",M303="En ejecución",L303=""),"",YEAR(L303))</f>
        <v/>
      </c>
      <c r="Y303" s="13">
        <f>IF(X303="","",IFERROR(VLOOKUP(X303,SMMLV!$A$2:$B$38,2,FALSE),""))</f>
        <v/>
      </c>
      <c r="Z303" s="17">
        <f>IF(OR(Y303="",P303=""),"",ROUND(P303/Y303,2))</f>
        <v/>
      </c>
      <c r="AA303" s="13">
        <f>IF(Z303="","",ROUND(Z303*SMMLV!$E$4,0))</f>
        <v/>
      </c>
      <c r="AB303" s="13">
        <f>IF(AND(M303="En ejecución",P303&lt;&gt;"",Q303&lt;&gt;""),MAX(P303-Q303,0),"")</f>
        <v/>
      </c>
      <c r="AC303" s="12">
        <f>IF(A303="","",IF(B303="","Falta número de contrato; ","")&amp;IF(C303="","Falta entidad; ","")&amp;IF(E303="","Falta objeto; ","")&amp;IF(F303="","Falta especialidad; ","")&amp;IF(K303="","Falta fecha de inicio (recomendada); ","")&amp;IF(AND(M303&lt;&gt;"En ejecución",L303=""),"Falta fecha de terminación; ","")&amp;IF(AND(K303&lt;&gt;"",L303&lt;&gt;"",L303&lt;K303),"Terminación anterior al inicio; ","")&amp;IF(M303="","Falta estado; ","")&amp;IF(OR(P303="",P303&lt;=0),"Falta valor del contrato; ","")&amp;IF(AND(M303="En ejecución",Q303=""),"En ejecución sin valor ejecutado; ","")&amp;IF(AND(M303="En ejecución",L303&lt;&gt;"",L303&lt;TODAY()),"Dice en ejecución pero su terminación ya pasó; ","")&amp;IF(M303="En ejecución","En ejecución: no acredita experiencia; ","")&amp;IF(AND(M303&lt;&gt;"En ejecución",L303&lt;&gt;"",X303&lt;&gt;"",Y303=""),"El año no está en la hoja SMMLV; ","")&amp;IF(AND(B303&lt;&gt;"",COUNTIFS($B$2:$B$601,B303,$C$2:$C$601,C303)&gt;1),"Posible duplicado (mismo número y entidad); ","")&amp;IF(COUNTIF(PARTICIPACIONES!$A$2:$A$601,A303)=0,"Sin participaciones; ","")&amp;IF(SUMIFS(PARTICIPACIONES!$E$2:$E$601,PARTICIPACIONES!$A$2:$A$601,A303)&gt;1.0001,"Las participaciones suman más de 100 %; ",""))</f>
        <v/>
      </c>
    </row>
    <row r="304">
      <c r="J304" s="15" t="n"/>
      <c r="K304" s="15" t="n"/>
      <c r="L304" s="15" t="n"/>
      <c r="N304" s="15" t="n"/>
      <c r="O304" s="16" t="n"/>
      <c r="P304" s="16" t="n"/>
      <c r="Q304" s="16" t="n"/>
      <c r="W304" s="12">
        <f>IF(AND(K304&lt;&gt;"",L304&lt;&gt;""),ROUND((L304-K304)/30.4375,1),"")</f>
        <v/>
      </c>
      <c r="X304" s="12">
        <f>IF(OR(A304="",M304="En ejecución",L304=""),"",YEAR(L304))</f>
        <v/>
      </c>
      <c r="Y304" s="13">
        <f>IF(X304="","",IFERROR(VLOOKUP(X304,SMMLV!$A$2:$B$38,2,FALSE),""))</f>
        <v/>
      </c>
      <c r="Z304" s="17">
        <f>IF(OR(Y304="",P304=""),"",ROUND(P304/Y304,2))</f>
        <v/>
      </c>
      <c r="AA304" s="13">
        <f>IF(Z304="","",ROUND(Z304*SMMLV!$E$4,0))</f>
        <v/>
      </c>
      <c r="AB304" s="13">
        <f>IF(AND(M304="En ejecución",P304&lt;&gt;"",Q304&lt;&gt;""),MAX(P304-Q304,0),"")</f>
        <v/>
      </c>
      <c r="AC304" s="12">
        <f>IF(A304="","",IF(B304="","Falta número de contrato; ","")&amp;IF(C304="","Falta entidad; ","")&amp;IF(E304="","Falta objeto; ","")&amp;IF(F304="","Falta especialidad; ","")&amp;IF(K304="","Falta fecha de inicio (recomendada); ","")&amp;IF(AND(M304&lt;&gt;"En ejecución",L304=""),"Falta fecha de terminación; ","")&amp;IF(AND(K304&lt;&gt;"",L304&lt;&gt;"",L304&lt;K304),"Terminación anterior al inicio; ","")&amp;IF(M304="","Falta estado; ","")&amp;IF(OR(P304="",P304&lt;=0),"Falta valor del contrato; ","")&amp;IF(AND(M304="En ejecución",Q304=""),"En ejecución sin valor ejecutado; ","")&amp;IF(AND(M304="En ejecución",L304&lt;&gt;"",L304&lt;TODAY()),"Dice en ejecución pero su terminación ya pasó; ","")&amp;IF(M304="En ejecución","En ejecución: no acredita experiencia; ","")&amp;IF(AND(M304&lt;&gt;"En ejecución",L304&lt;&gt;"",X304&lt;&gt;"",Y304=""),"El año no está en la hoja SMMLV; ","")&amp;IF(AND(B304&lt;&gt;"",COUNTIFS($B$2:$B$601,B304,$C$2:$C$601,C304)&gt;1),"Posible duplicado (mismo número y entidad); ","")&amp;IF(COUNTIF(PARTICIPACIONES!$A$2:$A$601,A304)=0,"Sin participaciones; ","")&amp;IF(SUMIFS(PARTICIPACIONES!$E$2:$E$601,PARTICIPACIONES!$A$2:$A$601,A304)&gt;1.0001,"Las participaciones suman más de 100 %; ",""))</f>
        <v/>
      </c>
    </row>
    <row r="305">
      <c r="J305" s="15" t="n"/>
      <c r="K305" s="15" t="n"/>
      <c r="L305" s="15" t="n"/>
      <c r="N305" s="15" t="n"/>
      <c r="O305" s="16" t="n"/>
      <c r="P305" s="16" t="n"/>
      <c r="Q305" s="16" t="n"/>
      <c r="W305" s="12">
        <f>IF(AND(K305&lt;&gt;"",L305&lt;&gt;""),ROUND((L305-K305)/30.4375,1),"")</f>
        <v/>
      </c>
      <c r="X305" s="12">
        <f>IF(OR(A305="",M305="En ejecución",L305=""),"",YEAR(L305))</f>
        <v/>
      </c>
      <c r="Y305" s="13">
        <f>IF(X305="","",IFERROR(VLOOKUP(X305,SMMLV!$A$2:$B$38,2,FALSE),""))</f>
        <v/>
      </c>
      <c r="Z305" s="17">
        <f>IF(OR(Y305="",P305=""),"",ROUND(P305/Y305,2))</f>
        <v/>
      </c>
      <c r="AA305" s="13">
        <f>IF(Z305="","",ROUND(Z305*SMMLV!$E$4,0))</f>
        <v/>
      </c>
      <c r="AB305" s="13">
        <f>IF(AND(M305="En ejecución",P305&lt;&gt;"",Q305&lt;&gt;""),MAX(P305-Q305,0),"")</f>
        <v/>
      </c>
      <c r="AC305" s="12">
        <f>IF(A305="","",IF(B305="","Falta número de contrato; ","")&amp;IF(C305="","Falta entidad; ","")&amp;IF(E305="","Falta objeto; ","")&amp;IF(F305="","Falta especialidad; ","")&amp;IF(K305="","Falta fecha de inicio (recomendada); ","")&amp;IF(AND(M305&lt;&gt;"En ejecución",L305=""),"Falta fecha de terminación; ","")&amp;IF(AND(K305&lt;&gt;"",L305&lt;&gt;"",L305&lt;K305),"Terminación anterior al inicio; ","")&amp;IF(M305="","Falta estado; ","")&amp;IF(OR(P305="",P305&lt;=0),"Falta valor del contrato; ","")&amp;IF(AND(M305="En ejecución",Q305=""),"En ejecución sin valor ejecutado; ","")&amp;IF(AND(M305="En ejecución",L305&lt;&gt;"",L305&lt;TODAY()),"Dice en ejecución pero su terminación ya pasó; ","")&amp;IF(M305="En ejecución","En ejecución: no acredita experiencia; ","")&amp;IF(AND(M305&lt;&gt;"En ejecución",L305&lt;&gt;"",X305&lt;&gt;"",Y305=""),"El año no está en la hoja SMMLV; ","")&amp;IF(AND(B305&lt;&gt;"",COUNTIFS($B$2:$B$601,B305,$C$2:$C$601,C305)&gt;1),"Posible duplicado (mismo número y entidad); ","")&amp;IF(COUNTIF(PARTICIPACIONES!$A$2:$A$601,A305)=0,"Sin participaciones; ","")&amp;IF(SUMIFS(PARTICIPACIONES!$E$2:$E$601,PARTICIPACIONES!$A$2:$A$601,A305)&gt;1.0001,"Las participaciones suman más de 100 %; ",""))</f>
        <v/>
      </c>
    </row>
    <row r="306">
      <c r="J306" s="15" t="n"/>
      <c r="K306" s="15" t="n"/>
      <c r="L306" s="15" t="n"/>
      <c r="N306" s="15" t="n"/>
      <c r="O306" s="16" t="n"/>
      <c r="P306" s="16" t="n"/>
      <c r="Q306" s="16" t="n"/>
      <c r="W306" s="12">
        <f>IF(AND(K306&lt;&gt;"",L306&lt;&gt;""),ROUND((L306-K306)/30.4375,1),"")</f>
        <v/>
      </c>
      <c r="X306" s="12">
        <f>IF(OR(A306="",M306="En ejecución",L306=""),"",YEAR(L306))</f>
        <v/>
      </c>
      <c r="Y306" s="13">
        <f>IF(X306="","",IFERROR(VLOOKUP(X306,SMMLV!$A$2:$B$38,2,FALSE),""))</f>
        <v/>
      </c>
      <c r="Z306" s="17">
        <f>IF(OR(Y306="",P306=""),"",ROUND(P306/Y306,2))</f>
        <v/>
      </c>
      <c r="AA306" s="13">
        <f>IF(Z306="","",ROUND(Z306*SMMLV!$E$4,0))</f>
        <v/>
      </c>
      <c r="AB306" s="13">
        <f>IF(AND(M306="En ejecución",P306&lt;&gt;"",Q306&lt;&gt;""),MAX(P306-Q306,0),"")</f>
        <v/>
      </c>
      <c r="AC306" s="12">
        <f>IF(A306="","",IF(B306="","Falta número de contrato; ","")&amp;IF(C306="","Falta entidad; ","")&amp;IF(E306="","Falta objeto; ","")&amp;IF(F306="","Falta especialidad; ","")&amp;IF(K306="","Falta fecha de inicio (recomendada); ","")&amp;IF(AND(M306&lt;&gt;"En ejecución",L306=""),"Falta fecha de terminación; ","")&amp;IF(AND(K306&lt;&gt;"",L306&lt;&gt;"",L306&lt;K306),"Terminación anterior al inicio; ","")&amp;IF(M306="","Falta estado; ","")&amp;IF(OR(P306="",P306&lt;=0),"Falta valor del contrato; ","")&amp;IF(AND(M306="En ejecución",Q306=""),"En ejecución sin valor ejecutado; ","")&amp;IF(AND(M306="En ejecución",L306&lt;&gt;"",L306&lt;TODAY()),"Dice en ejecución pero su terminación ya pasó; ","")&amp;IF(M306="En ejecución","En ejecución: no acredita experiencia; ","")&amp;IF(AND(M306&lt;&gt;"En ejecución",L306&lt;&gt;"",X306&lt;&gt;"",Y306=""),"El año no está en la hoja SMMLV; ","")&amp;IF(AND(B306&lt;&gt;"",COUNTIFS($B$2:$B$601,B306,$C$2:$C$601,C306)&gt;1),"Posible duplicado (mismo número y entidad); ","")&amp;IF(COUNTIF(PARTICIPACIONES!$A$2:$A$601,A306)=0,"Sin participaciones; ","")&amp;IF(SUMIFS(PARTICIPACIONES!$E$2:$E$601,PARTICIPACIONES!$A$2:$A$601,A306)&gt;1.0001,"Las participaciones suman más de 100 %; ",""))</f>
        <v/>
      </c>
    </row>
    <row r="307">
      <c r="J307" s="15" t="n"/>
      <c r="K307" s="15" t="n"/>
      <c r="L307" s="15" t="n"/>
      <c r="N307" s="15" t="n"/>
      <c r="O307" s="16" t="n"/>
      <c r="P307" s="16" t="n"/>
      <c r="Q307" s="16" t="n"/>
      <c r="W307" s="12">
        <f>IF(AND(K307&lt;&gt;"",L307&lt;&gt;""),ROUND((L307-K307)/30.4375,1),"")</f>
        <v/>
      </c>
      <c r="X307" s="12">
        <f>IF(OR(A307="",M307="En ejecución",L307=""),"",YEAR(L307))</f>
        <v/>
      </c>
      <c r="Y307" s="13">
        <f>IF(X307="","",IFERROR(VLOOKUP(X307,SMMLV!$A$2:$B$38,2,FALSE),""))</f>
        <v/>
      </c>
      <c r="Z307" s="17">
        <f>IF(OR(Y307="",P307=""),"",ROUND(P307/Y307,2))</f>
        <v/>
      </c>
      <c r="AA307" s="13">
        <f>IF(Z307="","",ROUND(Z307*SMMLV!$E$4,0))</f>
        <v/>
      </c>
      <c r="AB307" s="13">
        <f>IF(AND(M307="En ejecución",P307&lt;&gt;"",Q307&lt;&gt;""),MAX(P307-Q307,0),"")</f>
        <v/>
      </c>
      <c r="AC307" s="12">
        <f>IF(A307="","",IF(B307="","Falta número de contrato; ","")&amp;IF(C307="","Falta entidad; ","")&amp;IF(E307="","Falta objeto; ","")&amp;IF(F307="","Falta especialidad; ","")&amp;IF(K307="","Falta fecha de inicio (recomendada); ","")&amp;IF(AND(M307&lt;&gt;"En ejecución",L307=""),"Falta fecha de terminación; ","")&amp;IF(AND(K307&lt;&gt;"",L307&lt;&gt;"",L307&lt;K307),"Terminación anterior al inicio; ","")&amp;IF(M307="","Falta estado; ","")&amp;IF(OR(P307="",P307&lt;=0),"Falta valor del contrato; ","")&amp;IF(AND(M307="En ejecución",Q307=""),"En ejecución sin valor ejecutado; ","")&amp;IF(AND(M307="En ejecución",L307&lt;&gt;"",L307&lt;TODAY()),"Dice en ejecución pero su terminación ya pasó; ","")&amp;IF(M307="En ejecución","En ejecución: no acredita experiencia; ","")&amp;IF(AND(M307&lt;&gt;"En ejecución",L307&lt;&gt;"",X307&lt;&gt;"",Y307=""),"El año no está en la hoja SMMLV; ","")&amp;IF(AND(B307&lt;&gt;"",COUNTIFS($B$2:$B$601,B307,$C$2:$C$601,C307)&gt;1),"Posible duplicado (mismo número y entidad); ","")&amp;IF(COUNTIF(PARTICIPACIONES!$A$2:$A$601,A307)=0,"Sin participaciones; ","")&amp;IF(SUMIFS(PARTICIPACIONES!$E$2:$E$601,PARTICIPACIONES!$A$2:$A$601,A307)&gt;1.0001,"Las participaciones suman más de 100 %; ",""))</f>
        <v/>
      </c>
    </row>
    <row r="308">
      <c r="J308" s="15" t="n"/>
      <c r="K308" s="15" t="n"/>
      <c r="L308" s="15" t="n"/>
      <c r="N308" s="15" t="n"/>
      <c r="O308" s="16" t="n"/>
      <c r="P308" s="16" t="n"/>
      <c r="Q308" s="16" t="n"/>
      <c r="W308" s="12">
        <f>IF(AND(K308&lt;&gt;"",L308&lt;&gt;""),ROUND((L308-K308)/30.4375,1),"")</f>
        <v/>
      </c>
      <c r="X308" s="12">
        <f>IF(OR(A308="",M308="En ejecución",L308=""),"",YEAR(L308))</f>
        <v/>
      </c>
      <c r="Y308" s="13">
        <f>IF(X308="","",IFERROR(VLOOKUP(X308,SMMLV!$A$2:$B$38,2,FALSE),""))</f>
        <v/>
      </c>
      <c r="Z308" s="17">
        <f>IF(OR(Y308="",P308=""),"",ROUND(P308/Y308,2))</f>
        <v/>
      </c>
      <c r="AA308" s="13">
        <f>IF(Z308="","",ROUND(Z308*SMMLV!$E$4,0))</f>
        <v/>
      </c>
      <c r="AB308" s="13">
        <f>IF(AND(M308="En ejecución",P308&lt;&gt;"",Q308&lt;&gt;""),MAX(P308-Q308,0),"")</f>
        <v/>
      </c>
      <c r="AC308" s="12">
        <f>IF(A308="","",IF(B308="","Falta número de contrato; ","")&amp;IF(C308="","Falta entidad; ","")&amp;IF(E308="","Falta objeto; ","")&amp;IF(F308="","Falta especialidad; ","")&amp;IF(K308="","Falta fecha de inicio (recomendada); ","")&amp;IF(AND(M308&lt;&gt;"En ejecución",L308=""),"Falta fecha de terminación; ","")&amp;IF(AND(K308&lt;&gt;"",L308&lt;&gt;"",L308&lt;K308),"Terminación anterior al inicio; ","")&amp;IF(M308="","Falta estado; ","")&amp;IF(OR(P308="",P308&lt;=0),"Falta valor del contrato; ","")&amp;IF(AND(M308="En ejecución",Q308=""),"En ejecución sin valor ejecutado; ","")&amp;IF(AND(M308="En ejecución",L308&lt;&gt;"",L308&lt;TODAY()),"Dice en ejecución pero su terminación ya pasó; ","")&amp;IF(M308="En ejecución","En ejecución: no acredita experiencia; ","")&amp;IF(AND(M308&lt;&gt;"En ejecución",L308&lt;&gt;"",X308&lt;&gt;"",Y308=""),"El año no está en la hoja SMMLV; ","")&amp;IF(AND(B308&lt;&gt;"",COUNTIFS($B$2:$B$601,B308,$C$2:$C$601,C308)&gt;1),"Posible duplicado (mismo número y entidad); ","")&amp;IF(COUNTIF(PARTICIPACIONES!$A$2:$A$601,A308)=0,"Sin participaciones; ","")&amp;IF(SUMIFS(PARTICIPACIONES!$E$2:$E$601,PARTICIPACIONES!$A$2:$A$601,A308)&gt;1.0001,"Las participaciones suman más de 100 %; ",""))</f>
        <v/>
      </c>
    </row>
    <row r="309">
      <c r="J309" s="15" t="n"/>
      <c r="K309" s="15" t="n"/>
      <c r="L309" s="15" t="n"/>
      <c r="N309" s="15" t="n"/>
      <c r="O309" s="16" t="n"/>
      <c r="P309" s="16" t="n"/>
      <c r="Q309" s="16" t="n"/>
      <c r="W309" s="12">
        <f>IF(AND(K309&lt;&gt;"",L309&lt;&gt;""),ROUND((L309-K309)/30.4375,1),"")</f>
        <v/>
      </c>
      <c r="X309" s="12">
        <f>IF(OR(A309="",M309="En ejecución",L309=""),"",YEAR(L309))</f>
        <v/>
      </c>
      <c r="Y309" s="13">
        <f>IF(X309="","",IFERROR(VLOOKUP(X309,SMMLV!$A$2:$B$38,2,FALSE),""))</f>
        <v/>
      </c>
      <c r="Z309" s="17">
        <f>IF(OR(Y309="",P309=""),"",ROUND(P309/Y309,2))</f>
        <v/>
      </c>
      <c r="AA309" s="13">
        <f>IF(Z309="","",ROUND(Z309*SMMLV!$E$4,0))</f>
        <v/>
      </c>
      <c r="AB309" s="13">
        <f>IF(AND(M309="En ejecución",P309&lt;&gt;"",Q309&lt;&gt;""),MAX(P309-Q309,0),"")</f>
        <v/>
      </c>
      <c r="AC309" s="12">
        <f>IF(A309="","",IF(B309="","Falta número de contrato; ","")&amp;IF(C309="","Falta entidad; ","")&amp;IF(E309="","Falta objeto; ","")&amp;IF(F309="","Falta especialidad; ","")&amp;IF(K309="","Falta fecha de inicio (recomendada); ","")&amp;IF(AND(M309&lt;&gt;"En ejecución",L309=""),"Falta fecha de terminación; ","")&amp;IF(AND(K309&lt;&gt;"",L309&lt;&gt;"",L309&lt;K309),"Terminación anterior al inicio; ","")&amp;IF(M309="","Falta estado; ","")&amp;IF(OR(P309="",P309&lt;=0),"Falta valor del contrato; ","")&amp;IF(AND(M309="En ejecución",Q309=""),"En ejecución sin valor ejecutado; ","")&amp;IF(AND(M309="En ejecución",L309&lt;&gt;"",L309&lt;TODAY()),"Dice en ejecución pero su terminación ya pasó; ","")&amp;IF(M309="En ejecución","En ejecución: no acredita experiencia; ","")&amp;IF(AND(M309&lt;&gt;"En ejecución",L309&lt;&gt;"",X309&lt;&gt;"",Y309=""),"El año no está en la hoja SMMLV; ","")&amp;IF(AND(B309&lt;&gt;"",COUNTIFS($B$2:$B$601,B309,$C$2:$C$601,C309)&gt;1),"Posible duplicado (mismo número y entidad); ","")&amp;IF(COUNTIF(PARTICIPACIONES!$A$2:$A$601,A309)=0,"Sin participaciones; ","")&amp;IF(SUMIFS(PARTICIPACIONES!$E$2:$E$601,PARTICIPACIONES!$A$2:$A$601,A309)&gt;1.0001,"Las participaciones suman más de 100 %; ",""))</f>
        <v/>
      </c>
    </row>
    <row r="310">
      <c r="J310" s="15" t="n"/>
      <c r="K310" s="15" t="n"/>
      <c r="L310" s="15" t="n"/>
      <c r="N310" s="15" t="n"/>
      <c r="O310" s="16" t="n"/>
      <c r="P310" s="16" t="n"/>
      <c r="Q310" s="16" t="n"/>
      <c r="W310" s="12">
        <f>IF(AND(K310&lt;&gt;"",L310&lt;&gt;""),ROUND((L310-K310)/30.4375,1),"")</f>
        <v/>
      </c>
      <c r="X310" s="12">
        <f>IF(OR(A310="",M310="En ejecución",L310=""),"",YEAR(L310))</f>
        <v/>
      </c>
      <c r="Y310" s="13">
        <f>IF(X310="","",IFERROR(VLOOKUP(X310,SMMLV!$A$2:$B$38,2,FALSE),""))</f>
        <v/>
      </c>
      <c r="Z310" s="17">
        <f>IF(OR(Y310="",P310=""),"",ROUND(P310/Y310,2))</f>
        <v/>
      </c>
      <c r="AA310" s="13">
        <f>IF(Z310="","",ROUND(Z310*SMMLV!$E$4,0))</f>
        <v/>
      </c>
      <c r="AB310" s="13">
        <f>IF(AND(M310="En ejecución",P310&lt;&gt;"",Q310&lt;&gt;""),MAX(P310-Q310,0),"")</f>
        <v/>
      </c>
      <c r="AC310" s="12">
        <f>IF(A310="","",IF(B310="","Falta número de contrato; ","")&amp;IF(C310="","Falta entidad; ","")&amp;IF(E310="","Falta objeto; ","")&amp;IF(F310="","Falta especialidad; ","")&amp;IF(K310="","Falta fecha de inicio (recomendada); ","")&amp;IF(AND(M310&lt;&gt;"En ejecución",L310=""),"Falta fecha de terminación; ","")&amp;IF(AND(K310&lt;&gt;"",L310&lt;&gt;"",L310&lt;K310),"Terminación anterior al inicio; ","")&amp;IF(M310="","Falta estado; ","")&amp;IF(OR(P310="",P310&lt;=0),"Falta valor del contrato; ","")&amp;IF(AND(M310="En ejecución",Q310=""),"En ejecución sin valor ejecutado; ","")&amp;IF(AND(M310="En ejecución",L310&lt;&gt;"",L310&lt;TODAY()),"Dice en ejecución pero su terminación ya pasó; ","")&amp;IF(M310="En ejecución","En ejecución: no acredita experiencia; ","")&amp;IF(AND(M310&lt;&gt;"En ejecución",L310&lt;&gt;"",X310&lt;&gt;"",Y310=""),"El año no está en la hoja SMMLV; ","")&amp;IF(AND(B310&lt;&gt;"",COUNTIFS($B$2:$B$601,B310,$C$2:$C$601,C310)&gt;1),"Posible duplicado (mismo número y entidad); ","")&amp;IF(COUNTIF(PARTICIPACIONES!$A$2:$A$601,A310)=0,"Sin participaciones; ","")&amp;IF(SUMIFS(PARTICIPACIONES!$E$2:$E$601,PARTICIPACIONES!$A$2:$A$601,A310)&gt;1.0001,"Las participaciones suman más de 100 %; ",""))</f>
        <v/>
      </c>
    </row>
    <row r="311">
      <c r="J311" s="15" t="n"/>
      <c r="K311" s="15" t="n"/>
      <c r="L311" s="15" t="n"/>
      <c r="N311" s="15" t="n"/>
      <c r="O311" s="16" t="n"/>
      <c r="P311" s="16" t="n"/>
      <c r="Q311" s="16" t="n"/>
      <c r="W311" s="12">
        <f>IF(AND(K311&lt;&gt;"",L311&lt;&gt;""),ROUND((L311-K311)/30.4375,1),"")</f>
        <v/>
      </c>
      <c r="X311" s="12">
        <f>IF(OR(A311="",M311="En ejecución",L311=""),"",YEAR(L311))</f>
        <v/>
      </c>
      <c r="Y311" s="13">
        <f>IF(X311="","",IFERROR(VLOOKUP(X311,SMMLV!$A$2:$B$38,2,FALSE),""))</f>
        <v/>
      </c>
      <c r="Z311" s="17">
        <f>IF(OR(Y311="",P311=""),"",ROUND(P311/Y311,2))</f>
        <v/>
      </c>
      <c r="AA311" s="13">
        <f>IF(Z311="","",ROUND(Z311*SMMLV!$E$4,0))</f>
        <v/>
      </c>
      <c r="AB311" s="13">
        <f>IF(AND(M311="En ejecución",P311&lt;&gt;"",Q311&lt;&gt;""),MAX(P311-Q311,0),"")</f>
        <v/>
      </c>
      <c r="AC311" s="12">
        <f>IF(A311="","",IF(B311="","Falta número de contrato; ","")&amp;IF(C311="","Falta entidad; ","")&amp;IF(E311="","Falta objeto; ","")&amp;IF(F311="","Falta especialidad; ","")&amp;IF(K311="","Falta fecha de inicio (recomendada); ","")&amp;IF(AND(M311&lt;&gt;"En ejecución",L311=""),"Falta fecha de terminación; ","")&amp;IF(AND(K311&lt;&gt;"",L311&lt;&gt;"",L311&lt;K311),"Terminación anterior al inicio; ","")&amp;IF(M311="","Falta estado; ","")&amp;IF(OR(P311="",P311&lt;=0),"Falta valor del contrato; ","")&amp;IF(AND(M311="En ejecución",Q311=""),"En ejecución sin valor ejecutado; ","")&amp;IF(AND(M311="En ejecución",L311&lt;&gt;"",L311&lt;TODAY()),"Dice en ejecución pero su terminación ya pasó; ","")&amp;IF(M311="En ejecución","En ejecución: no acredita experiencia; ","")&amp;IF(AND(M311&lt;&gt;"En ejecución",L311&lt;&gt;"",X311&lt;&gt;"",Y311=""),"El año no está en la hoja SMMLV; ","")&amp;IF(AND(B311&lt;&gt;"",COUNTIFS($B$2:$B$601,B311,$C$2:$C$601,C311)&gt;1),"Posible duplicado (mismo número y entidad); ","")&amp;IF(COUNTIF(PARTICIPACIONES!$A$2:$A$601,A311)=0,"Sin participaciones; ","")&amp;IF(SUMIFS(PARTICIPACIONES!$E$2:$E$601,PARTICIPACIONES!$A$2:$A$601,A311)&gt;1.0001,"Las participaciones suman más de 100 %; ",""))</f>
        <v/>
      </c>
    </row>
    <row r="312">
      <c r="J312" s="15" t="n"/>
      <c r="K312" s="15" t="n"/>
      <c r="L312" s="15" t="n"/>
      <c r="N312" s="15" t="n"/>
      <c r="O312" s="16" t="n"/>
      <c r="P312" s="16" t="n"/>
      <c r="Q312" s="16" t="n"/>
      <c r="W312" s="12">
        <f>IF(AND(K312&lt;&gt;"",L312&lt;&gt;""),ROUND((L312-K312)/30.4375,1),"")</f>
        <v/>
      </c>
      <c r="X312" s="12">
        <f>IF(OR(A312="",M312="En ejecución",L312=""),"",YEAR(L312))</f>
        <v/>
      </c>
      <c r="Y312" s="13">
        <f>IF(X312="","",IFERROR(VLOOKUP(X312,SMMLV!$A$2:$B$38,2,FALSE),""))</f>
        <v/>
      </c>
      <c r="Z312" s="17">
        <f>IF(OR(Y312="",P312=""),"",ROUND(P312/Y312,2))</f>
        <v/>
      </c>
      <c r="AA312" s="13">
        <f>IF(Z312="","",ROUND(Z312*SMMLV!$E$4,0))</f>
        <v/>
      </c>
      <c r="AB312" s="13">
        <f>IF(AND(M312="En ejecución",P312&lt;&gt;"",Q312&lt;&gt;""),MAX(P312-Q312,0),"")</f>
        <v/>
      </c>
      <c r="AC312" s="12">
        <f>IF(A312="","",IF(B312="","Falta número de contrato; ","")&amp;IF(C312="","Falta entidad; ","")&amp;IF(E312="","Falta objeto; ","")&amp;IF(F312="","Falta especialidad; ","")&amp;IF(K312="","Falta fecha de inicio (recomendada); ","")&amp;IF(AND(M312&lt;&gt;"En ejecución",L312=""),"Falta fecha de terminación; ","")&amp;IF(AND(K312&lt;&gt;"",L312&lt;&gt;"",L312&lt;K312),"Terminación anterior al inicio; ","")&amp;IF(M312="","Falta estado; ","")&amp;IF(OR(P312="",P312&lt;=0),"Falta valor del contrato; ","")&amp;IF(AND(M312="En ejecución",Q312=""),"En ejecución sin valor ejecutado; ","")&amp;IF(AND(M312="En ejecución",L312&lt;&gt;"",L312&lt;TODAY()),"Dice en ejecución pero su terminación ya pasó; ","")&amp;IF(M312="En ejecución","En ejecución: no acredita experiencia; ","")&amp;IF(AND(M312&lt;&gt;"En ejecución",L312&lt;&gt;"",X312&lt;&gt;"",Y312=""),"El año no está en la hoja SMMLV; ","")&amp;IF(AND(B312&lt;&gt;"",COUNTIFS($B$2:$B$601,B312,$C$2:$C$601,C312)&gt;1),"Posible duplicado (mismo número y entidad); ","")&amp;IF(COUNTIF(PARTICIPACIONES!$A$2:$A$601,A312)=0,"Sin participaciones; ","")&amp;IF(SUMIFS(PARTICIPACIONES!$E$2:$E$601,PARTICIPACIONES!$A$2:$A$601,A312)&gt;1.0001,"Las participaciones suman más de 100 %; ",""))</f>
        <v/>
      </c>
    </row>
    <row r="313">
      <c r="J313" s="15" t="n"/>
      <c r="K313" s="15" t="n"/>
      <c r="L313" s="15" t="n"/>
      <c r="N313" s="15" t="n"/>
      <c r="O313" s="16" t="n"/>
      <c r="P313" s="16" t="n"/>
      <c r="Q313" s="16" t="n"/>
      <c r="W313" s="12">
        <f>IF(AND(K313&lt;&gt;"",L313&lt;&gt;""),ROUND((L313-K313)/30.4375,1),"")</f>
        <v/>
      </c>
      <c r="X313" s="12">
        <f>IF(OR(A313="",M313="En ejecución",L313=""),"",YEAR(L313))</f>
        <v/>
      </c>
      <c r="Y313" s="13">
        <f>IF(X313="","",IFERROR(VLOOKUP(X313,SMMLV!$A$2:$B$38,2,FALSE),""))</f>
        <v/>
      </c>
      <c r="Z313" s="17">
        <f>IF(OR(Y313="",P313=""),"",ROUND(P313/Y313,2))</f>
        <v/>
      </c>
      <c r="AA313" s="13">
        <f>IF(Z313="","",ROUND(Z313*SMMLV!$E$4,0))</f>
        <v/>
      </c>
      <c r="AB313" s="13">
        <f>IF(AND(M313="En ejecución",P313&lt;&gt;"",Q313&lt;&gt;""),MAX(P313-Q313,0),"")</f>
        <v/>
      </c>
      <c r="AC313" s="12">
        <f>IF(A313="","",IF(B313="","Falta número de contrato; ","")&amp;IF(C313="","Falta entidad; ","")&amp;IF(E313="","Falta objeto; ","")&amp;IF(F313="","Falta especialidad; ","")&amp;IF(K313="","Falta fecha de inicio (recomendada); ","")&amp;IF(AND(M313&lt;&gt;"En ejecución",L313=""),"Falta fecha de terminación; ","")&amp;IF(AND(K313&lt;&gt;"",L313&lt;&gt;"",L313&lt;K313),"Terminación anterior al inicio; ","")&amp;IF(M313="","Falta estado; ","")&amp;IF(OR(P313="",P313&lt;=0),"Falta valor del contrato; ","")&amp;IF(AND(M313="En ejecución",Q313=""),"En ejecución sin valor ejecutado; ","")&amp;IF(AND(M313="En ejecución",L313&lt;&gt;"",L313&lt;TODAY()),"Dice en ejecución pero su terminación ya pasó; ","")&amp;IF(M313="En ejecución","En ejecución: no acredita experiencia; ","")&amp;IF(AND(M313&lt;&gt;"En ejecución",L313&lt;&gt;"",X313&lt;&gt;"",Y313=""),"El año no está en la hoja SMMLV; ","")&amp;IF(AND(B313&lt;&gt;"",COUNTIFS($B$2:$B$601,B313,$C$2:$C$601,C313)&gt;1),"Posible duplicado (mismo número y entidad); ","")&amp;IF(COUNTIF(PARTICIPACIONES!$A$2:$A$601,A313)=0,"Sin participaciones; ","")&amp;IF(SUMIFS(PARTICIPACIONES!$E$2:$E$601,PARTICIPACIONES!$A$2:$A$601,A313)&gt;1.0001,"Las participaciones suman más de 100 %; ",""))</f>
        <v/>
      </c>
    </row>
    <row r="314">
      <c r="J314" s="15" t="n"/>
      <c r="K314" s="15" t="n"/>
      <c r="L314" s="15" t="n"/>
      <c r="N314" s="15" t="n"/>
      <c r="O314" s="16" t="n"/>
      <c r="P314" s="16" t="n"/>
      <c r="Q314" s="16" t="n"/>
      <c r="W314" s="12">
        <f>IF(AND(K314&lt;&gt;"",L314&lt;&gt;""),ROUND((L314-K314)/30.4375,1),"")</f>
        <v/>
      </c>
      <c r="X314" s="12">
        <f>IF(OR(A314="",M314="En ejecución",L314=""),"",YEAR(L314))</f>
        <v/>
      </c>
      <c r="Y314" s="13">
        <f>IF(X314="","",IFERROR(VLOOKUP(X314,SMMLV!$A$2:$B$38,2,FALSE),""))</f>
        <v/>
      </c>
      <c r="Z314" s="17">
        <f>IF(OR(Y314="",P314=""),"",ROUND(P314/Y314,2))</f>
        <v/>
      </c>
      <c r="AA314" s="13">
        <f>IF(Z314="","",ROUND(Z314*SMMLV!$E$4,0))</f>
        <v/>
      </c>
      <c r="AB314" s="13">
        <f>IF(AND(M314="En ejecución",P314&lt;&gt;"",Q314&lt;&gt;""),MAX(P314-Q314,0),"")</f>
        <v/>
      </c>
      <c r="AC314" s="12">
        <f>IF(A314="","",IF(B314="","Falta número de contrato; ","")&amp;IF(C314="","Falta entidad; ","")&amp;IF(E314="","Falta objeto; ","")&amp;IF(F314="","Falta especialidad; ","")&amp;IF(K314="","Falta fecha de inicio (recomendada); ","")&amp;IF(AND(M314&lt;&gt;"En ejecución",L314=""),"Falta fecha de terminación; ","")&amp;IF(AND(K314&lt;&gt;"",L314&lt;&gt;"",L314&lt;K314),"Terminación anterior al inicio; ","")&amp;IF(M314="","Falta estado; ","")&amp;IF(OR(P314="",P314&lt;=0),"Falta valor del contrato; ","")&amp;IF(AND(M314="En ejecución",Q314=""),"En ejecución sin valor ejecutado; ","")&amp;IF(AND(M314="En ejecución",L314&lt;&gt;"",L314&lt;TODAY()),"Dice en ejecución pero su terminación ya pasó; ","")&amp;IF(M314="En ejecución","En ejecución: no acredita experiencia; ","")&amp;IF(AND(M314&lt;&gt;"En ejecución",L314&lt;&gt;"",X314&lt;&gt;"",Y314=""),"El año no está en la hoja SMMLV; ","")&amp;IF(AND(B314&lt;&gt;"",COUNTIFS($B$2:$B$601,B314,$C$2:$C$601,C314)&gt;1),"Posible duplicado (mismo número y entidad); ","")&amp;IF(COUNTIF(PARTICIPACIONES!$A$2:$A$601,A314)=0,"Sin participaciones; ","")&amp;IF(SUMIFS(PARTICIPACIONES!$E$2:$E$601,PARTICIPACIONES!$A$2:$A$601,A314)&gt;1.0001,"Las participaciones suman más de 100 %; ",""))</f>
        <v/>
      </c>
    </row>
    <row r="315">
      <c r="J315" s="15" t="n"/>
      <c r="K315" s="15" t="n"/>
      <c r="L315" s="15" t="n"/>
      <c r="N315" s="15" t="n"/>
      <c r="O315" s="16" t="n"/>
      <c r="P315" s="16" t="n"/>
      <c r="Q315" s="16" t="n"/>
      <c r="W315" s="12">
        <f>IF(AND(K315&lt;&gt;"",L315&lt;&gt;""),ROUND((L315-K315)/30.4375,1),"")</f>
        <v/>
      </c>
      <c r="X315" s="12">
        <f>IF(OR(A315="",M315="En ejecución",L315=""),"",YEAR(L315))</f>
        <v/>
      </c>
      <c r="Y315" s="13">
        <f>IF(X315="","",IFERROR(VLOOKUP(X315,SMMLV!$A$2:$B$38,2,FALSE),""))</f>
        <v/>
      </c>
      <c r="Z315" s="17">
        <f>IF(OR(Y315="",P315=""),"",ROUND(P315/Y315,2))</f>
        <v/>
      </c>
      <c r="AA315" s="13">
        <f>IF(Z315="","",ROUND(Z315*SMMLV!$E$4,0))</f>
        <v/>
      </c>
      <c r="AB315" s="13">
        <f>IF(AND(M315="En ejecución",P315&lt;&gt;"",Q315&lt;&gt;""),MAX(P315-Q315,0),"")</f>
        <v/>
      </c>
      <c r="AC315" s="12">
        <f>IF(A315="","",IF(B315="","Falta número de contrato; ","")&amp;IF(C315="","Falta entidad; ","")&amp;IF(E315="","Falta objeto; ","")&amp;IF(F315="","Falta especialidad; ","")&amp;IF(K315="","Falta fecha de inicio (recomendada); ","")&amp;IF(AND(M315&lt;&gt;"En ejecución",L315=""),"Falta fecha de terminación; ","")&amp;IF(AND(K315&lt;&gt;"",L315&lt;&gt;"",L315&lt;K315),"Terminación anterior al inicio; ","")&amp;IF(M315="","Falta estado; ","")&amp;IF(OR(P315="",P315&lt;=0),"Falta valor del contrato; ","")&amp;IF(AND(M315="En ejecución",Q315=""),"En ejecución sin valor ejecutado; ","")&amp;IF(AND(M315="En ejecución",L315&lt;&gt;"",L315&lt;TODAY()),"Dice en ejecución pero su terminación ya pasó; ","")&amp;IF(M315="En ejecución","En ejecución: no acredita experiencia; ","")&amp;IF(AND(M315&lt;&gt;"En ejecución",L315&lt;&gt;"",X315&lt;&gt;"",Y315=""),"El año no está en la hoja SMMLV; ","")&amp;IF(AND(B315&lt;&gt;"",COUNTIFS($B$2:$B$601,B315,$C$2:$C$601,C315)&gt;1),"Posible duplicado (mismo número y entidad); ","")&amp;IF(COUNTIF(PARTICIPACIONES!$A$2:$A$601,A315)=0,"Sin participaciones; ","")&amp;IF(SUMIFS(PARTICIPACIONES!$E$2:$E$601,PARTICIPACIONES!$A$2:$A$601,A315)&gt;1.0001,"Las participaciones suman más de 100 %; ",""))</f>
        <v/>
      </c>
    </row>
    <row r="316">
      <c r="J316" s="15" t="n"/>
      <c r="K316" s="15" t="n"/>
      <c r="L316" s="15" t="n"/>
      <c r="N316" s="15" t="n"/>
      <c r="O316" s="16" t="n"/>
      <c r="P316" s="16" t="n"/>
      <c r="Q316" s="16" t="n"/>
      <c r="W316" s="12">
        <f>IF(AND(K316&lt;&gt;"",L316&lt;&gt;""),ROUND((L316-K316)/30.4375,1),"")</f>
        <v/>
      </c>
      <c r="X316" s="12">
        <f>IF(OR(A316="",M316="En ejecución",L316=""),"",YEAR(L316))</f>
        <v/>
      </c>
      <c r="Y316" s="13">
        <f>IF(X316="","",IFERROR(VLOOKUP(X316,SMMLV!$A$2:$B$38,2,FALSE),""))</f>
        <v/>
      </c>
      <c r="Z316" s="17">
        <f>IF(OR(Y316="",P316=""),"",ROUND(P316/Y316,2))</f>
        <v/>
      </c>
      <c r="AA316" s="13">
        <f>IF(Z316="","",ROUND(Z316*SMMLV!$E$4,0))</f>
        <v/>
      </c>
      <c r="AB316" s="13">
        <f>IF(AND(M316="En ejecución",P316&lt;&gt;"",Q316&lt;&gt;""),MAX(P316-Q316,0),"")</f>
        <v/>
      </c>
      <c r="AC316" s="12">
        <f>IF(A316="","",IF(B316="","Falta número de contrato; ","")&amp;IF(C316="","Falta entidad; ","")&amp;IF(E316="","Falta objeto; ","")&amp;IF(F316="","Falta especialidad; ","")&amp;IF(K316="","Falta fecha de inicio (recomendada); ","")&amp;IF(AND(M316&lt;&gt;"En ejecución",L316=""),"Falta fecha de terminación; ","")&amp;IF(AND(K316&lt;&gt;"",L316&lt;&gt;"",L316&lt;K316),"Terminación anterior al inicio; ","")&amp;IF(M316="","Falta estado; ","")&amp;IF(OR(P316="",P316&lt;=0),"Falta valor del contrato; ","")&amp;IF(AND(M316="En ejecución",Q316=""),"En ejecución sin valor ejecutado; ","")&amp;IF(AND(M316="En ejecución",L316&lt;&gt;"",L316&lt;TODAY()),"Dice en ejecución pero su terminación ya pasó; ","")&amp;IF(M316="En ejecución","En ejecución: no acredita experiencia; ","")&amp;IF(AND(M316&lt;&gt;"En ejecución",L316&lt;&gt;"",X316&lt;&gt;"",Y316=""),"El año no está en la hoja SMMLV; ","")&amp;IF(AND(B316&lt;&gt;"",COUNTIFS($B$2:$B$601,B316,$C$2:$C$601,C316)&gt;1),"Posible duplicado (mismo número y entidad); ","")&amp;IF(COUNTIF(PARTICIPACIONES!$A$2:$A$601,A316)=0,"Sin participaciones; ","")&amp;IF(SUMIFS(PARTICIPACIONES!$E$2:$E$601,PARTICIPACIONES!$A$2:$A$601,A316)&gt;1.0001,"Las participaciones suman más de 100 %; ",""))</f>
        <v/>
      </c>
    </row>
    <row r="317">
      <c r="J317" s="15" t="n"/>
      <c r="K317" s="15" t="n"/>
      <c r="L317" s="15" t="n"/>
      <c r="N317" s="15" t="n"/>
      <c r="O317" s="16" t="n"/>
      <c r="P317" s="16" t="n"/>
      <c r="Q317" s="16" t="n"/>
      <c r="W317" s="12">
        <f>IF(AND(K317&lt;&gt;"",L317&lt;&gt;""),ROUND((L317-K317)/30.4375,1),"")</f>
        <v/>
      </c>
      <c r="X317" s="12">
        <f>IF(OR(A317="",M317="En ejecución",L317=""),"",YEAR(L317))</f>
        <v/>
      </c>
      <c r="Y317" s="13">
        <f>IF(X317="","",IFERROR(VLOOKUP(X317,SMMLV!$A$2:$B$38,2,FALSE),""))</f>
        <v/>
      </c>
      <c r="Z317" s="17">
        <f>IF(OR(Y317="",P317=""),"",ROUND(P317/Y317,2))</f>
        <v/>
      </c>
      <c r="AA317" s="13">
        <f>IF(Z317="","",ROUND(Z317*SMMLV!$E$4,0))</f>
        <v/>
      </c>
      <c r="AB317" s="13">
        <f>IF(AND(M317="En ejecución",P317&lt;&gt;"",Q317&lt;&gt;""),MAX(P317-Q317,0),"")</f>
        <v/>
      </c>
      <c r="AC317" s="12">
        <f>IF(A317="","",IF(B317="","Falta número de contrato; ","")&amp;IF(C317="","Falta entidad; ","")&amp;IF(E317="","Falta objeto; ","")&amp;IF(F317="","Falta especialidad; ","")&amp;IF(K317="","Falta fecha de inicio (recomendada); ","")&amp;IF(AND(M317&lt;&gt;"En ejecución",L317=""),"Falta fecha de terminación; ","")&amp;IF(AND(K317&lt;&gt;"",L317&lt;&gt;"",L317&lt;K317),"Terminación anterior al inicio; ","")&amp;IF(M317="","Falta estado; ","")&amp;IF(OR(P317="",P317&lt;=0),"Falta valor del contrato; ","")&amp;IF(AND(M317="En ejecución",Q317=""),"En ejecución sin valor ejecutado; ","")&amp;IF(AND(M317="En ejecución",L317&lt;&gt;"",L317&lt;TODAY()),"Dice en ejecución pero su terminación ya pasó; ","")&amp;IF(M317="En ejecución","En ejecución: no acredita experiencia; ","")&amp;IF(AND(M317&lt;&gt;"En ejecución",L317&lt;&gt;"",X317&lt;&gt;"",Y317=""),"El año no está en la hoja SMMLV; ","")&amp;IF(AND(B317&lt;&gt;"",COUNTIFS($B$2:$B$601,B317,$C$2:$C$601,C317)&gt;1),"Posible duplicado (mismo número y entidad); ","")&amp;IF(COUNTIF(PARTICIPACIONES!$A$2:$A$601,A317)=0,"Sin participaciones; ","")&amp;IF(SUMIFS(PARTICIPACIONES!$E$2:$E$601,PARTICIPACIONES!$A$2:$A$601,A317)&gt;1.0001,"Las participaciones suman más de 100 %; ",""))</f>
        <v/>
      </c>
    </row>
    <row r="318">
      <c r="J318" s="15" t="n"/>
      <c r="K318" s="15" t="n"/>
      <c r="L318" s="15" t="n"/>
      <c r="N318" s="15" t="n"/>
      <c r="O318" s="16" t="n"/>
      <c r="P318" s="16" t="n"/>
      <c r="Q318" s="16" t="n"/>
      <c r="W318" s="12">
        <f>IF(AND(K318&lt;&gt;"",L318&lt;&gt;""),ROUND((L318-K318)/30.4375,1),"")</f>
        <v/>
      </c>
      <c r="X318" s="12">
        <f>IF(OR(A318="",M318="En ejecución",L318=""),"",YEAR(L318))</f>
        <v/>
      </c>
      <c r="Y318" s="13">
        <f>IF(X318="","",IFERROR(VLOOKUP(X318,SMMLV!$A$2:$B$38,2,FALSE),""))</f>
        <v/>
      </c>
      <c r="Z318" s="17">
        <f>IF(OR(Y318="",P318=""),"",ROUND(P318/Y318,2))</f>
        <v/>
      </c>
      <c r="AA318" s="13">
        <f>IF(Z318="","",ROUND(Z318*SMMLV!$E$4,0))</f>
        <v/>
      </c>
      <c r="AB318" s="13">
        <f>IF(AND(M318="En ejecución",P318&lt;&gt;"",Q318&lt;&gt;""),MAX(P318-Q318,0),"")</f>
        <v/>
      </c>
      <c r="AC318" s="12">
        <f>IF(A318="","",IF(B318="","Falta número de contrato; ","")&amp;IF(C318="","Falta entidad; ","")&amp;IF(E318="","Falta objeto; ","")&amp;IF(F318="","Falta especialidad; ","")&amp;IF(K318="","Falta fecha de inicio (recomendada); ","")&amp;IF(AND(M318&lt;&gt;"En ejecución",L318=""),"Falta fecha de terminación; ","")&amp;IF(AND(K318&lt;&gt;"",L318&lt;&gt;"",L318&lt;K318),"Terminación anterior al inicio; ","")&amp;IF(M318="","Falta estado; ","")&amp;IF(OR(P318="",P318&lt;=0),"Falta valor del contrato; ","")&amp;IF(AND(M318="En ejecución",Q318=""),"En ejecución sin valor ejecutado; ","")&amp;IF(AND(M318="En ejecución",L318&lt;&gt;"",L318&lt;TODAY()),"Dice en ejecución pero su terminación ya pasó; ","")&amp;IF(M318="En ejecución","En ejecución: no acredita experiencia; ","")&amp;IF(AND(M318&lt;&gt;"En ejecución",L318&lt;&gt;"",X318&lt;&gt;"",Y318=""),"El año no está en la hoja SMMLV; ","")&amp;IF(AND(B318&lt;&gt;"",COUNTIFS($B$2:$B$601,B318,$C$2:$C$601,C318)&gt;1),"Posible duplicado (mismo número y entidad); ","")&amp;IF(COUNTIF(PARTICIPACIONES!$A$2:$A$601,A318)=0,"Sin participaciones; ","")&amp;IF(SUMIFS(PARTICIPACIONES!$E$2:$E$601,PARTICIPACIONES!$A$2:$A$601,A318)&gt;1.0001,"Las participaciones suman más de 100 %; ",""))</f>
        <v/>
      </c>
    </row>
    <row r="319">
      <c r="J319" s="15" t="n"/>
      <c r="K319" s="15" t="n"/>
      <c r="L319" s="15" t="n"/>
      <c r="N319" s="15" t="n"/>
      <c r="O319" s="16" t="n"/>
      <c r="P319" s="16" t="n"/>
      <c r="Q319" s="16" t="n"/>
      <c r="W319" s="12">
        <f>IF(AND(K319&lt;&gt;"",L319&lt;&gt;""),ROUND((L319-K319)/30.4375,1),"")</f>
        <v/>
      </c>
      <c r="X319" s="12">
        <f>IF(OR(A319="",M319="En ejecución",L319=""),"",YEAR(L319))</f>
        <v/>
      </c>
      <c r="Y319" s="13">
        <f>IF(X319="","",IFERROR(VLOOKUP(X319,SMMLV!$A$2:$B$38,2,FALSE),""))</f>
        <v/>
      </c>
      <c r="Z319" s="17">
        <f>IF(OR(Y319="",P319=""),"",ROUND(P319/Y319,2))</f>
        <v/>
      </c>
      <c r="AA319" s="13">
        <f>IF(Z319="","",ROUND(Z319*SMMLV!$E$4,0))</f>
        <v/>
      </c>
      <c r="AB319" s="13">
        <f>IF(AND(M319="En ejecución",P319&lt;&gt;"",Q319&lt;&gt;""),MAX(P319-Q319,0),"")</f>
        <v/>
      </c>
      <c r="AC319" s="12">
        <f>IF(A319="","",IF(B319="","Falta número de contrato; ","")&amp;IF(C319="","Falta entidad; ","")&amp;IF(E319="","Falta objeto; ","")&amp;IF(F319="","Falta especialidad; ","")&amp;IF(K319="","Falta fecha de inicio (recomendada); ","")&amp;IF(AND(M319&lt;&gt;"En ejecución",L319=""),"Falta fecha de terminación; ","")&amp;IF(AND(K319&lt;&gt;"",L319&lt;&gt;"",L319&lt;K319),"Terminación anterior al inicio; ","")&amp;IF(M319="","Falta estado; ","")&amp;IF(OR(P319="",P319&lt;=0),"Falta valor del contrato; ","")&amp;IF(AND(M319="En ejecución",Q319=""),"En ejecución sin valor ejecutado; ","")&amp;IF(AND(M319="En ejecución",L319&lt;&gt;"",L319&lt;TODAY()),"Dice en ejecución pero su terminación ya pasó; ","")&amp;IF(M319="En ejecución","En ejecución: no acredita experiencia; ","")&amp;IF(AND(M319&lt;&gt;"En ejecución",L319&lt;&gt;"",X319&lt;&gt;"",Y319=""),"El año no está en la hoja SMMLV; ","")&amp;IF(AND(B319&lt;&gt;"",COUNTIFS($B$2:$B$601,B319,$C$2:$C$601,C319)&gt;1),"Posible duplicado (mismo número y entidad); ","")&amp;IF(COUNTIF(PARTICIPACIONES!$A$2:$A$601,A319)=0,"Sin participaciones; ","")&amp;IF(SUMIFS(PARTICIPACIONES!$E$2:$E$601,PARTICIPACIONES!$A$2:$A$601,A319)&gt;1.0001,"Las participaciones suman más de 100 %; ",""))</f>
        <v/>
      </c>
    </row>
    <row r="320">
      <c r="J320" s="15" t="n"/>
      <c r="K320" s="15" t="n"/>
      <c r="L320" s="15" t="n"/>
      <c r="N320" s="15" t="n"/>
      <c r="O320" s="16" t="n"/>
      <c r="P320" s="16" t="n"/>
      <c r="Q320" s="16" t="n"/>
      <c r="W320" s="12">
        <f>IF(AND(K320&lt;&gt;"",L320&lt;&gt;""),ROUND((L320-K320)/30.4375,1),"")</f>
        <v/>
      </c>
      <c r="X320" s="12">
        <f>IF(OR(A320="",M320="En ejecución",L320=""),"",YEAR(L320))</f>
        <v/>
      </c>
      <c r="Y320" s="13">
        <f>IF(X320="","",IFERROR(VLOOKUP(X320,SMMLV!$A$2:$B$38,2,FALSE),""))</f>
        <v/>
      </c>
      <c r="Z320" s="17">
        <f>IF(OR(Y320="",P320=""),"",ROUND(P320/Y320,2))</f>
        <v/>
      </c>
      <c r="AA320" s="13">
        <f>IF(Z320="","",ROUND(Z320*SMMLV!$E$4,0))</f>
        <v/>
      </c>
      <c r="AB320" s="13">
        <f>IF(AND(M320="En ejecución",P320&lt;&gt;"",Q320&lt;&gt;""),MAX(P320-Q320,0),"")</f>
        <v/>
      </c>
      <c r="AC320" s="12">
        <f>IF(A320="","",IF(B320="","Falta número de contrato; ","")&amp;IF(C320="","Falta entidad; ","")&amp;IF(E320="","Falta objeto; ","")&amp;IF(F320="","Falta especialidad; ","")&amp;IF(K320="","Falta fecha de inicio (recomendada); ","")&amp;IF(AND(M320&lt;&gt;"En ejecución",L320=""),"Falta fecha de terminación; ","")&amp;IF(AND(K320&lt;&gt;"",L320&lt;&gt;"",L320&lt;K320),"Terminación anterior al inicio; ","")&amp;IF(M320="","Falta estado; ","")&amp;IF(OR(P320="",P320&lt;=0),"Falta valor del contrato; ","")&amp;IF(AND(M320="En ejecución",Q320=""),"En ejecución sin valor ejecutado; ","")&amp;IF(AND(M320="En ejecución",L320&lt;&gt;"",L320&lt;TODAY()),"Dice en ejecución pero su terminación ya pasó; ","")&amp;IF(M320="En ejecución","En ejecución: no acredita experiencia; ","")&amp;IF(AND(M320&lt;&gt;"En ejecución",L320&lt;&gt;"",X320&lt;&gt;"",Y320=""),"El año no está en la hoja SMMLV; ","")&amp;IF(AND(B320&lt;&gt;"",COUNTIFS($B$2:$B$601,B320,$C$2:$C$601,C320)&gt;1),"Posible duplicado (mismo número y entidad); ","")&amp;IF(COUNTIF(PARTICIPACIONES!$A$2:$A$601,A320)=0,"Sin participaciones; ","")&amp;IF(SUMIFS(PARTICIPACIONES!$E$2:$E$601,PARTICIPACIONES!$A$2:$A$601,A320)&gt;1.0001,"Las participaciones suman más de 100 %; ",""))</f>
        <v/>
      </c>
    </row>
    <row r="321">
      <c r="J321" s="15" t="n"/>
      <c r="K321" s="15" t="n"/>
      <c r="L321" s="15" t="n"/>
      <c r="N321" s="15" t="n"/>
      <c r="O321" s="16" t="n"/>
      <c r="P321" s="16" t="n"/>
      <c r="Q321" s="16" t="n"/>
      <c r="W321" s="12">
        <f>IF(AND(K321&lt;&gt;"",L321&lt;&gt;""),ROUND((L321-K321)/30.4375,1),"")</f>
        <v/>
      </c>
      <c r="X321" s="12">
        <f>IF(OR(A321="",M321="En ejecución",L321=""),"",YEAR(L321))</f>
        <v/>
      </c>
      <c r="Y321" s="13">
        <f>IF(X321="","",IFERROR(VLOOKUP(X321,SMMLV!$A$2:$B$38,2,FALSE),""))</f>
        <v/>
      </c>
      <c r="Z321" s="17">
        <f>IF(OR(Y321="",P321=""),"",ROUND(P321/Y321,2))</f>
        <v/>
      </c>
      <c r="AA321" s="13">
        <f>IF(Z321="","",ROUND(Z321*SMMLV!$E$4,0))</f>
        <v/>
      </c>
      <c r="AB321" s="13">
        <f>IF(AND(M321="En ejecución",P321&lt;&gt;"",Q321&lt;&gt;""),MAX(P321-Q321,0),"")</f>
        <v/>
      </c>
      <c r="AC321" s="12">
        <f>IF(A321="","",IF(B321="","Falta número de contrato; ","")&amp;IF(C321="","Falta entidad; ","")&amp;IF(E321="","Falta objeto; ","")&amp;IF(F321="","Falta especialidad; ","")&amp;IF(K321="","Falta fecha de inicio (recomendada); ","")&amp;IF(AND(M321&lt;&gt;"En ejecución",L321=""),"Falta fecha de terminación; ","")&amp;IF(AND(K321&lt;&gt;"",L321&lt;&gt;"",L321&lt;K321),"Terminación anterior al inicio; ","")&amp;IF(M321="","Falta estado; ","")&amp;IF(OR(P321="",P321&lt;=0),"Falta valor del contrato; ","")&amp;IF(AND(M321="En ejecución",Q321=""),"En ejecución sin valor ejecutado; ","")&amp;IF(AND(M321="En ejecución",L321&lt;&gt;"",L321&lt;TODAY()),"Dice en ejecución pero su terminación ya pasó; ","")&amp;IF(M321="En ejecución","En ejecución: no acredita experiencia; ","")&amp;IF(AND(M321&lt;&gt;"En ejecución",L321&lt;&gt;"",X321&lt;&gt;"",Y321=""),"El año no está en la hoja SMMLV; ","")&amp;IF(AND(B321&lt;&gt;"",COUNTIFS($B$2:$B$601,B321,$C$2:$C$601,C321)&gt;1),"Posible duplicado (mismo número y entidad); ","")&amp;IF(COUNTIF(PARTICIPACIONES!$A$2:$A$601,A321)=0,"Sin participaciones; ","")&amp;IF(SUMIFS(PARTICIPACIONES!$E$2:$E$601,PARTICIPACIONES!$A$2:$A$601,A321)&gt;1.0001,"Las participaciones suman más de 100 %; ",""))</f>
        <v/>
      </c>
    </row>
    <row r="322">
      <c r="J322" s="15" t="n"/>
      <c r="K322" s="15" t="n"/>
      <c r="L322" s="15" t="n"/>
      <c r="N322" s="15" t="n"/>
      <c r="O322" s="16" t="n"/>
      <c r="P322" s="16" t="n"/>
      <c r="Q322" s="16" t="n"/>
      <c r="W322" s="12">
        <f>IF(AND(K322&lt;&gt;"",L322&lt;&gt;""),ROUND((L322-K322)/30.4375,1),"")</f>
        <v/>
      </c>
      <c r="X322" s="12">
        <f>IF(OR(A322="",M322="En ejecución",L322=""),"",YEAR(L322))</f>
        <v/>
      </c>
      <c r="Y322" s="13">
        <f>IF(X322="","",IFERROR(VLOOKUP(X322,SMMLV!$A$2:$B$38,2,FALSE),""))</f>
        <v/>
      </c>
      <c r="Z322" s="17">
        <f>IF(OR(Y322="",P322=""),"",ROUND(P322/Y322,2))</f>
        <v/>
      </c>
      <c r="AA322" s="13">
        <f>IF(Z322="","",ROUND(Z322*SMMLV!$E$4,0))</f>
        <v/>
      </c>
      <c r="AB322" s="13">
        <f>IF(AND(M322="En ejecución",P322&lt;&gt;"",Q322&lt;&gt;""),MAX(P322-Q322,0),"")</f>
        <v/>
      </c>
      <c r="AC322" s="12">
        <f>IF(A322="","",IF(B322="","Falta número de contrato; ","")&amp;IF(C322="","Falta entidad; ","")&amp;IF(E322="","Falta objeto; ","")&amp;IF(F322="","Falta especialidad; ","")&amp;IF(K322="","Falta fecha de inicio (recomendada); ","")&amp;IF(AND(M322&lt;&gt;"En ejecución",L322=""),"Falta fecha de terminación; ","")&amp;IF(AND(K322&lt;&gt;"",L322&lt;&gt;"",L322&lt;K322),"Terminación anterior al inicio; ","")&amp;IF(M322="","Falta estado; ","")&amp;IF(OR(P322="",P322&lt;=0),"Falta valor del contrato; ","")&amp;IF(AND(M322="En ejecución",Q322=""),"En ejecución sin valor ejecutado; ","")&amp;IF(AND(M322="En ejecución",L322&lt;&gt;"",L322&lt;TODAY()),"Dice en ejecución pero su terminación ya pasó; ","")&amp;IF(M322="En ejecución","En ejecución: no acredita experiencia; ","")&amp;IF(AND(M322&lt;&gt;"En ejecución",L322&lt;&gt;"",X322&lt;&gt;"",Y322=""),"El año no está en la hoja SMMLV; ","")&amp;IF(AND(B322&lt;&gt;"",COUNTIFS($B$2:$B$601,B322,$C$2:$C$601,C322)&gt;1),"Posible duplicado (mismo número y entidad); ","")&amp;IF(COUNTIF(PARTICIPACIONES!$A$2:$A$601,A322)=0,"Sin participaciones; ","")&amp;IF(SUMIFS(PARTICIPACIONES!$E$2:$E$601,PARTICIPACIONES!$A$2:$A$601,A322)&gt;1.0001,"Las participaciones suman más de 100 %; ",""))</f>
        <v/>
      </c>
    </row>
    <row r="323">
      <c r="J323" s="15" t="n"/>
      <c r="K323" s="15" t="n"/>
      <c r="L323" s="15" t="n"/>
      <c r="N323" s="15" t="n"/>
      <c r="O323" s="16" t="n"/>
      <c r="P323" s="16" t="n"/>
      <c r="Q323" s="16" t="n"/>
      <c r="W323" s="12">
        <f>IF(AND(K323&lt;&gt;"",L323&lt;&gt;""),ROUND((L323-K323)/30.4375,1),"")</f>
        <v/>
      </c>
      <c r="X323" s="12">
        <f>IF(OR(A323="",M323="En ejecución",L323=""),"",YEAR(L323))</f>
        <v/>
      </c>
      <c r="Y323" s="13">
        <f>IF(X323="","",IFERROR(VLOOKUP(X323,SMMLV!$A$2:$B$38,2,FALSE),""))</f>
        <v/>
      </c>
      <c r="Z323" s="17">
        <f>IF(OR(Y323="",P323=""),"",ROUND(P323/Y323,2))</f>
        <v/>
      </c>
      <c r="AA323" s="13">
        <f>IF(Z323="","",ROUND(Z323*SMMLV!$E$4,0))</f>
        <v/>
      </c>
      <c r="AB323" s="13">
        <f>IF(AND(M323="En ejecución",P323&lt;&gt;"",Q323&lt;&gt;""),MAX(P323-Q323,0),"")</f>
        <v/>
      </c>
      <c r="AC323" s="12">
        <f>IF(A323="","",IF(B323="","Falta número de contrato; ","")&amp;IF(C323="","Falta entidad; ","")&amp;IF(E323="","Falta objeto; ","")&amp;IF(F323="","Falta especialidad; ","")&amp;IF(K323="","Falta fecha de inicio (recomendada); ","")&amp;IF(AND(M323&lt;&gt;"En ejecución",L323=""),"Falta fecha de terminación; ","")&amp;IF(AND(K323&lt;&gt;"",L323&lt;&gt;"",L323&lt;K323),"Terminación anterior al inicio; ","")&amp;IF(M323="","Falta estado; ","")&amp;IF(OR(P323="",P323&lt;=0),"Falta valor del contrato; ","")&amp;IF(AND(M323="En ejecución",Q323=""),"En ejecución sin valor ejecutado; ","")&amp;IF(AND(M323="En ejecución",L323&lt;&gt;"",L323&lt;TODAY()),"Dice en ejecución pero su terminación ya pasó; ","")&amp;IF(M323="En ejecución","En ejecución: no acredita experiencia; ","")&amp;IF(AND(M323&lt;&gt;"En ejecución",L323&lt;&gt;"",X323&lt;&gt;"",Y323=""),"El año no está en la hoja SMMLV; ","")&amp;IF(AND(B323&lt;&gt;"",COUNTIFS($B$2:$B$601,B323,$C$2:$C$601,C323)&gt;1),"Posible duplicado (mismo número y entidad); ","")&amp;IF(COUNTIF(PARTICIPACIONES!$A$2:$A$601,A323)=0,"Sin participaciones; ","")&amp;IF(SUMIFS(PARTICIPACIONES!$E$2:$E$601,PARTICIPACIONES!$A$2:$A$601,A323)&gt;1.0001,"Las participaciones suman más de 100 %; ",""))</f>
        <v/>
      </c>
    </row>
    <row r="324">
      <c r="J324" s="15" t="n"/>
      <c r="K324" s="15" t="n"/>
      <c r="L324" s="15" t="n"/>
      <c r="N324" s="15" t="n"/>
      <c r="O324" s="16" t="n"/>
      <c r="P324" s="16" t="n"/>
      <c r="Q324" s="16" t="n"/>
      <c r="W324" s="12">
        <f>IF(AND(K324&lt;&gt;"",L324&lt;&gt;""),ROUND((L324-K324)/30.4375,1),"")</f>
        <v/>
      </c>
      <c r="X324" s="12">
        <f>IF(OR(A324="",M324="En ejecución",L324=""),"",YEAR(L324))</f>
        <v/>
      </c>
      <c r="Y324" s="13">
        <f>IF(X324="","",IFERROR(VLOOKUP(X324,SMMLV!$A$2:$B$38,2,FALSE),""))</f>
        <v/>
      </c>
      <c r="Z324" s="17">
        <f>IF(OR(Y324="",P324=""),"",ROUND(P324/Y324,2))</f>
        <v/>
      </c>
      <c r="AA324" s="13">
        <f>IF(Z324="","",ROUND(Z324*SMMLV!$E$4,0))</f>
        <v/>
      </c>
      <c r="AB324" s="13">
        <f>IF(AND(M324="En ejecución",P324&lt;&gt;"",Q324&lt;&gt;""),MAX(P324-Q324,0),"")</f>
        <v/>
      </c>
      <c r="AC324" s="12">
        <f>IF(A324="","",IF(B324="","Falta número de contrato; ","")&amp;IF(C324="","Falta entidad; ","")&amp;IF(E324="","Falta objeto; ","")&amp;IF(F324="","Falta especialidad; ","")&amp;IF(K324="","Falta fecha de inicio (recomendada); ","")&amp;IF(AND(M324&lt;&gt;"En ejecución",L324=""),"Falta fecha de terminación; ","")&amp;IF(AND(K324&lt;&gt;"",L324&lt;&gt;"",L324&lt;K324),"Terminación anterior al inicio; ","")&amp;IF(M324="","Falta estado; ","")&amp;IF(OR(P324="",P324&lt;=0),"Falta valor del contrato; ","")&amp;IF(AND(M324="En ejecución",Q324=""),"En ejecución sin valor ejecutado; ","")&amp;IF(AND(M324="En ejecución",L324&lt;&gt;"",L324&lt;TODAY()),"Dice en ejecución pero su terminación ya pasó; ","")&amp;IF(M324="En ejecución","En ejecución: no acredita experiencia; ","")&amp;IF(AND(M324&lt;&gt;"En ejecución",L324&lt;&gt;"",X324&lt;&gt;"",Y324=""),"El año no está en la hoja SMMLV; ","")&amp;IF(AND(B324&lt;&gt;"",COUNTIFS($B$2:$B$601,B324,$C$2:$C$601,C324)&gt;1),"Posible duplicado (mismo número y entidad); ","")&amp;IF(COUNTIF(PARTICIPACIONES!$A$2:$A$601,A324)=0,"Sin participaciones; ","")&amp;IF(SUMIFS(PARTICIPACIONES!$E$2:$E$601,PARTICIPACIONES!$A$2:$A$601,A324)&gt;1.0001,"Las participaciones suman más de 100 %; ",""))</f>
        <v/>
      </c>
    </row>
    <row r="325">
      <c r="J325" s="15" t="n"/>
      <c r="K325" s="15" t="n"/>
      <c r="L325" s="15" t="n"/>
      <c r="N325" s="15" t="n"/>
      <c r="O325" s="16" t="n"/>
      <c r="P325" s="16" t="n"/>
      <c r="Q325" s="16" t="n"/>
      <c r="W325" s="12">
        <f>IF(AND(K325&lt;&gt;"",L325&lt;&gt;""),ROUND((L325-K325)/30.4375,1),"")</f>
        <v/>
      </c>
      <c r="X325" s="12">
        <f>IF(OR(A325="",M325="En ejecución",L325=""),"",YEAR(L325))</f>
        <v/>
      </c>
      <c r="Y325" s="13">
        <f>IF(X325="","",IFERROR(VLOOKUP(X325,SMMLV!$A$2:$B$38,2,FALSE),""))</f>
        <v/>
      </c>
      <c r="Z325" s="17">
        <f>IF(OR(Y325="",P325=""),"",ROUND(P325/Y325,2))</f>
        <v/>
      </c>
      <c r="AA325" s="13">
        <f>IF(Z325="","",ROUND(Z325*SMMLV!$E$4,0))</f>
        <v/>
      </c>
      <c r="AB325" s="13">
        <f>IF(AND(M325="En ejecución",P325&lt;&gt;"",Q325&lt;&gt;""),MAX(P325-Q325,0),"")</f>
        <v/>
      </c>
      <c r="AC325" s="12">
        <f>IF(A325="","",IF(B325="","Falta número de contrato; ","")&amp;IF(C325="","Falta entidad; ","")&amp;IF(E325="","Falta objeto; ","")&amp;IF(F325="","Falta especialidad; ","")&amp;IF(K325="","Falta fecha de inicio (recomendada); ","")&amp;IF(AND(M325&lt;&gt;"En ejecución",L325=""),"Falta fecha de terminación; ","")&amp;IF(AND(K325&lt;&gt;"",L325&lt;&gt;"",L325&lt;K325),"Terminación anterior al inicio; ","")&amp;IF(M325="","Falta estado; ","")&amp;IF(OR(P325="",P325&lt;=0),"Falta valor del contrato; ","")&amp;IF(AND(M325="En ejecución",Q325=""),"En ejecución sin valor ejecutado; ","")&amp;IF(AND(M325="En ejecución",L325&lt;&gt;"",L325&lt;TODAY()),"Dice en ejecución pero su terminación ya pasó; ","")&amp;IF(M325="En ejecución","En ejecución: no acredita experiencia; ","")&amp;IF(AND(M325&lt;&gt;"En ejecución",L325&lt;&gt;"",X325&lt;&gt;"",Y325=""),"El año no está en la hoja SMMLV; ","")&amp;IF(AND(B325&lt;&gt;"",COUNTIFS($B$2:$B$601,B325,$C$2:$C$601,C325)&gt;1),"Posible duplicado (mismo número y entidad); ","")&amp;IF(COUNTIF(PARTICIPACIONES!$A$2:$A$601,A325)=0,"Sin participaciones; ","")&amp;IF(SUMIFS(PARTICIPACIONES!$E$2:$E$601,PARTICIPACIONES!$A$2:$A$601,A325)&gt;1.0001,"Las participaciones suman más de 100 %; ",""))</f>
        <v/>
      </c>
    </row>
    <row r="326">
      <c r="J326" s="15" t="n"/>
      <c r="K326" s="15" t="n"/>
      <c r="L326" s="15" t="n"/>
      <c r="N326" s="15" t="n"/>
      <c r="O326" s="16" t="n"/>
      <c r="P326" s="16" t="n"/>
      <c r="Q326" s="16" t="n"/>
      <c r="W326" s="12">
        <f>IF(AND(K326&lt;&gt;"",L326&lt;&gt;""),ROUND((L326-K326)/30.4375,1),"")</f>
        <v/>
      </c>
      <c r="X326" s="12">
        <f>IF(OR(A326="",M326="En ejecución",L326=""),"",YEAR(L326))</f>
        <v/>
      </c>
      <c r="Y326" s="13">
        <f>IF(X326="","",IFERROR(VLOOKUP(X326,SMMLV!$A$2:$B$38,2,FALSE),""))</f>
        <v/>
      </c>
      <c r="Z326" s="17">
        <f>IF(OR(Y326="",P326=""),"",ROUND(P326/Y326,2))</f>
        <v/>
      </c>
      <c r="AA326" s="13">
        <f>IF(Z326="","",ROUND(Z326*SMMLV!$E$4,0))</f>
        <v/>
      </c>
      <c r="AB326" s="13">
        <f>IF(AND(M326="En ejecución",P326&lt;&gt;"",Q326&lt;&gt;""),MAX(P326-Q326,0),"")</f>
        <v/>
      </c>
      <c r="AC326" s="12">
        <f>IF(A326="","",IF(B326="","Falta número de contrato; ","")&amp;IF(C326="","Falta entidad; ","")&amp;IF(E326="","Falta objeto; ","")&amp;IF(F326="","Falta especialidad; ","")&amp;IF(K326="","Falta fecha de inicio (recomendada); ","")&amp;IF(AND(M326&lt;&gt;"En ejecución",L326=""),"Falta fecha de terminación; ","")&amp;IF(AND(K326&lt;&gt;"",L326&lt;&gt;"",L326&lt;K326),"Terminación anterior al inicio; ","")&amp;IF(M326="","Falta estado; ","")&amp;IF(OR(P326="",P326&lt;=0),"Falta valor del contrato; ","")&amp;IF(AND(M326="En ejecución",Q326=""),"En ejecución sin valor ejecutado; ","")&amp;IF(AND(M326="En ejecución",L326&lt;&gt;"",L326&lt;TODAY()),"Dice en ejecución pero su terminación ya pasó; ","")&amp;IF(M326="En ejecución","En ejecución: no acredita experiencia; ","")&amp;IF(AND(M326&lt;&gt;"En ejecución",L326&lt;&gt;"",X326&lt;&gt;"",Y326=""),"El año no está en la hoja SMMLV; ","")&amp;IF(AND(B326&lt;&gt;"",COUNTIFS($B$2:$B$601,B326,$C$2:$C$601,C326)&gt;1),"Posible duplicado (mismo número y entidad); ","")&amp;IF(COUNTIF(PARTICIPACIONES!$A$2:$A$601,A326)=0,"Sin participaciones; ","")&amp;IF(SUMIFS(PARTICIPACIONES!$E$2:$E$601,PARTICIPACIONES!$A$2:$A$601,A326)&gt;1.0001,"Las participaciones suman más de 100 %; ",""))</f>
        <v/>
      </c>
    </row>
    <row r="327">
      <c r="J327" s="15" t="n"/>
      <c r="K327" s="15" t="n"/>
      <c r="L327" s="15" t="n"/>
      <c r="N327" s="15" t="n"/>
      <c r="O327" s="16" t="n"/>
      <c r="P327" s="16" t="n"/>
      <c r="Q327" s="16" t="n"/>
      <c r="W327" s="12">
        <f>IF(AND(K327&lt;&gt;"",L327&lt;&gt;""),ROUND((L327-K327)/30.4375,1),"")</f>
        <v/>
      </c>
      <c r="X327" s="12">
        <f>IF(OR(A327="",M327="En ejecución",L327=""),"",YEAR(L327))</f>
        <v/>
      </c>
      <c r="Y327" s="13">
        <f>IF(X327="","",IFERROR(VLOOKUP(X327,SMMLV!$A$2:$B$38,2,FALSE),""))</f>
        <v/>
      </c>
      <c r="Z327" s="17">
        <f>IF(OR(Y327="",P327=""),"",ROUND(P327/Y327,2))</f>
        <v/>
      </c>
      <c r="AA327" s="13">
        <f>IF(Z327="","",ROUND(Z327*SMMLV!$E$4,0))</f>
        <v/>
      </c>
      <c r="AB327" s="13">
        <f>IF(AND(M327="En ejecución",P327&lt;&gt;"",Q327&lt;&gt;""),MAX(P327-Q327,0),"")</f>
        <v/>
      </c>
      <c r="AC327" s="12">
        <f>IF(A327="","",IF(B327="","Falta número de contrato; ","")&amp;IF(C327="","Falta entidad; ","")&amp;IF(E327="","Falta objeto; ","")&amp;IF(F327="","Falta especialidad; ","")&amp;IF(K327="","Falta fecha de inicio (recomendada); ","")&amp;IF(AND(M327&lt;&gt;"En ejecución",L327=""),"Falta fecha de terminación; ","")&amp;IF(AND(K327&lt;&gt;"",L327&lt;&gt;"",L327&lt;K327),"Terminación anterior al inicio; ","")&amp;IF(M327="","Falta estado; ","")&amp;IF(OR(P327="",P327&lt;=0),"Falta valor del contrato; ","")&amp;IF(AND(M327="En ejecución",Q327=""),"En ejecución sin valor ejecutado; ","")&amp;IF(AND(M327="En ejecución",L327&lt;&gt;"",L327&lt;TODAY()),"Dice en ejecución pero su terminación ya pasó; ","")&amp;IF(M327="En ejecución","En ejecución: no acredita experiencia; ","")&amp;IF(AND(M327&lt;&gt;"En ejecución",L327&lt;&gt;"",X327&lt;&gt;"",Y327=""),"El año no está en la hoja SMMLV; ","")&amp;IF(AND(B327&lt;&gt;"",COUNTIFS($B$2:$B$601,B327,$C$2:$C$601,C327)&gt;1),"Posible duplicado (mismo número y entidad); ","")&amp;IF(COUNTIF(PARTICIPACIONES!$A$2:$A$601,A327)=0,"Sin participaciones; ","")&amp;IF(SUMIFS(PARTICIPACIONES!$E$2:$E$601,PARTICIPACIONES!$A$2:$A$601,A327)&gt;1.0001,"Las participaciones suman más de 100 %; ",""))</f>
        <v/>
      </c>
    </row>
    <row r="328">
      <c r="J328" s="15" t="n"/>
      <c r="K328" s="15" t="n"/>
      <c r="L328" s="15" t="n"/>
      <c r="N328" s="15" t="n"/>
      <c r="O328" s="16" t="n"/>
      <c r="P328" s="16" t="n"/>
      <c r="Q328" s="16" t="n"/>
      <c r="W328" s="12">
        <f>IF(AND(K328&lt;&gt;"",L328&lt;&gt;""),ROUND((L328-K328)/30.4375,1),"")</f>
        <v/>
      </c>
      <c r="X328" s="12">
        <f>IF(OR(A328="",M328="En ejecución",L328=""),"",YEAR(L328))</f>
        <v/>
      </c>
      <c r="Y328" s="13">
        <f>IF(X328="","",IFERROR(VLOOKUP(X328,SMMLV!$A$2:$B$38,2,FALSE),""))</f>
        <v/>
      </c>
      <c r="Z328" s="17">
        <f>IF(OR(Y328="",P328=""),"",ROUND(P328/Y328,2))</f>
        <v/>
      </c>
      <c r="AA328" s="13">
        <f>IF(Z328="","",ROUND(Z328*SMMLV!$E$4,0))</f>
        <v/>
      </c>
      <c r="AB328" s="13">
        <f>IF(AND(M328="En ejecución",P328&lt;&gt;"",Q328&lt;&gt;""),MAX(P328-Q328,0),"")</f>
        <v/>
      </c>
      <c r="AC328" s="12">
        <f>IF(A328="","",IF(B328="","Falta número de contrato; ","")&amp;IF(C328="","Falta entidad; ","")&amp;IF(E328="","Falta objeto; ","")&amp;IF(F328="","Falta especialidad; ","")&amp;IF(K328="","Falta fecha de inicio (recomendada); ","")&amp;IF(AND(M328&lt;&gt;"En ejecución",L328=""),"Falta fecha de terminación; ","")&amp;IF(AND(K328&lt;&gt;"",L328&lt;&gt;"",L328&lt;K328),"Terminación anterior al inicio; ","")&amp;IF(M328="","Falta estado; ","")&amp;IF(OR(P328="",P328&lt;=0),"Falta valor del contrato; ","")&amp;IF(AND(M328="En ejecución",Q328=""),"En ejecución sin valor ejecutado; ","")&amp;IF(AND(M328="En ejecución",L328&lt;&gt;"",L328&lt;TODAY()),"Dice en ejecución pero su terminación ya pasó; ","")&amp;IF(M328="En ejecución","En ejecución: no acredita experiencia; ","")&amp;IF(AND(M328&lt;&gt;"En ejecución",L328&lt;&gt;"",X328&lt;&gt;"",Y328=""),"El año no está en la hoja SMMLV; ","")&amp;IF(AND(B328&lt;&gt;"",COUNTIFS($B$2:$B$601,B328,$C$2:$C$601,C328)&gt;1),"Posible duplicado (mismo número y entidad); ","")&amp;IF(COUNTIF(PARTICIPACIONES!$A$2:$A$601,A328)=0,"Sin participaciones; ","")&amp;IF(SUMIFS(PARTICIPACIONES!$E$2:$E$601,PARTICIPACIONES!$A$2:$A$601,A328)&gt;1.0001,"Las participaciones suman más de 100 %; ",""))</f>
        <v/>
      </c>
    </row>
    <row r="329">
      <c r="J329" s="15" t="n"/>
      <c r="K329" s="15" t="n"/>
      <c r="L329" s="15" t="n"/>
      <c r="N329" s="15" t="n"/>
      <c r="O329" s="16" t="n"/>
      <c r="P329" s="16" t="n"/>
      <c r="Q329" s="16" t="n"/>
      <c r="W329" s="12">
        <f>IF(AND(K329&lt;&gt;"",L329&lt;&gt;""),ROUND((L329-K329)/30.4375,1),"")</f>
        <v/>
      </c>
      <c r="X329" s="12">
        <f>IF(OR(A329="",M329="En ejecución",L329=""),"",YEAR(L329))</f>
        <v/>
      </c>
      <c r="Y329" s="13">
        <f>IF(X329="","",IFERROR(VLOOKUP(X329,SMMLV!$A$2:$B$38,2,FALSE),""))</f>
        <v/>
      </c>
      <c r="Z329" s="17">
        <f>IF(OR(Y329="",P329=""),"",ROUND(P329/Y329,2))</f>
        <v/>
      </c>
      <c r="AA329" s="13">
        <f>IF(Z329="","",ROUND(Z329*SMMLV!$E$4,0))</f>
        <v/>
      </c>
      <c r="AB329" s="13">
        <f>IF(AND(M329="En ejecución",P329&lt;&gt;"",Q329&lt;&gt;""),MAX(P329-Q329,0),"")</f>
        <v/>
      </c>
      <c r="AC329" s="12">
        <f>IF(A329="","",IF(B329="","Falta número de contrato; ","")&amp;IF(C329="","Falta entidad; ","")&amp;IF(E329="","Falta objeto; ","")&amp;IF(F329="","Falta especialidad; ","")&amp;IF(K329="","Falta fecha de inicio (recomendada); ","")&amp;IF(AND(M329&lt;&gt;"En ejecución",L329=""),"Falta fecha de terminación; ","")&amp;IF(AND(K329&lt;&gt;"",L329&lt;&gt;"",L329&lt;K329),"Terminación anterior al inicio; ","")&amp;IF(M329="","Falta estado; ","")&amp;IF(OR(P329="",P329&lt;=0),"Falta valor del contrato; ","")&amp;IF(AND(M329="En ejecución",Q329=""),"En ejecución sin valor ejecutado; ","")&amp;IF(AND(M329="En ejecución",L329&lt;&gt;"",L329&lt;TODAY()),"Dice en ejecución pero su terminación ya pasó; ","")&amp;IF(M329="En ejecución","En ejecución: no acredita experiencia; ","")&amp;IF(AND(M329&lt;&gt;"En ejecución",L329&lt;&gt;"",X329&lt;&gt;"",Y329=""),"El año no está en la hoja SMMLV; ","")&amp;IF(AND(B329&lt;&gt;"",COUNTIFS($B$2:$B$601,B329,$C$2:$C$601,C329)&gt;1),"Posible duplicado (mismo número y entidad); ","")&amp;IF(COUNTIF(PARTICIPACIONES!$A$2:$A$601,A329)=0,"Sin participaciones; ","")&amp;IF(SUMIFS(PARTICIPACIONES!$E$2:$E$601,PARTICIPACIONES!$A$2:$A$601,A329)&gt;1.0001,"Las participaciones suman más de 100 %; ",""))</f>
        <v/>
      </c>
    </row>
    <row r="330">
      <c r="J330" s="15" t="n"/>
      <c r="K330" s="15" t="n"/>
      <c r="L330" s="15" t="n"/>
      <c r="N330" s="15" t="n"/>
      <c r="O330" s="16" t="n"/>
      <c r="P330" s="16" t="n"/>
      <c r="Q330" s="16" t="n"/>
      <c r="W330" s="12">
        <f>IF(AND(K330&lt;&gt;"",L330&lt;&gt;""),ROUND((L330-K330)/30.4375,1),"")</f>
        <v/>
      </c>
      <c r="X330" s="12">
        <f>IF(OR(A330="",M330="En ejecución",L330=""),"",YEAR(L330))</f>
        <v/>
      </c>
      <c r="Y330" s="13">
        <f>IF(X330="","",IFERROR(VLOOKUP(X330,SMMLV!$A$2:$B$38,2,FALSE),""))</f>
        <v/>
      </c>
      <c r="Z330" s="17">
        <f>IF(OR(Y330="",P330=""),"",ROUND(P330/Y330,2))</f>
        <v/>
      </c>
      <c r="AA330" s="13">
        <f>IF(Z330="","",ROUND(Z330*SMMLV!$E$4,0))</f>
        <v/>
      </c>
      <c r="AB330" s="13">
        <f>IF(AND(M330="En ejecución",P330&lt;&gt;"",Q330&lt;&gt;""),MAX(P330-Q330,0),"")</f>
        <v/>
      </c>
      <c r="AC330" s="12">
        <f>IF(A330="","",IF(B330="","Falta número de contrato; ","")&amp;IF(C330="","Falta entidad; ","")&amp;IF(E330="","Falta objeto; ","")&amp;IF(F330="","Falta especialidad; ","")&amp;IF(K330="","Falta fecha de inicio (recomendada); ","")&amp;IF(AND(M330&lt;&gt;"En ejecución",L330=""),"Falta fecha de terminación; ","")&amp;IF(AND(K330&lt;&gt;"",L330&lt;&gt;"",L330&lt;K330),"Terminación anterior al inicio; ","")&amp;IF(M330="","Falta estado; ","")&amp;IF(OR(P330="",P330&lt;=0),"Falta valor del contrato; ","")&amp;IF(AND(M330="En ejecución",Q330=""),"En ejecución sin valor ejecutado; ","")&amp;IF(AND(M330="En ejecución",L330&lt;&gt;"",L330&lt;TODAY()),"Dice en ejecución pero su terminación ya pasó; ","")&amp;IF(M330="En ejecución","En ejecución: no acredita experiencia; ","")&amp;IF(AND(M330&lt;&gt;"En ejecución",L330&lt;&gt;"",X330&lt;&gt;"",Y330=""),"El año no está en la hoja SMMLV; ","")&amp;IF(AND(B330&lt;&gt;"",COUNTIFS($B$2:$B$601,B330,$C$2:$C$601,C330)&gt;1),"Posible duplicado (mismo número y entidad); ","")&amp;IF(COUNTIF(PARTICIPACIONES!$A$2:$A$601,A330)=0,"Sin participaciones; ","")&amp;IF(SUMIFS(PARTICIPACIONES!$E$2:$E$601,PARTICIPACIONES!$A$2:$A$601,A330)&gt;1.0001,"Las participaciones suman más de 100 %; ",""))</f>
        <v/>
      </c>
    </row>
    <row r="331">
      <c r="J331" s="15" t="n"/>
      <c r="K331" s="15" t="n"/>
      <c r="L331" s="15" t="n"/>
      <c r="N331" s="15" t="n"/>
      <c r="O331" s="16" t="n"/>
      <c r="P331" s="16" t="n"/>
      <c r="Q331" s="16" t="n"/>
      <c r="W331" s="12">
        <f>IF(AND(K331&lt;&gt;"",L331&lt;&gt;""),ROUND((L331-K331)/30.4375,1),"")</f>
        <v/>
      </c>
      <c r="X331" s="12">
        <f>IF(OR(A331="",M331="En ejecución",L331=""),"",YEAR(L331))</f>
        <v/>
      </c>
      <c r="Y331" s="13">
        <f>IF(X331="","",IFERROR(VLOOKUP(X331,SMMLV!$A$2:$B$38,2,FALSE),""))</f>
        <v/>
      </c>
      <c r="Z331" s="17">
        <f>IF(OR(Y331="",P331=""),"",ROUND(P331/Y331,2))</f>
        <v/>
      </c>
      <c r="AA331" s="13">
        <f>IF(Z331="","",ROUND(Z331*SMMLV!$E$4,0))</f>
        <v/>
      </c>
      <c r="AB331" s="13">
        <f>IF(AND(M331="En ejecución",P331&lt;&gt;"",Q331&lt;&gt;""),MAX(P331-Q331,0),"")</f>
        <v/>
      </c>
      <c r="AC331" s="12">
        <f>IF(A331="","",IF(B331="","Falta número de contrato; ","")&amp;IF(C331="","Falta entidad; ","")&amp;IF(E331="","Falta objeto; ","")&amp;IF(F331="","Falta especialidad; ","")&amp;IF(K331="","Falta fecha de inicio (recomendada); ","")&amp;IF(AND(M331&lt;&gt;"En ejecución",L331=""),"Falta fecha de terminación; ","")&amp;IF(AND(K331&lt;&gt;"",L331&lt;&gt;"",L331&lt;K331),"Terminación anterior al inicio; ","")&amp;IF(M331="","Falta estado; ","")&amp;IF(OR(P331="",P331&lt;=0),"Falta valor del contrato; ","")&amp;IF(AND(M331="En ejecución",Q331=""),"En ejecución sin valor ejecutado; ","")&amp;IF(AND(M331="En ejecución",L331&lt;&gt;"",L331&lt;TODAY()),"Dice en ejecución pero su terminación ya pasó; ","")&amp;IF(M331="En ejecución","En ejecución: no acredita experiencia; ","")&amp;IF(AND(M331&lt;&gt;"En ejecución",L331&lt;&gt;"",X331&lt;&gt;"",Y331=""),"El año no está en la hoja SMMLV; ","")&amp;IF(AND(B331&lt;&gt;"",COUNTIFS($B$2:$B$601,B331,$C$2:$C$601,C331)&gt;1),"Posible duplicado (mismo número y entidad); ","")&amp;IF(COUNTIF(PARTICIPACIONES!$A$2:$A$601,A331)=0,"Sin participaciones; ","")&amp;IF(SUMIFS(PARTICIPACIONES!$E$2:$E$601,PARTICIPACIONES!$A$2:$A$601,A331)&gt;1.0001,"Las participaciones suman más de 100 %; ",""))</f>
        <v/>
      </c>
    </row>
    <row r="332">
      <c r="J332" s="15" t="n"/>
      <c r="K332" s="15" t="n"/>
      <c r="L332" s="15" t="n"/>
      <c r="N332" s="15" t="n"/>
      <c r="O332" s="16" t="n"/>
      <c r="P332" s="16" t="n"/>
      <c r="Q332" s="16" t="n"/>
      <c r="W332" s="12">
        <f>IF(AND(K332&lt;&gt;"",L332&lt;&gt;""),ROUND((L332-K332)/30.4375,1),"")</f>
        <v/>
      </c>
      <c r="X332" s="12">
        <f>IF(OR(A332="",M332="En ejecución",L332=""),"",YEAR(L332))</f>
        <v/>
      </c>
      <c r="Y332" s="13">
        <f>IF(X332="","",IFERROR(VLOOKUP(X332,SMMLV!$A$2:$B$38,2,FALSE),""))</f>
        <v/>
      </c>
      <c r="Z332" s="17">
        <f>IF(OR(Y332="",P332=""),"",ROUND(P332/Y332,2))</f>
        <v/>
      </c>
      <c r="AA332" s="13">
        <f>IF(Z332="","",ROUND(Z332*SMMLV!$E$4,0))</f>
        <v/>
      </c>
      <c r="AB332" s="13">
        <f>IF(AND(M332="En ejecución",P332&lt;&gt;"",Q332&lt;&gt;""),MAX(P332-Q332,0),"")</f>
        <v/>
      </c>
      <c r="AC332" s="12">
        <f>IF(A332="","",IF(B332="","Falta número de contrato; ","")&amp;IF(C332="","Falta entidad; ","")&amp;IF(E332="","Falta objeto; ","")&amp;IF(F332="","Falta especialidad; ","")&amp;IF(K332="","Falta fecha de inicio (recomendada); ","")&amp;IF(AND(M332&lt;&gt;"En ejecución",L332=""),"Falta fecha de terminación; ","")&amp;IF(AND(K332&lt;&gt;"",L332&lt;&gt;"",L332&lt;K332),"Terminación anterior al inicio; ","")&amp;IF(M332="","Falta estado; ","")&amp;IF(OR(P332="",P332&lt;=0),"Falta valor del contrato; ","")&amp;IF(AND(M332="En ejecución",Q332=""),"En ejecución sin valor ejecutado; ","")&amp;IF(AND(M332="En ejecución",L332&lt;&gt;"",L332&lt;TODAY()),"Dice en ejecución pero su terminación ya pasó; ","")&amp;IF(M332="En ejecución","En ejecución: no acredita experiencia; ","")&amp;IF(AND(M332&lt;&gt;"En ejecución",L332&lt;&gt;"",X332&lt;&gt;"",Y332=""),"El año no está en la hoja SMMLV; ","")&amp;IF(AND(B332&lt;&gt;"",COUNTIFS($B$2:$B$601,B332,$C$2:$C$601,C332)&gt;1),"Posible duplicado (mismo número y entidad); ","")&amp;IF(COUNTIF(PARTICIPACIONES!$A$2:$A$601,A332)=0,"Sin participaciones; ","")&amp;IF(SUMIFS(PARTICIPACIONES!$E$2:$E$601,PARTICIPACIONES!$A$2:$A$601,A332)&gt;1.0001,"Las participaciones suman más de 100 %; ",""))</f>
        <v/>
      </c>
    </row>
    <row r="333">
      <c r="J333" s="15" t="n"/>
      <c r="K333" s="15" t="n"/>
      <c r="L333" s="15" t="n"/>
      <c r="N333" s="15" t="n"/>
      <c r="O333" s="16" t="n"/>
      <c r="P333" s="16" t="n"/>
      <c r="Q333" s="16" t="n"/>
      <c r="W333" s="12">
        <f>IF(AND(K333&lt;&gt;"",L333&lt;&gt;""),ROUND((L333-K333)/30.4375,1),"")</f>
        <v/>
      </c>
      <c r="X333" s="12">
        <f>IF(OR(A333="",M333="En ejecución",L333=""),"",YEAR(L333))</f>
        <v/>
      </c>
      <c r="Y333" s="13">
        <f>IF(X333="","",IFERROR(VLOOKUP(X333,SMMLV!$A$2:$B$38,2,FALSE),""))</f>
        <v/>
      </c>
      <c r="Z333" s="17">
        <f>IF(OR(Y333="",P333=""),"",ROUND(P333/Y333,2))</f>
        <v/>
      </c>
      <c r="AA333" s="13">
        <f>IF(Z333="","",ROUND(Z333*SMMLV!$E$4,0))</f>
        <v/>
      </c>
      <c r="AB333" s="13">
        <f>IF(AND(M333="En ejecución",P333&lt;&gt;"",Q333&lt;&gt;""),MAX(P333-Q333,0),"")</f>
        <v/>
      </c>
      <c r="AC333" s="12">
        <f>IF(A333="","",IF(B333="","Falta número de contrato; ","")&amp;IF(C333="","Falta entidad; ","")&amp;IF(E333="","Falta objeto; ","")&amp;IF(F333="","Falta especialidad; ","")&amp;IF(K333="","Falta fecha de inicio (recomendada); ","")&amp;IF(AND(M333&lt;&gt;"En ejecución",L333=""),"Falta fecha de terminación; ","")&amp;IF(AND(K333&lt;&gt;"",L333&lt;&gt;"",L333&lt;K333),"Terminación anterior al inicio; ","")&amp;IF(M333="","Falta estado; ","")&amp;IF(OR(P333="",P333&lt;=0),"Falta valor del contrato; ","")&amp;IF(AND(M333="En ejecución",Q333=""),"En ejecución sin valor ejecutado; ","")&amp;IF(AND(M333="En ejecución",L333&lt;&gt;"",L333&lt;TODAY()),"Dice en ejecución pero su terminación ya pasó; ","")&amp;IF(M333="En ejecución","En ejecución: no acredita experiencia; ","")&amp;IF(AND(M333&lt;&gt;"En ejecución",L333&lt;&gt;"",X333&lt;&gt;"",Y333=""),"El año no está en la hoja SMMLV; ","")&amp;IF(AND(B333&lt;&gt;"",COUNTIFS($B$2:$B$601,B333,$C$2:$C$601,C333)&gt;1),"Posible duplicado (mismo número y entidad); ","")&amp;IF(COUNTIF(PARTICIPACIONES!$A$2:$A$601,A333)=0,"Sin participaciones; ","")&amp;IF(SUMIFS(PARTICIPACIONES!$E$2:$E$601,PARTICIPACIONES!$A$2:$A$601,A333)&gt;1.0001,"Las participaciones suman más de 100 %; ",""))</f>
        <v/>
      </c>
    </row>
    <row r="334">
      <c r="J334" s="15" t="n"/>
      <c r="K334" s="15" t="n"/>
      <c r="L334" s="15" t="n"/>
      <c r="N334" s="15" t="n"/>
      <c r="O334" s="16" t="n"/>
      <c r="P334" s="16" t="n"/>
      <c r="Q334" s="16" t="n"/>
      <c r="W334" s="12">
        <f>IF(AND(K334&lt;&gt;"",L334&lt;&gt;""),ROUND((L334-K334)/30.4375,1),"")</f>
        <v/>
      </c>
      <c r="X334" s="12">
        <f>IF(OR(A334="",M334="En ejecución",L334=""),"",YEAR(L334))</f>
        <v/>
      </c>
      <c r="Y334" s="13">
        <f>IF(X334="","",IFERROR(VLOOKUP(X334,SMMLV!$A$2:$B$38,2,FALSE),""))</f>
        <v/>
      </c>
      <c r="Z334" s="17">
        <f>IF(OR(Y334="",P334=""),"",ROUND(P334/Y334,2))</f>
        <v/>
      </c>
      <c r="AA334" s="13">
        <f>IF(Z334="","",ROUND(Z334*SMMLV!$E$4,0))</f>
        <v/>
      </c>
      <c r="AB334" s="13">
        <f>IF(AND(M334="En ejecución",P334&lt;&gt;"",Q334&lt;&gt;""),MAX(P334-Q334,0),"")</f>
        <v/>
      </c>
      <c r="AC334" s="12">
        <f>IF(A334="","",IF(B334="","Falta número de contrato; ","")&amp;IF(C334="","Falta entidad; ","")&amp;IF(E334="","Falta objeto; ","")&amp;IF(F334="","Falta especialidad; ","")&amp;IF(K334="","Falta fecha de inicio (recomendada); ","")&amp;IF(AND(M334&lt;&gt;"En ejecución",L334=""),"Falta fecha de terminación; ","")&amp;IF(AND(K334&lt;&gt;"",L334&lt;&gt;"",L334&lt;K334),"Terminación anterior al inicio; ","")&amp;IF(M334="","Falta estado; ","")&amp;IF(OR(P334="",P334&lt;=0),"Falta valor del contrato; ","")&amp;IF(AND(M334="En ejecución",Q334=""),"En ejecución sin valor ejecutado; ","")&amp;IF(AND(M334="En ejecución",L334&lt;&gt;"",L334&lt;TODAY()),"Dice en ejecución pero su terminación ya pasó; ","")&amp;IF(M334="En ejecución","En ejecución: no acredita experiencia; ","")&amp;IF(AND(M334&lt;&gt;"En ejecución",L334&lt;&gt;"",X334&lt;&gt;"",Y334=""),"El año no está en la hoja SMMLV; ","")&amp;IF(AND(B334&lt;&gt;"",COUNTIFS($B$2:$B$601,B334,$C$2:$C$601,C334)&gt;1),"Posible duplicado (mismo número y entidad); ","")&amp;IF(COUNTIF(PARTICIPACIONES!$A$2:$A$601,A334)=0,"Sin participaciones; ","")&amp;IF(SUMIFS(PARTICIPACIONES!$E$2:$E$601,PARTICIPACIONES!$A$2:$A$601,A334)&gt;1.0001,"Las participaciones suman más de 100 %; ",""))</f>
        <v/>
      </c>
    </row>
    <row r="335">
      <c r="J335" s="15" t="n"/>
      <c r="K335" s="15" t="n"/>
      <c r="L335" s="15" t="n"/>
      <c r="N335" s="15" t="n"/>
      <c r="O335" s="16" t="n"/>
      <c r="P335" s="16" t="n"/>
      <c r="Q335" s="16" t="n"/>
      <c r="W335" s="12">
        <f>IF(AND(K335&lt;&gt;"",L335&lt;&gt;""),ROUND((L335-K335)/30.4375,1),"")</f>
        <v/>
      </c>
      <c r="X335" s="12">
        <f>IF(OR(A335="",M335="En ejecución",L335=""),"",YEAR(L335))</f>
        <v/>
      </c>
      <c r="Y335" s="13">
        <f>IF(X335="","",IFERROR(VLOOKUP(X335,SMMLV!$A$2:$B$38,2,FALSE),""))</f>
        <v/>
      </c>
      <c r="Z335" s="17">
        <f>IF(OR(Y335="",P335=""),"",ROUND(P335/Y335,2))</f>
        <v/>
      </c>
      <c r="AA335" s="13">
        <f>IF(Z335="","",ROUND(Z335*SMMLV!$E$4,0))</f>
        <v/>
      </c>
      <c r="AB335" s="13">
        <f>IF(AND(M335="En ejecución",P335&lt;&gt;"",Q335&lt;&gt;""),MAX(P335-Q335,0),"")</f>
        <v/>
      </c>
      <c r="AC335" s="12">
        <f>IF(A335="","",IF(B335="","Falta número de contrato; ","")&amp;IF(C335="","Falta entidad; ","")&amp;IF(E335="","Falta objeto; ","")&amp;IF(F335="","Falta especialidad; ","")&amp;IF(K335="","Falta fecha de inicio (recomendada); ","")&amp;IF(AND(M335&lt;&gt;"En ejecución",L335=""),"Falta fecha de terminación; ","")&amp;IF(AND(K335&lt;&gt;"",L335&lt;&gt;"",L335&lt;K335),"Terminación anterior al inicio; ","")&amp;IF(M335="","Falta estado; ","")&amp;IF(OR(P335="",P335&lt;=0),"Falta valor del contrato; ","")&amp;IF(AND(M335="En ejecución",Q335=""),"En ejecución sin valor ejecutado; ","")&amp;IF(AND(M335="En ejecución",L335&lt;&gt;"",L335&lt;TODAY()),"Dice en ejecución pero su terminación ya pasó; ","")&amp;IF(M335="En ejecución","En ejecución: no acredita experiencia; ","")&amp;IF(AND(M335&lt;&gt;"En ejecución",L335&lt;&gt;"",X335&lt;&gt;"",Y335=""),"El año no está en la hoja SMMLV; ","")&amp;IF(AND(B335&lt;&gt;"",COUNTIFS($B$2:$B$601,B335,$C$2:$C$601,C335)&gt;1),"Posible duplicado (mismo número y entidad); ","")&amp;IF(COUNTIF(PARTICIPACIONES!$A$2:$A$601,A335)=0,"Sin participaciones; ","")&amp;IF(SUMIFS(PARTICIPACIONES!$E$2:$E$601,PARTICIPACIONES!$A$2:$A$601,A335)&gt;1.0001,"Las participaciones suman más de 100 %; ",""))</f>
        <v/>
      </c>
    </row>
    <row r="336">
      <c r="J336" s="15" t="n"/>
      <c r="K336" s="15" t="n"/>
      <c r="L336" s="15" t="n"/>
      <c r="N336" s="15" t="n"/>
      <c r="O336" s="16" t="n"/>
      <c r="P336" s="16" t="n"/>
      <c r="Q336" s="16" t="n"/>
      <c r="W336" s="12">
        <f>IF(AND(K336&lt;&gt;"",L336&lt;&gt;""),ROUND((L336-K336)/30.4375,1),"")</f>
        <v/>
      </c>
      <c r="X336" s="12">
        <f>IF(OR(A336="",M336="En ejecución",L336=""),"",YEAR(L336))</f>
        <v/>
      </c>
      <c r="Y336" s="13">
        <f>IF(X336="","",IFERROR(VLOOKUP(X336,SMMLV!$A$2:$B$38,2,FALSE),""))</f>
        <v/>
      </c>
      <c r="Z336" s="17">
        <f>IF(OR(Y336="",P336=""),"",ROUND(P336/Y336,2))</f>
        <v/>
      </c>
      <c r="AA336" s="13">
        <f>IF(Z336="","",ROUND(Z336*SMMLV!$E$4,0))</f>
        <v/>
      </c>
      <c r="AB336" s="13">
        <f>IF(AND(M336="En ejecución",P336&lt;&gt;"",Q336&lt;&gt;""),MAX(P336-Q336,0),"")</f>
        <v/>
      </c>
      <c r="AC336" s="12">
        <f>IF(A336="","",IF(B336="","Falta número de contrato; ","")&amp;IF(C336="","Falta entidad; ","")&amp;IF(E336="","Falta objeto; ","")&amp;IF(F336="","Falta especialidad; ","")&amp;IF(K336="","Falta fecha de inicio (recomendada); ","")&amp;IF(AND(M336&lt;&gt;"En ejecución",L336=""),"Falta fecha de terminación; ","")&amp;IF(AND(K336&lt;&gt;"",L336&lt;&gt;"",L336&lt;K336),"Terminación anterior al inicio; ","")&amp;IF(M336="","Falta estado; ","")&amp;IF(OR(P336="",P336&lt;=0),"Falta valor del contrato; ","")&amp;IF(AND(M336="En ejecución",Q336=""),"En ejecución sin valor ejecutado; ","")&amp;IF(AND(M336="En ejecución",L336&lt;&gt;"",L336&lt;TODAY()),"Dice en ejecución pero su terminación ya pasó; ","")&amp;IF(M336="En ejecución","En ejecución: no acredita experiencia; ","")&amp;IF(AND(M336&lt;&gt;"En ejecución",L336&lt;&gt;"",X336&lt;&gt;"",Y336=""),"El año no está en la hoja SMMLV; ","")&amp;IF(AND(B336&lt;&gt;"",COUNTIFS($B$2:$B$601,B336,$C$2:$C$601,C336)&gt;1),"Posible duplicado (mismo número y entidad); ","")&amp;IF(COUNTIF(PARTICIPACIONES!$A$2:$A$601,A336)=0,"Sin participaciones; ","")&amp;IF(SUMIFS(PARTICIPACIONES!$E$2:$E$601,PARTICIPACIONES!$A$2:$A$601,A336)&gt;1.0001,"Las participaciones suman más de 100 %; ",""))</f>
        <v/>
      </c>
    </row>
    <row r="337">
      <c r="J337" s="15" t="n"/>
      <c r="K337" s="15" t="n"/>
      <c r="L337" s="15" t="n"/>
      <c r="N337" s="15" t="n"/>
      <c r="O337" s="16" t="n"/>
      <c r="P337" s="16" t="n"/>
      <c r="Q337" s="16" t="n"/>
      <c r="W337" s="12">
        <f>IF(AND(K337&lt;&gt;"",L337&lt;&gt;""),ROUND((L337-K337)/30.4375,1),"")</f>
        <v/>
      </c>
      <c r="X337" s="12">
        <f>IF(OR(A337="",M337="En ejecución",L337=""),"",YEAR(L337))</f>
        <v/>
      </c>
      <c r="Y337" s="13">
        <f>IF(X337="","",IFERROR(VLOOKUP(X337,SMMLV!$A$2:$B$38,2,FALSE),""))</f>
        <v/>
      </c>
      <c r="Z337" s="17">
        <f>IF(OR(Y337="",P337=""),"",ROUND(P337/Y337,2))</f>
        <v/>
      </c>
      <c r="AA337" s="13">
        <f>IF(Z337="","",ROUND(Z337*SMMLV!$E$4,0))</f>
        <v/>
      </c>
      <c r="AB337" s="13">
        <f>IF(AND(M337="En ejecución",P337&lt;&gt;"",Q337&lt;&gt;""),MAX(P337-Q337,0),"")</f>
        <v/>
      </c>
      <c r="AC337" s="12">
        <f>IF(A337="","",IF(B337="","Falta número de contrato; ","")&amp;IF(C337="","Falta entidad; ","")&amp;IF(E337="","Falta objeto; ","")&amp;IF(F337="","Falta especialidad; ","")&amp;IF(K337="","Falta fecha de inicio (recomendada); ","")&amp;IF(AND(M337&lt;&gt;"En ejecución",L337=""),"Falta fecha de terminación; ","")&amp;IF(AND(K337&lt;&gt;"",L337&lt;&gt;"",L337&lt;K337),"Terminación anterior al inicio; ","")&amp;IF(M337="","Falta estado; ","")&amp;IF(OR(P337="",P337&lt;=0),"Falta valor del contrato; ","")&amp;IF(AND(M337="En ejecución",Q337=""),"En ejecución sin valor ejecutado; ","")&amp;IF(AND(M337="En ejecución",L337&lt;&gt;"",L337&lt;TODAY()),"Dice en ejecución pero su terminación ya pasó; ","")&amp;IF(M337="En ejecución","En ejecución: no acredita experiencia; ","")&amp;IF(AND(M337&lt;&gt;"En ejecución",L337&lt;&gt;"",X337&lt;&gt;"",Y337=""),"El año no está en la hoja SMMLV; ","")&amp;IF(AND(B337&lt;&gt;"",COUNTIFS($B$2:$B$601,B337,$C$2:$C$601,C337)&gt;1),"Posible duplicado (mismo número y entidad); ","")&amp;IF(COUNTIF(PARTICIPACIONES!$A$2:$A$601,A337)=0,"Sin participaciones; ","")&amp;IF(SUMIFS(PARTICIPACIONES!$E$2:$E$601,PARTICIPACIONES!$A$2:$A$601,A337)&gt;1.0001,"Las participaciones suman más de 100 %; ",""))</f>
        <v/>
      </c>
    </row>
    <row r="338">
      <c r="J338" s="15" t="n"/>
      <c r="K338" s="15" t="n"/>
      <c r="L338" s="15" t="n"/>
      <c r="N338" s="15" t="n"/>
      <c r="O338" s="16" t="n"/>
      <c r="P338" s="16" t="n"/>
      <c r="Q338" s="16" t="n"/>
      <c r="W338" s="12">
        <f>IF(AND(K338&lt;&gt;"",L338&lt;&gt;""),ROUND((L338-K338)/30.4375,1),"")</f>
        <v/>
      </c>
      <c r="X338" s="12">
        <f>IF(OR(A338="",M338="En ejecución",L338=""),"",YEAR(L338))</f>
        <v/>
      </c>
      <c r="Y338" s="13">
        <f>IF(X338="","",IFERROR(VLOOKUP(X338,SMMLV!$A$2:$B$38,2,FALSE),""))</f>
        <v/>
      </c>
      <c r="Z338" s="17">
        <f>IF(OR(Y338="",P338=""),"",ROUND(P338/Y338,2))</f>
        <v/>
      </c>
      <c r="AA338" s="13">
        <f>IF(Z338="","",ROUND(Z338*SMMLV!$E$4,0))</f>
        <v/>
      </c>
      <c r="AB338" s="13">
        <f>IF(AND(M338="En ejecución",P338&lt;&gt;"",Q338&lt;&gt;""),MAX(P338-Q338,0),"")</f>
        <v/>
      </c>
      <c r="AC338" s="12">
        <f>IF(A338="","",IF(B338="","Falta número de contrato; ","")&amp;IF(C338="","Falta entidad; ","")&amp;IF(E338="","Falta objeto; ","")&amp;IF(F338="","Falta especialidad; ","")&amp;IF(K338="","Falta fecha de inicio (recomendada); ","")&amp;IF(AND(M338&lt;&gt;"En ejecución",L338=""),"Falta fecha de terminación; ","")&amp;IF(AND(K338&lt;&gt;"",L338&lt;&gt;"",L338&lt;K338),"Terminación anterior al inicio; ","")&amp;IF(M338="","Falta estado; ","")&amp;IF(OR(P338="",P338&lt;=0),"Falta valor del contrato; ","")&amp;IF(AND(M338="En ejecución",Q338=""),"En ejecución sin valor ejecutado; ","")&amp;IF(AND(M338="En ejecución",L338&lt;&gt;"",L338&lt;TODAY()),"Dice en ejecución pero su terminación ya pasó; ","")&amp;IF(M338="En ejecución","En ejecución: no acredita experiencia; ","")&amp;IF(AND(M338&lt;&gt;"En ejecución",L338&lt;&gt;"",X338&lt;&gt;"",Y338=""),"El año no está en la hoja SMMLV; ","")&amp;IF(AND(B338&lt;&gt;"",COUNTIFS($B$2:$B$601,B338,$C$2:$C$601,C338)&gt;1),"Posible duplicado (mismo número y entidad); ","")&amp;IF(COUNTIF(PARTICIPACIONES!$A$2:$A$601,A338)=0,"Sin participaciones; ","")&amp;IF(SUMIFS(PARTICIPACIONES!$E$2:$E$601,PARTICIPACIONES!$A$2:$A$601,A338)&gt;1.0001,"Las participaciones suman más de 100 %; ",""))</f>
        <v/>
      </c>
    </row>
    <row r="339">
      <c r="J339" s="15" t="n"/>
      <c r="K339" s="15" t="n"/>
      <c r="L339" s="15" t="n"/>
      <c r="N339" s="15" t="n"/>
      <c r="O339" s="16" t="n"/>
      <c r="P339" s="16" t="n"/>
      <c r="Q339" s="16" t="n"/>
      <c r="W339" s="12">
        <f>IF(AND(K339&lt;&gt;"",L339&lt;&gt;""),ROUND((L339-K339)/30.4375,1),"")</f>
        <v/>
      </c>
      <c r="X339" s="12">
        <f>IF(OR(A339="",M339="En ejecución",L339=""),"",YEAR(L339))</f>
        <v/>
      </c>
      <c r="Y339" s="13">
        <f>IF(X339="","",IFERROR(VLOOKUP(X339,SMMLV!$A$2:$B$38,2,FALSE),""))</f>
        <v/>
      </c>
      <c r="Z339" s="17">
        <f>IF(OR(Y339="",P339=""),"",ROUND(P339/Y339,2))</f>
        <v/>
      </c>
      <c r="AA339" s="13">
        <f>IF(Z339="","",ROUND(Z339*SMMLV!$E$4,0))</f>
        <v/>
      </c>
      <c r="AB339" s="13">
        <f>IF(AND(M339="En ejecución",P339&lt;&gt;"",Q339&lt;&gt;""),MAX(P339-Q339,0),"")</f>
        <v/>
      </c>
      <c r="AC339" s="12">
        <f>IF(A339="","",IF(B339="","Falta número de contrato; ","")&amp;IF(C339="","Falta entidad; ","")&amp;IF(E339="","Falta objeto; ","")&amp;IF(F339="","Falta especialidad; ","")&amp;IF(K339="","Falta fecha de inicio (recomendada); ","")&amp;IF(AND(M339&lt;&gt;"En ejecución",L339=""),"Falta fecha de terminación; ","")&amp;IF(AND(K339&lt;&gt;"",L339&lt;&gt;"",L339&lt;K339),"Terminación anterior al inicio; ","")&amp;IF(M339="","Falta estado; ","")&amp;IF(OR(P339="",P339&lt;=0),"Falta valor del contrato; ","")&amp;IF(AND(M339="En ejecución",Q339=""),"En ejecución sin valor ejecutado; ","")&amp;IF(AND(M339="En ejecución",L339&lt;&gt;"",L339&lt;TODAY()),"Dice en ejecución pero su terminación ya pasó; ","")&amp;IF(M339="En ejecución","En ejecución: no acredita experiencia; ","")&amp;IF(AND(M339&lt;&gt;"En ejecución",L339&lt;&gt;"",X339&lt;&gt;"",Y339=""),"El año no está en la hoja SMMLV; ","")&amp;IF(AND(B339&lt;&gt;"",COUNTIFS($B$2:$B$601,B339,$C$2:$C$601,C339)&gt;1),"Posible duplicado (mismo número y entidad); ","")&amp;IF(COUNTIF(PARTICIPACIONES!$A$2:$A$601,A339)=0,"Sin participaciones; ","")&amp;IF(SUMIFS(PARTICIPACIONES!$E$2:$E$601,PARTICIPACIONES!$A$2:$A$601,A339)&gt;1.0001,"Las participaciones suman más de 100 %; ",""))</f>
        <v/>
      </c>
    </row>
    <row r="340">
      <c r="J340" s="15" t="n"/>
      <c r="K340" s="15" t="n"/>
      <c r="L340" s="15" t="n"/>
      <c r="N340" s="15" t="n"/>
      <c r="O340" s="16" t="n"/>
      <c r="P340" s="16" t="n"/>
      <c r="Q340" s="16" t="n"/>
      <c r="W340" s="12">
        <f>IF(AND(K340&lt;&gt;"",L340&lt;&gt;""),ROUND((L340-K340)/30.4375,1),"")</f>
        <v/>
      </c>
      <c r="X340" s="12">
        <f>IF(OR(A340="",M340="En ejecución",L340=""),"",YEAR(L340))</f>
        <v/>
      </c>
      <c r="Y340" s="13">
        <f>IF(X340="","",IFERROR(VLOOKUP(X340,SMMLV!$A$2:$B$38,2,FALSE),""))</f>
        <v/>
      </c>
      <c r="Z340" s="17">
        <f>IF(OR(Y340="",P340=""),"",ROUND(P340/Y340,2))</f>
        <v/>
      </c>
      <c r="AA340" s="13">
        <f>IF(Z340="","",ROUND(Z340*SMMLV!$E$4,0))</f>
        <v/>
      </c>
      <c r="AB340" s="13">
        <f>IF(AND(M340="En ejecución",P340&lt;&gt;"",Q340&lt;&gt;""),MAX(P340-Q340,0),"")</f>
        <v/>
      </c>
      <c r="AC340" s="12">
        <f>IF(A340="","",IF(B340="","Falta número de contrato; ","")&amp;IF(C340="","Falta entidad; ","")&amp;IF(E340="","Falta objeto; ","")&amp;IF(F340="","Falta especialidad; ","")&amp;IF(K340="","Falta fecha de inicio (recomendada); ","")&amp;IF(AND(M340&lt;&gt;"En ejecución",L340=""),"Falta fecha de terminación; ","")&amp;IF(AND(K340&lt;&gt;"",L340&lt;&gt;"",L340&lt;K340),"Terminación anterior al inicio; ","")&amp;IF(M340="","Falta estado; ","")&amp;IF(OR(P340="",P340&lt;=0),"Falta valor del contrato; ","")&amp;IF(AND(M340="En ejecución",Q340=""),"En ejecución sin valor ejecutado; ","")&amp;IF(AND(M340="En ejecución",L340&lt;&gt;"",L340&lt;TODAY()),"Dice en ejecución pero su terminación ya pasó; ","")&amp;IF(M340="En ejecución","En ejecución: no acredita experiencia; ","")&amp;IF(AND(M340&lt;&gt;"En ejecución",L340&lt;&gt;"",X340&lt;&gt;"",Y340=""),"El año no está en la hoja SMMLV; ","")&amp;IF(AND(B340&lt;&gt;"",COUNTIFS($B$2:$B$601,B340,$C$2:$C$601,C340)&gt;1),"Posible duplicado (mismo número y entidad); ","")&amp;IF(COUNTIF(PARTICIPACIONES!$A$2:$A$601,A340)=0,"Sin participaciones; ","")&amp;IF(SUMIFS(PARTICIPACIONES!$E$2:$E$601,PARTICIPACIONES!$A$2:$A$601,A340)&gt;1.0001,"Las participaciones suman más de 100 %; ",""))</f>
        <v/>
      </c>
    </row>
    <row r="341">
      <c r="J341" s="15" t="n"/>
      <c r="K341" s="15" t="n"/>
      <c r="L341" s="15" t="n"/>
      <c r="N341" s="15" t="n"/>
      <c r="O341" s="16" t="n"/>
      <c r="P341" s="16" t="n"/>
      <c r="Q341" s="16" t="n"/>
      <c r="W341" s="12">
        <f>IF(AND(K341&lt;&gt;"",L341&lt;&gt;""),ROUND((L341-K341)/30.4375,1),"")</f>
        <v/>
      </c>
      <c r="X341" s="12">
        <f>IF(OR(A341="",M341="En ejecución",L341=""),"",YEAR(L341))</f>
        <v/>
      </c>
      <c r="Y341" s="13">
        <f>IF(X341="","",IFERROR(VLOOKUP(X341,SMMLV!$A$2:$B$38,2,FALSE),""))</f>
        <v/>
      </c>
      <c r="Z341" s="17">
        <f>IF(OR(Y341="",P341=""),"",ROUND(P341/Y341,2))</f>
        <v/>
      </c>
      <c r="AA341" s="13">
        <f>IF(Z341="","",ROUND(Z341*SMMLV!$E$4,0))</f>
        <v/>
      </c>
      <c r="AB341" s="13">
        <f>IF(AND(M341="En ejecución",P341&lt;&gt;"",Q341&lt;&gt;""),MAX(P341-Q341,0),"")</f>
        <v/>
      </c>
      <c r="AC341" s="12">
        <f>IF(A341="","",IF(B341="","Falta número de contrato; ","")&amp;IF(C341="","Falta entidad; ","")&amp;IF(E341="","Falta objeto; ","")&amp;IF(F341="","Falta especialidad; ","")&amp;IF(K341="","Falta fecha de inicio (recomendada); ","")&amp;IF(AND(M341&lt;&gt;"En ejecución",L341=""),"Falta fecha de terminación; ","")&amp;IF(AND(K341&lt;&gt;"",L341&lt;&gt;"",L341&lt;K341),"Terminación anterior al inicio; ","")&amp;IF(M341="","Falta estado; ","")&amp;IF(OR(P341="",P341&lt;=0),"Falta valor del contrato; ","")&amp;IF(AND(M341="En ejecución",Q341=""),"En ejecución sin valor ejecutado; ","")&amp;IF(AND(M341="En ejecución",L341&lt;&gt;"",L341&lt;TODAY()),"Dice en ejecución pero su terminación ya pasó; ","")&amp;IF(M341="En ejecución","En ejecución: no acredita experiencia; ","")&amp;IF(AND(M341&lt;&gt;"En ejecución",L341&lt;&gt;"",X341&lt;&gt;"",Y341=""),"El año no está en la hoja SMMLV; ","")&amp;IF(AND(B341&lt;&gt;"",COUNTIFS($B$2:$B$601,B341,$C$2:$C$601,C341)&gt;1),"Posible duplicado (mismo número y entidad); ","")&amp;IF(COUNTIF(PARTICIPACIONES!$A$2:$A$601,A341)=0,"Sin participaciones; ","")&amp;IF(SUMIFS(PARTICIPACIONES!$E$2:$E$601,PARTICIPACIONES!$A$2:$A$601,A341)&gt;1.0001,"Las participaciones suman más de 100 %; ",""))</f>
        <v/>
      </c>
    </row>
    <row r="342">
      <c r="J342" s="15" t="n"/>
      <c r="K342" s="15" t="n"/>
      <c r="L342" s="15" t="n"/>
      <c r="N342" s="15" t="n"/>
      <c r="O342" s="16" t="n"/>
      <c r="P342" s="16" t="n"/>
      <c r="Q342" s="16" t="n"/>
      <c r="W342" s="12">
        <f>IF(AND(K342&lt;&gt;"",L342&lt;&gt;""),ROUND((L342-K342)/30.4375,1),"")</f>
        <v/>
      </c>
      <c r="X342" s="12">
        <f>IF(OR(A342="",M342="En ejecución",L342=""),"",YEAR(L342))</f>
        <v/>
      </c>
      <c r="Y342" s="13">
        <f>IF(X342="","",IFERROR(VLOOKUP(X342,SMMLV!$A$2:$B$38,2,FALSE),""))</f>
        <v/>
      </c>
      <c r="Z342" s="17">
        <f>IF(OR(Y342="",P342=""),"",ROUND(P342/Y342,2))</f>
        <v/>
      </c>
      <c r="AA342" s="13">
        <f>IF(Z342="","",ROUND(Z342*SMMLV!$E$4,0))</f>
        <v/>
      </c>
      <c r="AB342" s="13">
        <f>IF(AND(M342="En ejecución",P342&lt;&gt;"",Q342&lt;&gt;""),MAX(P342-Q342,0),"")</f>
        <v/>
      </c>
      <c r="AC342" s="12">
        <f>IF(A342="","",IF(B342="","Falta número de contrato; ","")&amp;IF(C342="","Falta entidad; ","")&amp;IF(E342="","Falta objeto; ","")&amp;IF(F342="","Falta especialidad; ","")&amp;IF(K342="","Falta fecha de inicio (recomendada); ","")&amp;IF(AND(M342&lt;&gt;"En ejecución",L342=""),"Falta fecha de terminación; ","")&amp;IF(AND(K342&lt;&gt;"",L342&lt;&gt;"",L342&lt;K342),"Terminación anterior al inicio; ","")&amp;IF(M342="","Falta estado; ","")&amp;IF(OR(P342="",P342&lt;=0),"Falta valor del contrato; ","")&amp;IF(AND(M342="En ejecución",Q342=""),"En ejecución sin valor ejecutado; ","")&amp;IF(AND(M342="En ejecución",L342&lt;&gt;"",L342&lt;TODAY()),"Dice en ejecución pero su terminación ya pasó; ","")&amp;IF(M342="En ejecución","En ejecución: no acredita experiencia; ","")&amp;IF(AND(M342&lt;&gt;"En ejecución",L342&lt;&gt;"",X342&lt;&gt;"",Y342=""),"El año no está en la hoja SMMLV; ","")&amp;IF(AND(B342&lt;&gt;"",COUNTIFS($B$2:$B$601,B342,$C$2:$C$601,C342)&gt;1),"Posible duplicado (mismo número y entidad); ","")&amp;IF(COUNTIF(PARTICIPACIONES!$A$2:$A$601,A342)=0,"Sin participaciones; ","")&amp;IF(SUMIFS(PARTICIPACIONES!$E$2:$E$601,PARTICIPACIONES!$A$2:$A$601,A342)&gt;1.0001,"Las participaciones suman más de 100 %; ",""))</f>
        <v/>
      </c>
    </row>
    <row r="343">
      <c r="J343" s="15" t="n"/>
      <c r="K343" s="15" t="n"/>
      <c r="L343" s="15" t="n"/>
      <c r="N343" s="15" t="n"/>
      <c r="O343" s="16" t="n"/>
      <c r="P343" s="16" t="n"/>
      <c r="Q343" s="16" t="n"/>
      <c r="W343" s="12">
        <f>IF(AND(K343&lt;&gt;"",L343&lt;&gt;""),ROUND((L343-K343)/30.4375,1),"")</f>
        <v/>
      </c>
      <c r="X343" s="12">
        <f>IF(OR(A343="",M343="En ejecución",L343=""),"",YEAR(L343))</f>
        <v/>
      </c>
      <c r="Y343" s="13">
        <f>IF(X343="","",IFERROR(VLOOKUP(X343,SMMLV!$A$2:$B$38,2,FALSE),""))</f>
        <v/>
      </c>
      <c r="Z343" s="17">
        <f>IF(OR(Y343="",P343=""),"",ROUND(P343/Y343,2))</f>
        <v/>
      </c>
      <c r="AA343" s="13">
        <f>IF(Z343="","",ROUND(Z343*SMMLV!$E$4,0))</f>
        <v/>
      </c>
      <c r="AB343" s="13">
        <f>IF(AND(M343="En ejecución",P343&lt;&gt;"",Q343&lt;&gt;""),MAX(P343-Q343,0),"")</f>
        <v/>
      </c>
      <c r="AC343" s="12">
        <f>IF(A343="","",IF(B343="","Falta número de contrato; ","")&amp;IF(C343="","Falta entidad; ","")&amp;IF(E343="","Falta objeto; ","")&amp;IF(F343="","Falta especialidad; ","")&amp;IF(K343="","Falta fecha de inicio (recomendada); ","")&amp;IF(AND(M343&lt;&gt;"En ejecución",L343=""),"Falta fecha de terminación; ","")&amp;IF(AND(K343&lt;&gt;"",L343&lt;&gt;"",L343&lt;K343),"Terminación anterior al inicio; ","")&amp;IF(M343="","Falta estado; ","")&amp;IF(OR(P343="",P343&lt;=0),"Falta valor del contrato; ","")&amp;IF(AND(M343="En ejecución",Q343=""),"En ejecución sin valor ejecutado; ","")&amp;IF(AND(M343="En ejecución",L343&lt;&gt;"",L343&lt;TODAY()),"Dice en ejecución pero su terminación ya pasó; ","")&amp;IF(M343="En ejecución","En ejecución: no acredita experiencia; ","")&amp;IF(AND(M343&lt;&gt;"En ejecución",L343&lt;&gt;"",X343&lt;&gt;"",Y343=""),"El año no está en la hoja SMMLV; ","")&amp;IF(AND(B343&lt;&gt;"",COUNTIFS($B$2:$B$601,B343,$C$2:$C$601,C343)&gt;1),"Posible duplicado (mismo número y entidad); ","")&amp;IF(COUNTIF(PARTICIPACIONES!$A$2:$A$601,A343)=0,"Sin participaciones; ","")&amp;IF(SUMIFS(PARTICIPACIONES!$E$2:$E$601,PARTICIPACIONES!$A$2:$A$601,A343)&gt;1.0001,"Las participaciones suman más de 100 %; ",""))</f>
        <v/>
      </c>
    </row>
    <row r="344">
      <c r="J344" s="15" t="n"/>
      <c r="K344" s="15" t="n"/>
      <c r="L344" s="15" t="n"/>
      <c r="N344" s="15" t="n"/>
      <c r="O344" s="16" t="n"/>
      <c r="P344" s="16" t="n"/>
      <c r="Q344" s="16" t="n"/>
      <c r="W344" s="12">
        <f>IF(AND(K344&lt;&gt;"",L344&lt;&gt;""),ROUND((L344-K344)/30.4375,1),"")</f>
        <v/>
      </c>
      <c r="X344" s="12">
        <f>IF(OR(A344="",M344="En ejecución",L344=""),"",YEAR(L344))</f>
        <v/>
      </c>
      <c r="Y344" s="13">
        <f>IF(X344="","",IFERROR(VLOOKUP(X344,SMMLV!$A$2:$B$38,2,FALSE),""))</f>
        <v/>
      </c>
      <c r="Z344" s="17">
        <f>IF(OR(Y344="",P344=""),"",ROUND(P344/Y344,2))</f>
        <v/>
      </c>
      <c r="AA344" s="13">
        <f>IF(Z344="","",ROUND(Z344*SMMLV!$E$4,0))</f>
        <v/>
      </c>
      <c r="AB344" s="13">
        <f>IF(AND(M344="En ejecución",P344&lt;&gt;"",Q344&lt;&gt;""),MAX(P344-Q344,0),"")</f>
        <v/>
      </c>
      <c r="AC344" s="12">
        <f>IF(A344="","",IF(B344="","Falta número de contrato; ","")&amp;IF(C344="","Falta entidad; ","")&amp;IF(E344="","Falta objeto; ","")&amp;IF(F344="","Falta especialidad; ","")&amp;IF(K344="","Falta fecha de inicio (recomendada); ","")&amp;IF(AND(M344&lt;&gt;"En ejecución",L344=""),"Falta fecha de terminación; ","")&amp;IF(AND(K344&lt;&gt;"",L344&lt;&gt;"",L344&lt;K344),"Terminación anterior al inicio; ","")&amp;IF(M344="","Falta estado; ","")&amp;IF(OR(P344="",P344&lt;=0),"Falta valor del contrato; ","")&amp;IF(AND(M344="En ejecución",Q344=""),"En ejecución sin valor ejecutado; ","")&amp;IF(AND(M344="En ejecución",L344&lt;&gt;"",L344&lt;TODAY()),"Dice en ejecución pero su terminación ya pasó; ","")&amp;IF(M344="En ejecución","En ejecución: no acredita experiencia; ","")&amp;IF(AND(M344&lt;&gt;"En ejecución",L344&lt;&gt;"",X344&lt;&gt;"",Y344=""),"El año no está en la hoja SMMLV; ","")&amp;IF(AND(B344&lt;&gt;"",COUNTIFS($B$2:$B$601,B344,$C$2:$C$601,C344)&gt;1),"Posible duplicado (mismo número y entidad); ","")&amp;IF(COUNTIF(PARTICIPACIONES!$A$2:$A$601,A344)=0,"Sin participaciones; ","")&amp;IF(SUMIFS(PARTICIPACIONES!$E$2:$E$601,PARTICIPACIONES!$A$2:$A$601,A344)&gt;1.0001,"Las participaciones suman más de 100 %; ",""))</f>
        <v/>
      </c>
    </row>
    <row r="345">
      <c r="J345" s="15" t="n"/>
      <c r="K345" s="15" t="n"/>
      <c r="L345" s="15" t="n"/>
      <c r="N345" s="15" t="n"/>
      <c r="O345" s="16" t="n"/>
      <c r="P345" s="16" t="n"/>
      <c r="Q345" s="16" t="n"/>
      <c r="W345" s="12">
        <f>IF(AND(K345&lt;&gt;"",L345&lt;&gt;""),ROUND((L345-K345)/30.4375,1),"")</f>
        <v/>
      </c>
      <c r="X345" s="12">
        <f>IF(OR(A345="",M345="En ejecución",L345=""),"",YEAR(L345))</f>
        <v/>
      </c>
      <c r="Y345" s="13">
        <f>IF(X345="","",IFERROR(VLOOKUP(X345,SMMLV!$A$2:$B$38,2,FALSE),""))</f>
        <v/>
      </c>
      <c r="Z345" s="17">
        <f>IF(OR(Y345="",P345=""),"",ROUND(P345/Y345,2))</f>
        <v/>
      </c>
      <c r="AA345" s="13">
        <f>IF(Z345="","",ROUND(Z345*SMMLV!$E$4,0))</f>
        <v/>
      </c>
      <c r="AB345" s="13">
        <f>IF(AND(M345="En ejecución",P345&lt;&gt;"",Q345&lt;&gt;""),MAX(P345-Q345,0),"")</f>
        <v/>
      </c>
      <c r="AC345" s="12">
        <f>IF(A345="","",IF(B345="","Falta número de contrato; ","")&amp;IF(C345="","Falta entidad; ","")&amp;IF(E345="","Falta objeto; ","")&amp;IF(F345="","Falta especialidad; ","")&amp;IF(K345="","Falta fecha de inicio (recomendada); ","")&amp;IF(AND(M345&lt;&gt;"En ejecución",L345=""),"Falta fecha de terminación; ","")&amp;IF(AND(K345&lt;&gt;"",L345&lt;&gt;"",L345&lt;K345),"Terminación anterior al inicio; ","")&amp;IF(M345="","Falta estado; ","")&amp;IF(OR(P345="",P345&lt;=0),"Falta valor del contrato; ","")&amp;IF(AND(M345="En ejecución",Q345=""),"En ejecución sin valor ejecutado; ","")&amp;IF(AND(M345="En ejecución",L345&lt;&gt;"",L345&lt;TODAY()),"Dice en ejecución pero su terminación ya pasó; ","")&amp;IF(M345="En ejecución","En ejecución: no acredita experiencia; ","")&amp;IF(AND(M345&lt;&gt;"En ejecución",L345&lt;&gt;"",X345&lt;&gt;"",Y345=""),"El año no está en la hoja SMMLV; ","")&amp;IF(AND(B345&lt;&gt;"",COUNTIFS($B$2:$B$601,B345,$C$2:$C$601,C345)&gt;1),"Posible duplicado (mismo número y entidad); ","")&amp;IF(COUNTIF(PARTICIPACIONES!$A$2:$A$601,A345)=0,"Sin participaciones; ","")&amp;IF(SUMIFS(PARTICIPACIONES!$E$2:$E$601,PARTICIPACIONES!$A$2:$A$601,A345)&gt;1.0001,"Las participaciones suman más de 100 %; ",""))</f>
        <v/>
      </c>
    </row>
    <row r="346">
      <c r="J346" s="15" t="n"/>
      <c r="K346" s="15" t="n"/>
      <c r="L346" s="15" t="n"/>
      <c r="N346" s="15" t="n"/>
      <c r="O346" s="16" t="n"/>
      <c r="P346" s="16" t="n"/>
      <c r="Q346" s="16" t="n"/>
      <c r="W346" s="12">
        <f>IF(AND(K346&lt;&gt;"",L346&lt;&gt;""),ROUND((L346-K346)/30.4375,1),"")</f>
        <v/>
      </c>
      <c r="X346" s="12">
        <f>IF(OR(A346="",M346="En ejecución",L346=""),"",YEAR(L346))</f>
        <v/>
      </c>
      <c r="Y346" s="13">
        <f>IF(X346="","",IFERROR(VLOOKUP(X346,SMMLV!$A$2:$B$38,2,FALSE),""))</f>
        <v/>
      </c>
      <c r="Z346" s="17">
        <f>IF(OR(Y346="",P346=""),"",ROUND(P346/Y346,2))</f>
        <v/>
      </c>
      <c r="AA346" s="13">
        <f>IF(Z346="","",ROUND(Z346*SMMLV!$E$4,0))</f>
        <v/>
      </c>
      <c r="AB346" s="13">
        <f>IF(AND(M346="En ejecución",P346&lt;&gt;"",Q346&lt;&gt;""),MAX(P346-Q346,0),"")</f>
        <v/>
      </c>
      <c r="AC346" s="12">
        <f>IF(A346="","",IF(B346="","Falta número de contrato; ","")&amp;IF(C346="","Falta entidad; ","")&amp;IF(E346="","Falta objeto; ","")&amp;IF(F346="","Falta especialidad; ","")&amp;IF(K346="","Falta fecha de inicio (recomendada); ","")&amp;IF(AND(M346&lt;&gt;"En ejecución",L346=""),"Falta fecha de terminación; ","")&amp;IF(AND(K346&lt;&gt;"",L346&lt;&gt;"",L346&lt;K346),"Terminación anterior al inicio; ","")&amp;IF(M346="","Falta estado; ","")&amp;IF(OR(P346="",P346&lt;=0),"Falta valor del contrato; ","")&amp;IF(AND(M346="En ejecución",Q346=""),"En ejecución sin valor ejecutado; ","")&amp;IF(AND(M346="En ejecución",L346&lt;&gt;"",L346&lt;TODAY()),"Dice en ejecución pero su terminación ya pasó; ","")&amp;IF(M346="En ejecución","En ejecución: no acredita experiencia; ","")&amp;IF(AND(M346&lt;&gt;"En ejecución",L346&lt;&gt;"",X346&lt;&gt;"",Y346=""),"El año no está en la hoja SMMLV; ","")&amp;IF(AND(B346&lt;&gt;"",COUNTIFS($B$2:$B$601,B346,$C$2:$C$601,C346)&gt;1),"Posible duplicado (mismo número y entidad); ","")&amp;IF(COUNTIF(PARTICIPACIONES!$A$2:$A$601,A346)=0,"Sin participaciones; ","")&amp;IF(SUMIFS(PARTICIPACIONES!$E$2:$E$601,PARTICIPACIONES!$A$2:$A$601,A346)&gt;1.0001,"Las participaciones suman más de 100 %; ",""))</f>
        <v/>
      </c>
    </row>
    <row r="347">
      <c r="J347" s="15" t="n"/>
      <c r="K347" s="15" t="n"/>
      <c r="L347" s="15" t="n"/>
      <c r="N347" s="15" t="n"/>
      <c r="O347" s="16" t="n"/>
      <c r="P347" s="16" t="n"/>
      <c r="Q347" s="16" t="n"/>
      <c r="W347" s="12">
        <f>IF(AND(K347&lt;&gt;"",L347&lt;&gt;""),ROUND((L347-K347)/30.4375,1),"")</f>
        <v/>
      </c>
      <c r="X347" s="12">
        <f>IF(OR(A347="",M347="En ejecución",L347=""),"",YEAR(L347))</f>
        <v/>
      </c>
      <c r="Y347" s="13">
        <f>IF(X347="","",IFERROR(VLOOKUP(X347,SMMLV!$A$2:$B$38,2,FALSE),""))</f>
        <v/>
      </c>
      <c r="Z347" s="17">
        <f>IF(OR(Y347="",P347=""),"",ROUND(P347/Y347,2))</f>
        <v/>
      </c>
      <c r="AA347" s="13">
        <f>IF(Z347="","",ROUND(Z347*SMMLV!$E$4,0))</f>
        <v/>
      </c>
      <c r="AB347" s="13">
        <f>IF(AND(M347="En ejecución",P347&lt;&gt;"",Q347&lt;&gt;""),MAX(P347-Q347,0),"")</f>
        <v/>
      </c>
      <c r="AC347" s="12">
        <f>IF(A347="","",IF(B347="","Falta número de contrato; ","")&amp;IF(C347="","Falta entidad; ","")&amp;IF(E347="","Falta objeto; ","")&amp;IF(F347="","Falta especialidad; ","")&amp;IF(K347="","Falta fecha de inicio (recomendada); ","")&amp;IF(AND(M347&lt;&gt;"En ejecución",L347=""),"Falta fecha de terminación; ","")&amp;IF(AND(K347&lt;&gt;"",L347&lt;&gt;"",L347&lt;K347),"Terminación anterior al inicio; ","")&amp;IF(M347="","Falta estado; ","")&amp;IF(OR(P347="",P347&lt;=0),"Falta valor del contrato; ","")&amp;IF(AND(M347="En ejecución",Q347=""),"En ejecución sin valor ejecutado; ","")&amp;IF(AND(M347="En ejecución",L347&lt;&gt;"",L347&lt;TODAY()),"Dice en ejecución pero su terminación ya pasó; ","")&amp;IF(M347="En ejecución","En ejecución: no acredita experiencia; ","")&amp;IF(AND(M347&lt;&gt;"En ejecución",L347&lt;&gt;"",X347&lt;&gt;"",Y347=""),"El año no está en la hoja SMMLV; ","")&amp;IF(AND(B347&lt;&gt;"",COUNTIFS($B$2:$B$601,B347,$C$2:$C$601,C347)&gt;1),"Posible duplicado (mismo número y entidad); ","")&amp;IF(COUNTIF(PARTICIPACIONES!$A$2:$A$601,A347)=0,"Sin participaciones; ","")&amp;IF(SUMIFS(PARTICIPACIONES!$E$2:$E$601,PARTICIPACIONES!$A$2:$A$601,A347)&gt;1.0001,"Las participaciones suman más de 100 %; ",""))</f>
        <v/>
      </c>
    </row>
    <row r="348">
      <c r="J348" s="15" t="n"/>
      <c r="K348" s="15" t="n"/>
      <c r="L348" s="15" t="n"/>
      <c r="N348" s="15" t="n"/>
      <c r="O348" s="16" t="n"/>
      <c r="P348" s="16" t="n"/>
      <c r="Q348" s="16" t="n"/>
      <c r="W348" s="12">
        <f>IF(AND(K348&lt;&gt;"",L348&lt;&gt;""),ROUND((L348-K348)/30.4375,1),"")</f>
        <v/>
      </c>
      <c r="X348" s="12">
        <f>IF(OR(A348="",M348="En ejecución",L348=""),"",YEAR(L348))</f>
        <v/>
      </c>
      <c r="Y348" s="13">
        <f>IF(X348="","",IFERROR(VLOOKUP(X348,SMMLV!$A$2:$B$38,2,FALSE),""))</f>
        <v/>
      </c>
      <c r="Z348" s="17">
        <f>IF(OR(Y348="",P348=""),"",ROUND(P348/Y348,2))</f>
        <v/>
      </c>
      <c r="AA348" s="13">
        <f>IF(Z348="","",ROUND(Z348*SMMLV!$E$4,0))</f>
        <v/>
      </c>
      <c r="AB348" s="13">
        <f>IF(AND(M348="En ejecución",P348&lt;&gt;"",Q348&lt;&gt;""),MAX(P348-Q348,0),"")</f>
        <v/>
      </c>
      <c r="AC348" s="12">
        <f>IF(A348="","",IF(B348="","Falta número de contrato; ","")&amp;IF(C348="","Falta entidad; ","")&amp;IF(E348="","Falta objeto; ","")&amp;IF(F348="","Falta especialidad; ","")&amp;IF(K348="","Falta fecha de inicio (recomendada); ","")&amp;IF(AND(M348&lt;&gt;"En ejecución",L348=""),"Falta fecha de terminación; ","")&amp;IF(AND(K348&lt;&gt;"",L348&lt;&gt;"",L348&lt;K348),"Terminación anterior al inicio; ","")&amp;IF(M348="","Falta estado; ","")&amp;IF(OR(P348="",P348&lt;=0),"Falta valor del contrato; ","")&amp;IF(AND(M348="En ejecución",Q348=""),"En ejecución sin valor ejecutado; ","")&amp;IF(AND(M348="En ejecución",L348&lt;&gt;"",L348&lt;TODAY()),"Dice en ejecución pero su terminación ya pasó; ","")&amp;IF(M348="En ejecución","En ejecución: no acredita experiencia; ","")&amp;IF(AND(M348&lt;&gt;"En ejecución",L348&lt;&gt;"",X348&lt;&gt;"",Y348=""),"El año no está en la hoja SMMLV; ","")&amp;IF(AND(B348&lt;&gt;"",COUNTIFS($B$2:$B$601,B348,$C$2:$C$601,C348)&gt;1),"Posible duplicado (mismo número y entidad); ","")&amp;IF(COUNTIF(PARTICIPACIONES!$A$2:$A$601,A348)=0,"Sin participaciones; ","")&amp;IF(SUMIFS(PARTICIPACIONES!$E$2:$E$601,PARTICIPACIONES!$A$2:$A$601,A348)&gt;1.0001,"Las participaciones suman más de 100 %; ",""))</f>
        <v/>
      </c>
    </row>
    <row r="349">
      <c r="J349" s="15" t="n"/>
      <c r="K349" s="15" t="n"/>
      <c r="L349" s="15" t="n"/>
      <c r="N349" s="15" t="n"/>
      <c r="O349" s="16" t="n"/>
      <c r="P349" s="16" t="n"/>
      <c r="Q349" s="16" t="n"/>
      <c r="W349" s="12">
        <f>IF(AND(K349&lt;&gt;"",L349&lt;&gt;""),ROUND((L349-K349)/30.4375,1),"")</f>
        <v/>
      </c>
      <c r="X349" s="12">
        <f>IF(OR(A349="",M349="En ejecución",L349=""),"",YEAR(L349))</f>
        <v/>
      </c>
      <c r="Y349" s="13">
        <f>IF(X349="","",IFERROR(VLOOKUP(X349,SMMLV!$A$2:$B$38,2,FALSE),""))</f>
        <v/>
      </c>
      <c r="Z349" s="17">
        <f>IF(OR(Y349="",P349=""),"",ROUND(P349/Y349,2))</f>
        <v/>
      </c>
      <c r="AA349" s="13">
        <f>IF(Z349="","",ROUND(Z349*SMMLV!$E$4,0))</f>
        <v/>
      </c>
      <c r="AB349" s="13">
        <f>IF(AND(M349="En ejecución",P349&lt;&gt;"",Q349&lt;&gt;""),MAX(P349-Q349,0),"")</f>
        <v/>
      </c>
      <c r="AC349" s="12">
        <f>IF(A349="","",IF(B349="","Falta número de contrato; ","")&amp;IF(C349="","Falta entidad; ","")&amp;IF(E349="","Falta objeto; ","")&amp;IF(F349="","Falta especialidad; ","")&amp;IF(K349="","Falta fecha de inicio (recomendada); ","")&amp;IF(AND(M349&lt;&gt;"En ejecución",L349=""),"Falta fecha de terminación; ","")&amp;IF(AND(K349&lt;&gt;"",L349&lt;&gt;"",L349&lt;K349),"Terminación anterior al inicio; ","")&amp;IF(M349="","Falta estado; ","")&amp;IF(OR(P349="",P349&lt;=0),"Falta valor del contrato; ","")&amp;IF(AND(M349="En ejecución",Q349=""),"En ejecución sin valor ejecutado; ","")&amp;IF(AND(M349="En ejecución",L349&lt;&gt;"",L349&lt;TODAY()),"Dice en ejecución pero su terminación ya pasó; ","")&amp;IF(M349="En ejecución","En ejecución: no acredita experiencia; ","")&amp;IF(AND(M349&lt;&gt;"En ejecución",L349&lt;&gt;"",X349&lt;&gt;"",Y349=""),"El año no está en la hoja SMMLV; ","")&amp;IF(AND(B349&lt;&gt;"",COUNTIFS($B$2:$B$601,B349,$C$2:$C$601,C349)&gt;1),"Posible duplicado (mismo número y entidad); ","")&amp;IF(COUNTIF(PARTICIPACIONES!$A$2:$A$601,A349)=0,"Sin participaciones; ","")&amp;IF(SUMIFS(PARTICIPACIONES!$E$2:$E$601,PARTICIPACIONES!$A$2:$A$601,A349)&gt;1.0001,"Las participaciones suman más de 100 %; ",""))</f>
        <v/>
      </c>
    </row>
    <row r="350">
      <c r="J350" s="15" t="n"/>
      <c r="K350" s="15" t="n"/>
      <c r="L350" s="15" t="n"/>
      <c r="N350" s="15" t="n"/>
      <c r="O350" s="16" t="n"/>
      <c r="P350" s="16" t="n"/>
      <c r="Q350" s="16" t="n"/>
      <c r="W350" s="12">
        <f>IF(AND(K350&lt;&gt;"",L350&lt;&gt;""),ROUND((L350-K350)/30.4375,1),"")</f>
        <v/>
      </c>
      <c r="X350" s="12">
        <f>IF(OR(A350="",M350="En ejecución",L350=""),"",YEAR(L350))</f>
        <v/>
      </c>
      <c r="Y350" s="13">
        <f>IF(X350="","",IFERROR(VLOOKUP(X350,SMMLV!$A$2:$B$38,2,FALSE),""))</f>
        <v/>
      </c>
      <c r="Z350" s="17">
        <f>IF(OR(Y350="",P350=""),"",ROUND(P350/Y350,2))</f>
        <v/>
      </c>
      <c r="AA350" s="13">
        <f>IF(Z350="","",ROUND(Z350*SMMLV!$E$4,0))</f>
        <v/>
      </c>
      <c r="AB350" s="13">
        <f>IF(AND(M350="En ejecución",P350&lt;&gt;"",Q350&lt;&gt;""),MAX(P350-Q350,0),"")</f>
        <v/>
      </c>
      <c r="AC350" s="12">
        <f>IF(A350="","",IF(B350="","Falta número de contrato; ","")&amp;IF(C350="","Falta entidad; ","")&amp;IF(E350="","Falta objeto; ","")&amp;IF(F350="","Falta especialidad; ","")&amp;IF(K350="","Falta fecha de inicio (recomendada); ","")&amp;IF(AND(M350&lt;&gt;"En ejecución",L350=""),"Falta fecha de terminación; ","")&amp;IF(AND(K350&lt;&gt;"",L350&lt;&gt;"",L350&lt;K350),"Terminación anterior al inicio; ","")&amp;IF(M350="","Falta estado; ","")&amp;IF(OR(P350="",P350&lt;=0),"Falta valor del contrato; ","")&amp;IF(AND(M350="En ejecución",Q350=""),"En ejecución sin valor ejecutado; ","")&amp;IF(AND(M350="En ejecución",L350&lt;&gt;"",L350&lt;TODAY()),"Dice en ejecución pero su terminación ya pasó; ","")&amp;IF(M350="En ejecución","En ejecución: no acredita experiencia; ","")&amp;IF(AND(M350&lt;&gt;"En ejecución",L350&lt;&gt;"",X350&lt;&gt;"",Y350=""),"El año no está en la hoja SMMLV; ","")&amp;IF(AND(B350&lt;&gt;"",COUNTIFS($B$2:$B$601,B350,$C$2:$C$601,C350)&gt;1),"Posible duplicado (mismo número y entidad); ","")&amp;IF(COUNTIF(PARTICIPACIONES!$A$2:$A$601,A350)=0,"Sin participaciones; ","")&amp;IF(SUMIFS(PARTICIPACIONES!$E$2:$E$601,PARTICIPACIONES!$A$2:$A$601,A350)&gt;1.0001,"Las participaciones suman más de 100 %; ",""))</f>
        <v/>
      </c>
    </row>
    <row r="351">
      <c r="J351" s="15" t="n"/>
      <c r="K351" s="15" t="n"/>
      <c r="L351" s="15" t="n"/>
      <c r="N351" s="15" t="n"/>
      <c r="O351" s="16" t="n"/>
      <c r="P351" s="16" t="n"/>
      <c r="Q351" s="16" t="n"/>
      <c r="W351" s="12">
        <f>IF(AND(K351&lt;&gt;"",L351&lt;&gt;""),ROUND((L351-K351)/30.4375,1),"")</f>
        <v/>
      </c>
      <c r="X351" s="12">
        <f>IF(OR(A351="",M351="En ejecución",L351=""),"",YEAR(L351))</f>
        <v/>
      </c>
      <c r="Y351" s="13">
        <f>IF(X351="","",IFERROR(VLOOKUP(X351,SMMLV!$A$2:$B$38,2,FALSE),""))</f>
        <v/>
      </c>
      <c r="Z351" s="17">
        <f>IF(OR(Y351="",P351=""),"",ROUND(P351/Y351,2))</f>
        <v/>
      </c>
      <c r="AA351" s="13">
        <f>IF(Z351="","",ROUND(Z351*SMMLV!$E$4,0))</f>
        <v/>
      </c>
      <c r="AB351" s="13">
        <f>IF(AND(M351="En ejecución",P351&lt;&gt;"",Q351&lt;&gt;""),MAX(P351-Q351,0),"")</f>
        <v/>
      </c>
      <c r="AC351" s="12">
        <f>IF(A351="","",IF(B351="","Falta número de contrato; ","")&amp;IF(C351="","Falta entidad; ","")&amp;IF(E351="","Falta objeto; ","")&amp;IF(F351="","Falta especialidad; ","")&amp;IF(K351="","Falta fecha de inicio (recomendada); ","")&amp;IF(AND(M351&lt;&gt;"En ejecución",L351=""),"Falta fecha de terminación; ","")&amp;IF(AND(K351&lt;&gt;"",L351&lt;&gt;"",L351&lt;K351),"Terminación anterior al inicio; ","")&amp;IF(M351="","Falta estado; ","")&amp;IF(OR(P351="",P351&lt;=0),"Falta valor del contrato; ","")&amp;IF(AND(M351="En ejecución",Q351=""),"En ejecución sin valor ejecutado; ","")&amp;IF(AND(M351="En ejecución",L351&lt;&gt;"",L351&lt;TODAY()),"Dice en ejecución pero su terminación ya pasó; ","")&amp;IF(M351="En ejecución","En ejecución: no acredita experiencia; ","")&amp;IF(AND(M351&lt;&gt;"En ejecución",L351&lt;&gt;"",X351&lt;&gt;"",Y351=""),"El año no está en la hoja SMMLV; ","")&amp;IF(AND(B351&lt;&gt;"",COUNTIFS($B$2:$B$601,B351,$C$2:$C$601,C351)&gt;1),"Posible duplicado (mismo número y entidad); ","")&amp;IF(COUNTIF(PARTICIPACIONES!$A$2:$A$601,A351)=0,"Sin participaciones; ","")&amp;IF(SUMIFS(PARTICIPACIONES!$E$2:$E$601,PARTICIPACIONES!$A$2:$A$601,A351)&gt;1.0001,"Las participaciones suman más de 100 %; ",""))</f>
        <v/>
      </c>
    </row>
    <row r="352">
      <c r="J352" s="15" t="n"/>
      <c r="K352" s="15" t="n"/>
      <c r="L352" s="15" t="n"/>
      <c r="N352" s="15" t="n"/>
      <c r="O352" s="16" t="n"/>
      <c r="P352" s="16" t="n"/>
      <c r="Q352" s="16" t="n"/>
      <c r="W352" s="12">
        <f>IF(AND(K352&lt;&gt;"",L352&lt;&gt;""),ROUND((L352-K352)/30.4375,1),"")</f>
        <v/>
      </c>
      <c r="X352" s="12">
        <f>IF(OR(A352="",M352="En ejecución",L352=""),"",YEAR(L352))</f>
        <v/>
      </c>
      <c r="Y352" s="13">
        <f>IF(X352="","",IFERROR(VLOOKUP(X352,SMMLV!$A$2:$B$38,2,FALSE),""))</f>
        <v/>
      </c>
      <c r="Z352" s="17">
        <f>IF(OR(Y352="",P352=""),"",ROUND(P352/Y352,2))</f>
        <v/>
      </c>
      <c r="AA352" s="13">
        <f>IF(Z352="","",ROUND(Z352*SMMLV!$E$4,0))</f>
        <v/>
      </c>
      <c r="AB352" s="13">
        <f>IF(AND(M352="En ejecución",P352&lt;&gt;"",Q352&lt;&gt;""),MAX(P352-Q352,0),"")</f>
        <v/>
      </c>
      <c r="AC352" s="12">
        <f>IF(A352="","",IF(B352="","Falta número de contrato; ","")&amp;IF(C352="","Falta entidad; ","")&amp;IF(E352="","Falta objeto; ","")&amp;IF(F352="","Falta especialidad; ","")&amp;IF(K352="","Falta fecha de inicio (recomendada); ","")&amp;IF(AND(M352&lt;&gt;"En ejecución",L352=""),"Falta fecha de terminación; ","")&amp;IF(AND(K352&lt;&gt;"",L352&lt;&gt;"",L352&lt;K352),"Terminación anterior al inicio; ","")&amp;IF(M352="","Falta estado; ","")&amp;IF(OR(P352="",P352&lt;=0),"Falta valor del contrato; ","")&amp;IF(AND(M352="En ejecución",Q352=""),"En ejecución sin valor ejecutado; ","")&amp;IF(AND(M352="En ejecución",L352&lt;&gt;"",L352&lt;TODAY()),"Dice en ejecución pero su terminación ya pasó; ","")&amp;IF(M352="En ejecución","En ejecución: no acredita experiencia; ","")&amp;IF(AND(M352&lt;&gt;"En ejecución",L352&lt;&gt;"",X352&lt;&gt;"",Y352=""),"El año no está en la hoja SMMLV; ","")&amp;IF(AND(B352&lt;&gt;"",COUNTIFS($B$2:$B$601,B352,$C$2:$C$601,C352)&gt;1),"Posible duplicado (mismo número y entidad); ","")&amp;IF(COUNTIF(PARTICIPACIONES!$A$2:$A$601,A352)=0,"Sin participaciones; ","")&amp;IF(SUMIFS(PARTICIPACIONES!$E$2:$E$601,PARTICIPACIONES!$A$2:$A$601,A352)&gt;1.0001,"Las participaciones suman más de 100 %; ",""))</f>
        <v/>
      </c>
    </row>
    <row r="353">
      <c r="J353" s="15" t="n"/>
      <c r="K353" s="15" t="n"/>
      <c r="L353" s="15" t="n"/>
      <c r="N353" s="15" t="n"/>
      <c r="O353" s="16" t="n"/>
      <c r="P353" s="16" t="n"/>
      <c r="Q353" s="16" t="n"/>
      <c r="W353" s="12">
        <f>IF(AND(K353&lt;&gt;"",L353&lt;&gt;""),ROUND((L353-K353)/30.4375,1),"")</f>
        <v/>
      </c>
      <c r="X353" s="12">
        <f>IF(OR(A353="",M353="En ejecución",L353=""),"",YEAR(L353))</f>
        <v/>
      </c>
      <c r="Y353" s="13">
        <f>IF(X353="","",IFERROR(VLOOKUP(X353,SMMLV!$A$2:$B$38,2,FALSE),""))</f>
        <v/>
      </c>
      <c r="Z353" s="17">
        <f>IF(OR(Y353="",P353=""),"",ROUND(P353/Y353,2))</f>
        <v/>
      </c>
      <c r="AA353" s="13">
        <f>IF(Z353="","",ROUND(Z353*SMMLV!$E$4,0))</f>
        <v/>
      </c>
      <c r="AB353" s="13">
        <f>IF(AND(M353="En ejecución",P353&lt;&gt;"",Q353&lt;&gt;""),MAX(P353-Q353,0),"")</f>
        <v/>
      </c>
      <c r="AC353" s="12">
        <f>IF(A353="","",IF(B353="","Falta número de contrato; ","")&amp;IF(C353="","Falta entidad; ","")&amp;IF(E353="","Falta objeto; ","")&amp;IF(F353="","Falta especialidad; ","")&amp;IF(K353="","Falta fecha de inicio (recomendada); ","")&amp;IF(AND(M353&lt;&gt;"En ejecución",L353=""),"Falta fecha de terminación; ","")&amp;IF(AND(K353&lt;&gt;"",L353&lt;&gt;"",L353&lt;K353),"Terminación anterior al inicio; ","")&amp;IF(M353="","Falta estado; ","")&amp;IF(OR(P353="",P353&lt;=0),"Falta valor del contrato; ","")&amp;IF(AND(M353="En ejecución",Q353=""),"En ejecución sin valor ejecutado; ","")&amp;IF(AND(M353="En ejecución",L353&lt;&gt;"",L353&lt;TODAY()),"Dice en ejecución pero su terminación ya pasó; ","")&amp;IF(M353="En ejecución","En ejecución: no acredita experiencia; ","")&amp;IF(AND(M353&lt;&gt;"En ejecución",L353&lt;&gt;"",X353&lt;&gt;"",Y353=""),"El año no está en la hoja SMMLV; ","")&amp;IF(AND(B353&lt;&gt;"",COUNTIFS($B$2:$B$601,B353,$C$2:$C$601,C353)&gt;1),"Posible duplicado (mismo número y entidad); ","")&amp;IF(COUNTIF(PARTICIPACIONES!$A$2:$A$601,A353)=0,"Sin participaciones; ","")&amp;IF(SUMIFS(PARTICIPACIONES!$E$2:$E$601,PARTICIPACIONES!$A$2:$A$601,A353)&gt;1.0001,"Las participaciones suman más de 100 %; ",""))</f>
        <v/>
      </c>
    </row>
    <row r="354">
      <c r="J354" s="15" t="n"/>
      <c r="K354" s="15" t="n"/>
      <c r="L354" s="15" t="n"/>
      <c r="N354" s="15" t="n"/>
      <c r="O354" s="16" t="n"/>
      <c r="P354" s="16" t="n"/>
      <c r="Q354" s="16" t="n"/>
      <c r="W354" s="12">
        <f>IF(AND(K354&lt;&gt;"",L354&lt;&gt;""),ROUND((L354-K354)/30.4375,1),"")</f>
        <v/>
      </c>
      <c r="X354" s="12">
        <f>IF(OR(A354="",M354="En ejecución",L354=""),"",YEAR(L354))</f>
        <v/>
      </c>
      <c r="Y354" s="13">
        <f>IF(X354="","",IFERROR(VLOOKUP(X354,SMMLV!$A$2:$B$38,2,FALSE),""))</f>
        <v/>
      </c>
      <c r="Z354" s="17">
        <f>IF(OR(Y354="",P354=""),"",ROUND(P354/Y354,2))</f>
        <v/>
      </c>
      <c r="AA354" s="13">
        <f>IF(Z354="","",ROUND(Z354*SMMLV!$E$4,0))</f>
        <v/>
      </c>
      <c r="AB354" s="13">
        <f>IF(AND(M354="En ejecución",P354&lt;&gt;"",Q354&lt;&gt;""),MAX(P354-Q354,0),"")</f>
        <v/>
      </c>
      <c r="AC354" s="12">
        <f>IF(A354="","",IF(B354="","Falta número de contrato; ","")&amp;IF(C354="","Falta entidad; ","")&amp;IF(E354="","Falta objeto; ","")&amp;IF(F354="","Falta especialidad; ","")&amp;IF(K354="","Falta fecha de inicio (recomendada); ","")&amp;IF(AND(M354&lt;&gt;"En ejecución",L354=""),"Falta fecha de terminación; ","")&amp;IF(AND(K354&lt;&gt;"",L354&lt;&gt;"",L354&lt;K354),"Terminación anterior al inicio; ","")&amp;IF(M354="","Falta estado; ","")&amp;IF(OR(P354="",P354&lt;=0),"Falta valor del contrato; ","")&amp;IF(AND(M354="En ejecución",Q354=""),"En ejecución sin valor ejecutado; ","")&amp;IF(AND(M354="En ejecución",L354&lt;&gt;"",L354&lt;TODAY()),"Dice en ejecución pero su terminación ya pasó; ","")&amp;IF(M354="En ejecución","En ejecución: no acredita experiencia; ","")&amp;IF(AND(M354&lt;&gt;"En ejecución",L354&lt;&gt;"",X354&lt;&gt;"",Y354=""),"El año no está en la hoja SMMLV; ","")&amp;IF(AND(B354&lt;&gt;"",COUNTIFS($B$2:$B$601,B354,$C$2:$C$601,C354)&gt;1),"Posible duplicado (mismo número y entidad); ","")&amp;IF(COUNTIF(PARTICIPACIONES!$A$2:$A$601,A354)=0,"Sin participaciones; ","")&amp;IF(SUMIFS(PARTICIPACIONES!$E$2:$E$601,PARTICIPACIONES!$A$2:$A$601,A354)&gt;1.0001,"Las participaciones suman más de 100 %; ",""))</f>
        <v/>
      </c>
    </row>
    <row r="355">
      <c r="J355" s="15" t="n"/>
      <c r="K355" s="15" t="n"/>
      <c r="L355" s="15" t="n"/>
      <c r="N355" s="15" t="n"/>
      <c r="O355" s="16" t="n"/>
      <c r="P355" s="16" t="n"/>
      <c r="Q355" s="16" t="n"/>
      <c r="W355" s="12">
        <f>IF(AND(K355&lt;&gt;"",L355&lt;&gt;""),ROUND((L355-K355)/30.4375,1),"")</f>
        <v/>
      </c>
      <c r="X355" s="12">
        <f>IF(OR(A355="",M355="En ejecución",L355=""),"",YEAR(L355))</f>
        <v/>
      </c>
      <c r="Y355" s="13">
        <f>IF(X355="","",IFERROR(VLOOKUP(X355,SMMLV!$A$2:$B$38,2,FALSE),""))</f>
        <v/>
      </c>
      <c r="Z355" s="17">
        <f>IF(OR(Y355="",P355=""),"",ROUND(P355/Y355,2))</f>
        <v/>
      </c>
      <c r="AA355" s="13">
        <f>IF(Z355="","",ROUND(Z355*SMMLV!$E$4,0))</f>
        <v/>
      </c>
      <c r="AB355" s="13">
        <f>IF(AND(M355="En ejecución",P355&lt;&gt;"",Q355&lt;&gt;""),MAX(P355-Q355,0),"")</f>
        <v/>
      </c>
      <c r="AC355" s="12">
        <f>IF(A355="","",IF(B355="","Falta número de contrato; ","")&amp;IF(C355="","Falta entidad; ","")&amp;IF(E355="","Falta objeto; ","")&amp;IF(F355="","Falta especialidad; ","")&amp;IF(K355="","Falta fecha de inicio (recomendada); ","")&amp;IF(AND(M355&lt;&gt;"En ejecución",L355=""),"Falta fecha de terminación; ","")&amp;IF(AND(K355&lt;&gt;"",L355&lt;&gt;"",L355&lt;K355),"Terminación anterior al inicio; ","")&amp;IF(M355="","Falta estado; ","")&amp;IF(OR(P355="",P355&lt;=0),"Falta valor del contrato; ","")&amp;IF(AND(M355="En ejecución",Q355=""),"En ejecución sin valor ejecutado; ","")&amp;IF(AND(M355="En ejecución",L355&lt;&gt;"",L355&lt;TODAY()),"Dice en ejecución pero su terminación ya pasó; ","")&amp;IF(M355="En ejecución","En ejecución: no acredita experiencia; ","")&amp;IF(AND(M355&lt;&gt;"En ejecución",L355&lt;&gt;"",X355&lt;&gt;"",Y355=""),"El año no está en la hoja SMMLV; ","")&amp;IF(AND(B355&lt;&gt;"",COUNTIFS($B$2:$B$601,B355,$C$2:$C$601,C355)&gt;1),"Posible duplicado (mismo número y entidad); ","")&amp;IF(COUNTIF(PARTICIPACIONES!$A$2:$A$601,A355)=0,"Sin participaciones; ","")&amp;IF(SUMIFS(PARTICIPACIONES!$E$2:$E$601,PARTICIPACIONES!$A$2:$A$601,A355)&gt;1.0001,"Las participaciones suman más de 100 %; ",""))</f>
        <v/>
      </c>
    </row>
    <row r="356">
      <c r="J356" s="15" t="n"/>
      <c r="K356" s="15" t="n"/>
      <c r="L356" s="15" t="n"/>
      <c r="N356" s="15" t="n"/>
      <c r="O356" s="16" t="n"/>
      <c r="P356" s="16" t="n"/>
      <c r="Q356" s="16" t="n"/>
      <c r="W356" s="12">
        <f>IF(AND(K356&lt;&gt;"",L356&lt;&gt;""),ROUND((L356-K356)/30.4375,1),"")</f>
        <v/>
      </c>
      <c r="X356" s="12">
        <f>IF(OR(A356="",M356="En ejecución",L356=""),"",YEAR(L356))</f>
        <v/>
      </c>
      <c r="Y356" s="13">
        <f>IF(X356="","",IFERROR(VLOOKUP(X356,SMMLV!$A$2:$B$38,2,FALSE),""))</f>
        <v/>
      </c>
      <c r="Z356" s="17">
        <f>IF(OR(Y356="",P356=""),"",ROUND(P356/Y356,2))</f>
        <v/>
      </c>
      <c r="AA356" s="13">
        <f>IF(Z356="","",ROUND(Z356*SMMLV!$E$4,0))</f>
        <v/>
      </c>
      <c r="AB356" s="13">
        <f>IF(AND(M356="En ejecución",P356&lt;&gt;"",Q356&lt;&gt;""),MAX(P356-Q356,0),"")</f>
        <v/>
      </c>
      <c r="AC356" s="12">
        <f>IF(A356="","",IF(B356="","Falta número de contrato; ","")&amp;IF(C356="","Falta entidad; ","")&amp;IF(E356="","Falta objeto; ","")&amp;IF(F356="","Falta especialidad; ","")&amp;IF(K356="","Falta fecha de inicio (recomendada); ","")&amp;IF(AND(M356&lt;&gt;"En ejecución",L356=""),"Falta fecha de terminación; ","")&amp;IF(AND(K356&lt;&gt;"",L356&lt;&gt;"",L356&lt;K356),"Terminación anterior al inicio; ","")&amp;IF(M356="","Falta estado; ","")&amp;IF(OR(P356="",P356&lt;=0),"Falta valor del contrato; ","")&amp;IF(AND(M356="En ejecución",Q356=""),"En ejecución sin valor ejecutado; ","")&amp;IF(AND(M356="En ejecución",L356&lt;&gt;"",L356&lt;TODAY()),"Dice en ejecución pero su terminación ya pasó; ","")&amp;IF(M356="En ejecución","En ejecución: no acredita experiencia; ","")&amp;IF(AND(M356&lt;&gt;"En ejecución",L356&lt;&gt;"",X356&lt;&gt;"",Y356=""),"El año no está en la hoja SMMLV; ","")&amp;IF(AND(B356&lt;&gt;"",COUNTIFS($B$2:$B$601,B356,$C$2:$C$601,C356)&gt;1),"Posible duplicado (mismo número y entidad); ","")&amp;IF(COUNTIF(PARTICIPACIONES!$A$2:$A$601,A356)=0,"Sin participaciones; ","")&amp;IF(SUMIFS(PARTICIPACIONES!$E$2:$E$601,PARTICIPACIONES!$A$2:$A$601,A356)&gt;1.0001,"Las participaciones suman más de 100 %; ",""))</f>
        <v/>
      </c>
    </row>
    <row r="357">
      <c r="J357" s="15" t="n"/>
      <c r="K357" s="15" t="n"/>
      <c r="L357" s="15" t="n"/>
      <c r="N357" s="15" t="n"/>
      <c r="O357" s="16" t="n"/>
      <c r="P357" s="16" t="n"/>
      <c r="Q357" s="16" t="n"/>
      <c r="W357" s="12">
        <f>IF(AND(K357&lt;&gt;"",L357&lt;&gt;""),ROUND((L357-K357)/30.4375,1),"")</f>
        <v/>
      </c>
      <c r="X357" s="12">
        <f>IF(OR(A357="",M357="En ejecución",L357=""),"",YEAR(L357))</f>
        <v/>
      </c>
      <c r="Y357" s="13">
        <f>IF(X357="","",IFERROR(VLOOKUP(X357,SMMLV!$A$2:$B$38,2,FALSE),""))</f>
        <v/>
      </c>
      <c r="Z357" s="17">
        <f>IF(OR(Y357="",P357=""),"",ROUND(P357/Y357,2))</f>
        <v/>
      </c>
      <c r="AA357" s="13">
        <f>IF(Z357="","",ROUND(Z357*SMMLV!$E$4,0))</f>
        <v/>
      </c>
      <c r="AB357" s="13">
        <f>IF(AND(M357="En ejecución",P357&lt;&gt;"",Q357&lt;&gt;""),MAX(P357-Q357,0),"")</f>
        <v/>
      </c>
      <c r="AC357" s="12">
        <f>IF(A357="","",IF(B357="","Falta número de contrato; ","")&amp;IF(C357="","Falta entidad; ","")&amp;IF(E357="","Falta objeto; ","")&amp;IF(F357="","Falta especialidad; ","")&amp;IF(K357="","Falta fecha de inicio (recomendada); ","")&amp;IF(AND(M357&lt;&gt;"En ejecución",L357=""),"Falta fecha de terminación; ","")&amp;IF(AND(K357&lt;&gt;"",L357&lt;&gt;"",L357&lt;K357),"Terminación anterior al inicio; ","")&amp;IF(M357="","Falta estado; ","")&amp;IF(OR(P357="",P357&lt;=0),"Falta valor del contrato; ","")&amp;IF(AND(M357="En ejecución",Q357=""),"En ejecución sin valor ejecutado; ","")&amp;IF(AND(M357="En ejecución",L357&lt;&gt;"",L357&lt;TODAY()),"Dice en ejecución pero su terminación ya pasó; ","")&amp;IF(M357="En ejecución","En ejecución: no acredita experiencia; ","")&amp;IF(AND(M357&lt;&gt;"En ejecución",L357&lt;&gt;"",X357&lt;&gt;"",Y357=""),"El año no está en la hoja SMMLV; ","")&amp;IF(AND(B357&lt;&gt;"",COUNTIFS($B$2:$B$601,B357,$C$2:$C$601,C357)&gt;1),"Posible duplicado (mismo número y entidad); ","")&amp;IF(COUNTIF(PARTICIPACIONES!$A$2:$A$601,A357)=0,"Sin participaciones; ","")&amp;IF(SUMIFS(PARTICIPACIONES!$E$2:$E$601,PARTICIPACIONES!$A$2:$A$601,A357)&gt;1.0001,"Las participaciones suman más de 100 %; ",""))</f>
        <v/>
      </c>
    </row>
    <row r="358">
      <c r="J358" s="15" t="n"/>
      <c r="K358" s="15" t="n"/>
      <c r="L358" s="15" t="n"/>
      <c r="N358" s="15" t="n"/>
      <c r="O358" s="16" t="n"/>
      <c r="P358" s="16" t="n"/>
      <c r="Q358" s="16" t="n"/>
      <c r="W358" s="12">
        <f>IF(AND(K358&lt;&gt;"",L358&lt;&gt;""),ROUND((L358-K358)/30.4375,1),"")</f>
        <v/>
      </c>
      <c r="X358" s="12">
        <f>IF(OR(A358="",M358="En ejecución",L358=""),"",YEAR(L358))</f>
        <v/>
      </c>
      <c r="Y358" s="13">
        <f>IF(X358="","",IFERROR(VLOOKUP(X358,SMMLV!$A$2:$B$38,2,FALSE),""))</f>
        <v/>
      </c>
      <c r="Z358" s="17">
        <f>IF(OR(Y358="",P358=""),"",ROUND(P358/Y358,2))</f>
        <v/>
      </c>
      <c r="AA358" s="13">
        <f>IF(Z358="","",ROUND(Z358*SMMLV!$E$4,0))</f>
        <v/>
      </c>
      <c r="AB358" s="13">
        <f>IF(AND(M358="En ejecución",P358&lt;&gt;"",Q358&lt;&gt;""),MAX(P358-Q358,0),"")</f>
        <v/>
      </c>
      <c r="AC358" s="12">
        <f>IF(A358="","",IF(B358="","Falta número de contrato; ","")&amp;IF(C358="","Falta entidad; ","")&amp;IF(E358="","Falta objeto; ","")&amp;IF(F358="","Falta especialidad; ","")&amp;IF(K358="","Falta fecha de inicio (recomendada); ","")&amp;IF(AND(M358&lt;&gt;"En ejecución",L358=""),"Falta fecha de terminación; ","")&amp;IF(AND(K358&lt;&gt;"",L358&lt;&gt;"",L358&lt;K358),"Terminación anterior al inicio; ","")&amp;IF(M358="","Falta estado; ","")&amp;IF(OR(P358="",P358&lt;=0),"Falta valor del contrato; ","")&amp;IF(AND(M358="En ejecución",Q358=""),"En ejecución sin valor ejecutado; ","")&amp;IF(AND(M358="En ejecución",L358&lt;&gt;"",L358&lt;TODAY()),"Dice en ejecución pero su terminación ya pasó; ","")&amp;IF(M358="En ejecución","En ejecución: no acredita experiencia; ","")&amp;IF(AND(M358&lt;&gt;"En ejecución",L358&lt;&gt;"",X358&lt;&gt;"",Y358=""),"El año no está en la hoja SMMLV; ","")&amp;IF(AND(B358&lt;&gt;"",COUNTIFS($B$2:$B$601,B358,$C$2:$C$601,C358)&gt;1),"Posible duplicado (mismo número y entidad); ","")&amp;IF(COUNTIF(PARTICIPACIONES!$A$2:$A$601,A358)=0,"Sin participaciones; ","")&amp;IF(SUMIFS(PARTICIPACIONES!$E$2:$E$601,PARTICIPACIONES!$A$2:$A$601,A358)&gt;1.0001,"Las participaciones suman más de 100 %; ",""))</f>
        <v/>
      </c>
    </row>
    <row r="359">
      <c r="J359" s="15" t="n"/>
      <c r="K359" s="15" t="n"/>
      <c r="L359" s="15" t="n"/>
      <c r="N359" s="15" t="n"/>
      <c r="O359" s="16" t="n"/>
      <c r="P359" s="16" t="n"/>
      <c r="Q359" s="16" t="n"/>
      <c r="W359" s="12">
        <f>IF(AND(K359&lt;&gt;"",L359&lt;&gt;""),ROUND((L359-K359)/30.4375,1),"")</f>
        <v/>
      </c>
      <c r="X359" s="12">
        <f>IF(OR(A359="",M359="En ejecución",L359=""),"",YEAR(L359))</f>
        <v/>
      </c>
      <c r="Y359" s="13">
        <f>IF(X359="","",IFERROR(VLOOKUP(X359,SMMLV!$A$2:$B$38,2,FALSE),""))</f>
        <v/>
      </c>
      <c r="Z359" s="17">
        <f>IF(OR(Y359="",P359=""),"",ROUND(P359/Y359,2))</f>
        <v/>
      </c>
      <c r="AA359" s="13">
        <f>IF(Z359="","",ROUND(Z359*SMMLV!$E$4,0))</f>
        <v/>
      </c>
      <c r="AB359" s="13">
        <f>IF(AND(M359="En ejecución",P359&lt;&gt;"",Q359&lt;&gt;""),MAX(P359-Q359,0),"")</f>
        <v/>
      </c>
      <c r="AC359" s="12">
        <f>IF(A359="","",IF(B359="","Falta número de contrato; ","")&amp;IF(C359="","Falta entidad; ","")&amp;IF(E359="","Falta objeto; ","")&amp;IF(F359="","Falta especialidad; ","")&amp;IF(K359="","Falta fecha de inicio (recomendada); ","")&amp;IF(AND(M359&lt;&gt;"En ejecución",L359=""),"Falta fecha de terminación; ","")&amp;IF(AND(K359&lt;&gt;"",L359&lt;&gt;"",L359&lt;K359),"Terminación anterior al inicio; ","")&amp;IF(M359="","Falta estado; ","")&amp;IF(OR(P359="",P359&lt;=0),"Falta valor del contrato; ","")&amp;IF(AND(M359="En ejecución",Q359=""),"En ejecución sin valor ejecutado; ","")&amp;IF(AND(M359="En ejecución",L359&lt;&gt;"",L359&lt;TODAY()),"Dice en ejecución pero su terminación ya pasó; ","")&amp;IF(M359="En ejecución","En ejecución: no acredita experiencia; ","")&amp;IF(AND(M359&lt;&gt;"En ejecución",L359&lt;&gt;"",X359&lt;&gt;"",Y359=""),"El año no está en la hoja SMMLV; ","")&amp;IF(AND(B359&lt;&gt;"",COUNTIFS($B$2:$B$601,B359,$C$2:$C$601,C359)&gt;1),"Posible duplicado (mismo número y entidad); ","")&amp;IF(COUNTIF(PARTICIPACIONES!$A$2:$A$601,A359)=0,"Sin participaciones; ","")&amp;IF(SUMIFS(PARTICIPACIONES!$E$2:$E$601,PARTICIPACIONES!$A$2:$A$601,A359)&gt;1.0001,"Las participaciones suman más de 100 %; ",""))</f>
        <v/>
      </c>
    </row>
    <row r="360">
      <c r="J360" s="15" t="n"/>
      <c r="K360" s="15" t="n"/>
      <c r="L360" s="15" t="n"/>
      <c r="N360" s="15" t="n"/>
      <c r="O360" s="16" t="n"/>
      <c r="P360" s="16" t="n"/>
      <c r="Q360" s="16" t="n"/>
      <c r="W360" s="12">
        <f>IF(AND(K360&lt;&gt;"",L360&lt;&gt;""),ROUND((L360-K360)/30.4375,1),"")</f>
        <v/>
      </c>
      <c r="X360" s="12">
        <f>IF(OR(A360="",M360="En ejecución",L360=""),"",YEAR(L360))</f>
        <v/>
      </c>
      <c r="Y360" s="13">
        <f>IF(X360="","",IFERROR(VLOOKUP(X360,SMMLV!$A$2:$B$38,2,FALSE),""))</f>
        <v/>
      </c>
      <c r="Z360" s="17">
        <f>IF(OR(Y360="",P360=""),"",ROUND(P360/Y360,2))</f>
        <v/>
      </c>
      <c r="AA360" s="13">
        <f>IF(Z360="","",ROUND(Z360*SMMLV!$E$4,0))</f>
        <v/>
      </c>
      <c r="AB360" s="13">
        <f>IF(AND(M360="En ejecución",P360&lt;&gt;"",Q360&lt;&gt;""),MAX(P360-Q360,0),"")</f>
        <v/>
      </c>
      <c r="AC360" s="12">
        <f>IF(A360="","",IF(B360="","Falta número de contrato; ","")&amp;IF(C360="","Falta entidad; ","")&amp;IF(E360="","Falta objeto; ","")&amp;IF(F360="","Falta especialidad; ","")&amp;IF(K360="","Falta fecha de inicio (recomendada); ","")&amp;IF(AND(M360&lt;&gt;"En ejecución",L360=""),"Falta fecha de terminación; ","")&amp;IF(AND(K360&lt;&gt;"",L360&lt;&gt;"",L360&lt;K360),"Terminación anterior al inicio; ","")&amp;IF(M360="","Falta estado; ","")&amp;IF(OR(P360="",P360&lt;=0),"Falta valor del contrato; ","")&amp;IF(AND(M360="En ejecución",Q360=""),"En ejecución sin valor ejecutado; ","")&amp;IF(AND(M360="En ejecución",L360&lt;&gt;"",L360&lt;TODAY()),"Dice en ejecución pero su terminación ya pasó; ","")&amp;IF(M360="En ejecución","En ejecución: no acredita experiencia; ","")&amp;IF(AND(M360&lt;&gt;"En ejecución",L360&lt;&gt;"",X360&lt;&gt;"",Y360=""),"El año no está en la hoja SMMLV; ","")&amp;IF(AND(B360&lt;&gt;"",COUNTIFS($B$2:$B$601,B360,$C$2:$C$601,C360)&gt;1),"Posible duplicado (mismo número y entidad); ","")&amp;IF(COUNTIF(PARTICIPACIONES!$A$2:$A$601,A360)=0,"Sin participaciones; ","")&amp;IF(SUMIFS(PARTICIPACIONES!$E$2:$E$601,PARTICIPACIONES!$A$2:$A$601,A360)&gt;1.0001,"Las participaciones suman más de 100 %; ",""))</f>
        <v/>
      </c>
    </row>
    <row r="361">
      <c r="J361" s="15" t="n"/>
      <c r="K361" s="15" t="n"/>
      <c r="L361" s="15" t="n"/>
      <c r="N361" s="15" t="n"/>
      <c r="O361" s="16" t="n"/>
      <c r="P361" s="16" t="n"/>
      <c r="Q361" s="16" t="n"/>
      <c r="W361" s="12">
        <f>IF(AND(K361&lt;&gt;"",L361&lt;&gt;""),ROUND((L361-K361)/30.4375,1),"")</f>
        <v/>
      </c>
      <c r="X361" s="12">
        <f>IF(OR(A361="",M361="En ejecución",L361=""),"",YEAR(L361))</f>
        <v/>
      </c>
      <c r="Y361" s="13">
        <f>IF(X361="","",IFERROR(VLOOKUP(X361,SMMLV!$A$2:$B$38,2,FALSE),""))</f>
        <v/>
      </c>
      <c r="Z361" s="17">
        <f>IF(OR(Y361="",P361=""),"",ROUND(P361/Y361,2))</f>
        <v/>
      </c>
      <c r="AA361" s="13">
        <f>IF(Z361="","",ROUND(Z361*SMMLV!$E$4,0))</f>
        <v/>
      </c>
      <c r="AB361" s="13">
        <f>IF(AND(M361="En ejecución",P361&lt;&gt;"",Q361&lt;&gt;""),MAX(P361-Q361,0),"")</f>
        <v/>
      </c>
      <c r="AC361" s="12">
        <f>IF(A361="","",IF(B361="","Falta número de contrato; ","")&amp;IF(C361="","Falta entidad; ","")&amp;IF(E361="","Falta objeto; ","")&amp;IF(F361="","Falta especialidad; ","")&amp;IF(K361="","Falta fecha de inicio (recomendada); ","")&amp;IF(AND(M361&lt;&gt;"En ejecución",L361=""),"Falta fecha de terminación; ","")&amp;IF(AND(K361&lt;&gt;"",L361&lt;&gt;"",L361&lt;K361),"Terminación anterior al inicio; ","")&amp;IF(M361="","Falta estado; ","")&amp;IF(OR(P361="",P361&lt;=0),"Falta valor del contrato; ","")&amp;IF(AND(M361="En ejecución",Q361=""),"En ejecución sin valor ejecutado; ","")&amp;IF(AND(M361="En ejecución",L361&lt;&gt;"",L361&lt;TODAY()),"Dice en ejecución pero su terminación ya pasó; ","")&amp;IF(M361="En ejecución","En ejecución: no acredita experiencia; ","")&amp;IF(AND(M361&lt;&gt;"En ejecución",L361&lt;&gt;"",X361&lt;&gt;"",Y361=""),"El año no está en la hoja SMMLV; ","")&amp;IF(AND(B361&lt;&gt;"",COUNTIFS($B$2:$B$601,B361,$C$2:$C$601,C361)&gt;1),"Posible duplicado (mismo número y entidad); ","")&amp;IF(COUNTIF(PARTICIPACIONES!$A$2:$A$601,A361)=0,"Sin participaciones; ","")&amp;IF(SUMIFS(PARTICIPACIONES!$E$2:$E$601,PARTICIPACIONES!$A$2:$A$601,A361)&gt;1.0001,"Las participaciones suman más de 100 %; ",""))</f>
        <v/>
      </c>
    </row>
    <row r="362">
      <c r="J362" s="15" t="n"/>
      <c r="K362" s="15" t="n"/>
      <c r="L362" s="15" t="n"/>
      <c r="N362" s="15" t="n"/>
      <c r="O362" s="16" t="n"/>
      <c r="P362" s="16" t="n"/>
      <c r="Q362" s="16" t="n"/>
      <c r="W362" s="12">
        <f>IF(AND(K362&lt;&gt;"",L362&lt;&gt;""),ROUND((L362-K362)/30.4375,1),"")</f>
        <v/>
      </c>
      <c r="X362" s="12">
        <f>IF(OR(A362="",M362="En ejecución",L362=""),"",YEAR(L362))</f>
        <v/>
      </c>
      <c r="Y362" s="13">
        <f>IF(X362="","",IFERROR(VLOOKUP(X362,SMMLV!$A$2:$B$38,2,FALSE),""))</f>
        <v/>
      </c>
      <c r="Z362" s="17">
        <f>IF(OR(Y362="",P362=""),"",ROUND(P362/Y362,2))</f>
        <v/>
      </c>
      <c r="AA362" s="13">
        <f>IF(Z362="","",ROUND(Z362*SMMLV!$E$4,0))</f>
        <v/>
      </c>
      <c r="AB362" s="13">
        <f>IF(AND(M362="En ejecución",P362&lt;&gt;"",Q362&lt;&gt;""),MAX(P362-Q362,0),"")</f>
        <v/>
      </c>
      <c r="AC362" s="12">
        <f>IF(A362="","",IF(B362="","Falta número de contrato; ","")&amp;IF(C362="","Falta entidad; ","")&amp;IF(E362="","Falta objeto; ","")&amp;IF(F362="","Falta especialidad; ","")&amp;IF(K362="","Falta fecha de inicio (recomendada); ","")&amp;IF(AND(M362&lt;&gt;"En ejecución",L362=""),"Falta fecha de terminación; ","")&amp;IF(AND(K362&lt;&gt;"",L362&lt;&gt;"",L362&lt;K362),"Terminación anterior al inicio; ","")&amp;IF(M362="","Falta estado; ","")&amp;IF(OR(P362="",P362&lt;=0),"Falta valor del contrato; ","")&amp;IF(AND(M362="En ejecución",Q362=""),"En ejecución sin valor ejecutado; ","")&amp;IF(AND(M362="En ejecución",L362&lt;&gt;"",L362&lt;TODAY()),"Dice en ejecución pero su terminación ya pasó; ","")&amp;IF(M362="En ejecución","En ejecución: no acredita experiencia; ","")&amp;IF(AND(M362&lt;&gt;"En ejecución",L362&lt;&gt;"",X362&lt;&gt;"",Y362=""),"El año no está en la hoja SMMLV; ","")&amp;IF(AND(B362&lt;&gt;"",COUNTIFS($B$2:$B$601,B362,$C$2:$C$601,C362)&gt;1),"Posible duplicado (mismo número y entidad); ","")&amp;IF(COUNTIF(PARTICIPACIONES!$A$2:$A$601,A362)=0,"Sin participaciones; ","")&amp;IF(SUMIFS(PARTICIPACIONES!$E$2:$E$601,PARTICIPACIONES!$A$2:$A$601,A362)&gt;1.0001,"Las participaciones suman más de 100 %; ",""))</f>
        <v/>
      </c>
    </row>
    <row r="363">
      <c r="J363" s="15" t="n"/>
      <c r="K363" s="15" t="n"/>
      <c r="L363" s="15" t="n"/>
      <c r="N363" s="15" t="n"/>
      <c r="O363" s="16" t="n"/>
      <c r="P363" s="16" t="n"/>
      <c r="Q363" s="16" t="n"/>
      <c r="W363" s="12">
        <f>IF(AND(K363&lt;&gt;"",L363&lt;&gt;""),ROUND((L363-K363)/30.4375,1),"")</f>
        <v/>
      </c>
      <c r="X363" s="12">
        <f>IF(OR(A363="",M363="En ejecución",L363=""),"",YEAR(L363))</f>
        <v/>
      </c>
      <c r="Y363" s="13">
        <f>IF(X363="","",IFERROR(VLOOKUP(X363,SMMLV!$A$2:$B$38,2,FALSE),""))</f>
        <v/>
      </c>
      <c r="Z363" s="17">
        <f>IF(OR(Y363="",P363=""),"",ROUND(P363/Y363,2))</f>
        <v/>
      </c>
      <c r="AA363" s="13">
        <f>IF(Z363="","",ROUND(Z363*SMMLV!$E$4,0))</f>
        <v/>
      </c>
      <c r="AB363" s="13">
        <f>IF(AND(M363="En ejecución",P363&lt;&gt;"",Q363&lt;&gt;""),MAX(P363-Q363,0),"")</f>
        <v/>
      </c>
      <c r="AC363" s="12">
        <f>IF(A363="","",IF(B363="","Falta número de contrato; ","")&amp;IF(C363="","Falta entidad; ","")&amp;IF(E363="","Falta objeto; ","")&amp;IF(F363="","Falta especialidad; ","")&amp;IF(K363="","Falta fecha de inicio (recomendada); ","")&amp;IF(AND(M363&lt;&gt;"En ejecución",L363=""),"Falta fecha de terminación; ","")&amp;IF(AND(K363&lt;&gt;"",L363&lt;&gt;"",L363&lt;K363),"Terminación anterior al inicio; ","")&amp;IF(M363="","Falta estado; ","")&amp;IF(OR(P363="",P363&lt;=0),"Falta valor del contrato; ","")&amp;IF(AND(M363="En ejecución",Q363=""),"En ejecución sin valor ejecutado; ","")&amp;IF(AND(M363="En ejecución",L363&lt;&gt;"",L363&lt;TODAY()),"Dice en ejecución pero su terminación ya pasó; ","")&amp;IF(M363="En ejecución","En ejecución: no acredita experiencia; ","")&amp;IF(AND(M363&lt;&gt;"En ejecución",L363&lt;&gt;"",X363&lt;&gt;"",Y363=""),"El año no está en la hoja SMMLV; ","")&amp;IF(AND(B363&lt;&gt;"",COUNTIFS($B$2:$B$601,B363,$C$2:$C$601,C363)&gt;1),"Posible duplicado (mismo número y entidad); ","")&amp;IF(COUNTIF(PARTICIPACIONES!$A$2:$A$601,A363)=0,"Sin participaciones; ","")&amp;IF(SUMIFS(PARTICIPACIONES!$E$2:$E$601,PARTICIPACIONES!$A$2:$A$601,A363)&gt;1.0001,"Las participaciones suman más de 100 %; ",""))</f>
        <v/>
      </c>
    </row>
    <row r="364">
      <c r="J364" s="15" t="n"/>
      <c r="K364" s="15" t="n"/>
      <c r="L364" s="15" t="n"/>
      <c r="N364" s="15" t="n"/>
      <c r="O364" s="16" t="n"/>
      <c r="P364" s="16" t="n"/>
      <c r="Q364" s="16" t="n"/>
      <c r="W364" s="12">
        <f>IF(AND(K364&lt;&gt;"",L364&lt;&gt;""),ROUND((L364-K364)/30.4375,1),"")</f>
        <v/>
      </c>
      <c r="X364" s="12">
        <f>IF(OR(A364="",M364="En ejecución",L364=""),"",YEAR(L364))</f>
        <v/>
      </c>
      <c r="Y364" s="13">
        <f>IF(X364="","",IFERROR(VLOOKUP(X364,SMMLV!$A$2:$B$38,2,FALSE),""))</f>
        <v/>
      </c>
      <c r="Z364" s="17">
        <f>IF(OR(Y364="",P364=""),"",ROUND(P364/Y364,2))</f>
        <v/>
      </c>
      <c r="AA364" s="13">
        <f>IF(Z364="","",ROUND(Z364*SMMLV!$E$4,0))</f>
        <v/>
      </c>
      <c r="AB364" s="13">
        <f>IF(AND(M364="En ejecución",P364&lt;&gt;"",Q364&lt;&gt;""),MAX(P364-Q364,0),"")</f>
        <v/>
      </c>
      <c r="AC364" s="12">
        <f>IF(A364="","",IF(B364="","Falta número de contrato; ","")&amp;IF(C364="","Falta entidad; ","")&amp;IF(E364="","Falta objeto; ","")&amp;IF(F364="","Falta especialidad; ","")&amp;IF(K364="","Falta fecha de inicio (recomendada); ","")&amp;IF(AND(M364&lt;&gt;"En ejecución",L364=""),"Falta fecha de terminación; ","")&amp;IF(AND(K364&lt;&gt;"",L364&lt;&gt;"",L364&lt;K364),"Terminación anterior al inicio; ","")&amp;IF(M364="","Falta estado; ","")&amp;IF(OR(P364="",P364&lt;=0),"Falta valor del contrato; ","")&amp;IF(AND(M364="En ejecución",Q364=""),"En ejecución sin valor ejecutado; ","")&amp;IF(AND(M364="En ejecución",L364&lt;&gt;"",L364&lt;TODAY()),"Dice en ejecución pero su terminación ya pasó; ","")&amp;IF(M364="En ejecución","En ejecución: no acredita experiencia; ","")&amp;IF(AND(M364&lt;&gt;"En ejecución",L364&lt;&gt;"",X364&lt;&gt;"",Y364=""),"El año no está en la hoja SMMLV; ","")&amp;IF(AND(B364&lt;&gt;"",COUNTIFS($B$2:$B$601,B364,$C$2:$C$601,C364)&gt;1),"Posible duplicado (mismo número y entidad); ","")&amp;IF(COUNTIF(PARTICIPACIONES!$A$2:$A$601,A364)=0,"Sin participaciones; ","")&amp;IF(SUMIFS(PARTICIPACIONES!$E$2:$E$601,PARTICIPACIONES!$A$2:$A$601,A364)&gt;1.0001,"Las participaciones suman más de 100 %; ",""))</f>
        <v/>
      </c>
    </row>
    <row r="365">
      <c r="J365" s="15" t="n"/>
      <c r="K365" s="15" t="n"/>
      <c r="L365" s="15" t="n"/>
      <c r="N365" s="15" t="n"/>
      <c r="O365" s="16" t="n"/>
      <c r="P365" s="16" t="n"/>
      <c r="Q365" s="16" t="n"/>
      <c r="W365" s="12">
        <f>IF(AND(K365&lt;&gt;"",L365&lt;&gt;""),ROUND((L365-K365)/30.4375,1),"")</f>
        <v/>
      </c>
      <c r="X365" s="12">
        <f>IF(OR(A365="",M365="En ejecución",L365=""),"",YEAR(L365))</f>
        <v/>
      </c>
      <c r="Y365" s="13">
        <f>IF(X365="","",IFERROR(VLOOKUP(X365,SMMLV!$A$2:$B$38,2,FALSE),""))</f>
        <v/>
      </c>
      <c r="Z365" s="17">
        <f>IF(OR(Y365="",P365=""),"",ROUND(P365/Y365,2))</f>
        <v/>
      </c>
      <c r="AA365" s="13">
        <f>IF(Z365="","",ROUND(Z365*SMMLV!$E$4,0))</f>
        <v/>
      </c>
      <c r="AB365" s="13">
        <f>IF(AND(M365="En ejecución",P365&lt;&gt;"",Q365&lt;&gt;""),MAX(P365-Q365,0),"")</f>
        <v/>
      </c>
      <c r="AC365" s="12">
        <f>IF(A365="","",IF(B365="","Falta número de contrato; ","")&amp;IF(C365="","Falta entidad; ","")&amp;IF(E365="","Falta objeto; ","")&amp;IF(F365="","Falta especialidad; ","")&amp;IF(K365="","Falta fecha de inicio (recomendada); ","")&amp;IF(AND(M365&lt;&gt;"En ejecución",L365=""),"Falta fecha de terminación; ","")&amp;IF(AND(K365&lt;&gt;"",L365&lt;&gt;"",L365&lt;K365),"Terminación anterior al inicio; ","")&amp;IF(M365="","Falta estado; ","")&amp;IF(OR(P365="",P365&lt;=0),"Falta valor del contrato; ","")&amp;IF(AND(M365="En ejecución",Q365=""),"En ejecución sin valor ejecutado; ","")&amp;IF(AND(M365="En ejecución",L365&lt;&gt;"",L365&lt;TODAY()),"Dice en ejecución pero su terminación ya pasó; ","")&amp;IF(M365="En ejecución","En ejecución: no acredita experiencia; ","")&amp;IF(AND(M365&lt;&gt;"En ejecución",L365&lt;&gt;"",X365&lt;&gt;"",Y365=""),"El año no está en la hoja SMMLV; ","")&amp;IF(AND(B365&lt;&gt;"",COUNTIFS($B$2:$B$601,B365,$C$2:$C$601,C365)&gt;1),"Posible duplicado (mismo número y entidad); ","")&amp;IF(COUNTIF(PARTICIPACIONES!$A$2:$A$601,A365)=0,"Sin participaciones; ","")&amp;IF(SUMIFS(PARTICIPACIONES!$E$2:$E$601,PARTICIPACIONES!$A$2:$A$601,A365)&gt;1.0001,"Las participaciones suman más de 100 %; ",""))</f>
        <v/>
      </c>
    </row>
    <row r="366">
      <c r="J366" s="15" t="n"/>
      <c r="K366" s="15" t="n"/>
      <c r="L366" s="15" t="n"/>
      <c r="N366" s="15" t="n"/>
      <c r="O366" s="16" t="n"/>
      <c r="P366" s="16" t="n"/>
      <c r="Q366" s="16" t="n"/>
      <c r="W366" s="12">
        <f>IF(AND(K366&lt;&gt;"",L366&lt;&gt;""),ROUND((L366-K366)/30.4375,1),"")</f>
        <v/>
      </c>
      <c r="X366" s="12">
        <f>IF(OR(A366="",M366="En ejecución",L366=""),"",YEAR(L366))</f>
        <v/>
      </c>
      <c r="Y366" s="13">
        <f>IF(X366="","",IFERROR(VLOOKUP(X366,SMMLV!$A$2:$B$38,2,FALSE),""))</f>
        <v/>
      </c>
      <c r="Z366" s="17">
        <f>IF(OR(Y366="",P366=""),"",ROUND(P366/Y366,2))</f>
        <v/>
      </c>
      <c r="AA366" s="13">
        <f>IF(Z366="","",ROUND(Z366*SMMLV!$E$4,0))</f>
        <v/>
      </c>
      <c r="AB366" s="13">
        <f>IF(AND(M366="En ejecución",P366&lt;&gt;"",Q366&lt;&gt;""),MAX(P366-Q366,0),"")</f>
        <v/>
      </c>
      <c r="AC366" s="12">
        <f>IF(A366="","",IF(B366="","Falta número de contrato; ","")&amp;IF(C366="","Falta entidad; ","")&amp;IF(E366="","Falta objeto; ","")&amp;IF(F366="","Falta especialidad; ","")&amp;IF(K366="","Falta fecha de inicio (recomendada); ","")&amp;IF(AND(M366&lt;&gt;"En ejecución",L366=""),"Falta fecha de terminación; ","")&amp;IF(AND(K366&lt;&gt;"",L366&lt;&gt;"",L366&lt;K366),"Terminación anterior al inicio; ","")&amp;IF(M366="","Falta estado; ","")&amp;IF(OR(P366="",P366&lt;=0),"Falta valor del contrato; ","")&amp;IF(AND(M366="En ejecución",Q366=""),"En ejecución sin valor ejecutado; ","")&amp;IF(AND(M366="En ejecución",L366&lt;&gt;"",L366&lt;TODAY()),"Dice en ejecución pero su terminación ya pasó; ","")&amp;IF(M366="En ejecución","En ejecución: no acredita experiencia; ","")&amp;IF(AND(M366&lt;&gt;"En ejecución",L366&lt;&gt;"",X366&lt;&gt;"",Y366=""),"El año no está en la hoja SMMLV; ","")&amp;IF(AND(B366&lt;&gt;"",COUNTIFS($B$2:$B$601,B366,$C$2:$C$601,C366)&gt;1),"Posible duplicado (mismo número y entidad); ","")&amp;IF(COUNTIF(PARTICIPACIONES!$A$2:$A$601,A366)=0,"Sin participaciones; ","")&amp;IF(SUMIFS(PARTICIPACIONES!$E$2:$E$601,PARTICIPACIONES!$A$2:$A$601,A366)&gt;1.0001,"Las participaciones suman más de 100 %; ",""))</f>
        <v/>
      </c>
    </row>
    <row r="367">
      <c r="J367" s="15" t="n"/>
      <c r="K367" s="15" t="n"/>
      <c r="L367" s="15" t="n"/>
      <c r="N367" s="15" t="n"/>
      <c r="O367" s="16" t="n"/>
      <c r="P367" s="16" t="n"/>
      <c r="Q367" s="16" t="n"/>
      <c r="W367" s="12">
        <f>IF(AND(K367&lt;&gt;"",L367&lt;&gt;""),ROUND((L367-K367)/30.4375,1),"")</f>
        <v/>
      </c>
      <c r="X367" s="12">
        <f>IF(OR(A367="",M367="En ejecución",L367=""),"",YEAR(L367))</f>
        <v/>
      </c>
      <c r="Y367" s="13">
        <f>IF(X367="","",IFERROR(VLOOKUP(X367,SMMLV!$A$2:$B$38,2,FALSE),""))</f>
        <v/>
      </c>
      <c r="Z367" s="17">
        <f>IF(OR(Y367="",P367=""),"",ROUND(P367/Y367,2))</f>
        <v/>
      </c>
      <c r="AA367" s="13">
        <f>IF(Z367="","",ROUND(Z367*SMMLV!$E$4,0))</f>
        <v/>
      </c>
      <c r="AB367" s="13">
        <f>IF(AND(M367="En ejecución",P367&lt;&gt;"",Q367&lt;&gt;""),MAX(P367-Q367,0),"")</f>
        <v/>
      </c>
      <c r="AC367" s="12">
        <f>IF(A367="","",IF(B367="","Falta número de contrato; ","")&amp;IF(C367="","Falta entidad; ","")&amp;IF(E367="","Falta objeto; ","")&amp;IF(F367="","Falta especialidad; ","")&amp;IF(K367="","Falta fecha de inicio (recomendada); ","")&amp;IF(AND(M367&lt;&gt;"En ejecución",L367=""),"Falta fecha de terminación; ","")&amp;IF(AND(K367&lt;&gt;"",L367&lt;&gt;"",L367&lt;K367),"Terminación anterior al inicio; ","")&amp;IF(M367="","Falta estado; ","")&amp;IF(OR(P367="",P367&lt;=0),"Falta valor del contrato; ","")&amp;IF(AND(M367="En ejecución",Q367=""),"En ejecución sin valor ejecutado; ","")&amp;IF(AND(M367="En ejecución",L367&lt;&gt;"",L367&lt;TODAY()),"Dice en ejecución pero su terminación ya pasó; ","")&amp;IF(M367="En ejecución","En ejecución: no acredita experiencia; ","")&amp;IF(AND(M367&lt;&gt;"En ejecución",L367&lt;&gt;"",X367&lt;&gt;"",Y367=""),"El año no está en la hoja SMMLV; ","")&amp;IF(AND(B367&lt;&gt;"",COUNTIFS($B$2:$B$601,B367,$C$2:$C$601,C367)&gt;1),"Posible duplicado (mismo número y entidad); ","")&amp;IF(COUNTIF(PARTICIPACIONES!$A$2:$A$601,A367)=0,"Sin participaciones; ","")&amp;IF(SUMIFS(PARTICIPACIONES!$E$2:$E$601,PARTICIPACIONES!$A$2:$A$601,A367)&gt;1.0001,"Las participaciones suman más de 100 %; ",""))</f>
        <v/>
      </c>
    </row>
    <row r="368">
      <c r="J368" s="15" t="n"/>
      <c r="K368" s="15" t="n"/>
      <c r="L368" s="15" t="n"/>
      <c r="N368" s="15" t="n"/>
      <c r="O368" s="16" t="n"/>
      <c r="P368" s="16" t="n"/>
      <c r="Q368" s="16" t="n"/>
      <c r="W368" s="12">
        <f>IF(AND(K368&lt;&gt;"",L368&lt;&gt;""),ROUND((L368-K368)/30.4375,1),"")</f>
        <v/>
      </c>
      <c r="X368" s="12">
        <f>IF(OR(A368="",M368="En ejecución",L368=""),"",YEAR(L368))</f>
        <v/>
      </c>
      <c r="Y368" s="13">
        <f>IF(X368="","",IFERROR(VLOOKUP(X368,SMMLV!$A$2:$B$38,2,FALSE),""))</f>
        <v/>
      </c>
      <c r="Z368" s="17">
        <f>IF(OR(Y368="",P368=""),"",ROUND(P368/Y368,2))</f>
        <v/>
      </c>
      <c r="AA368" s="13">
        <f>IF(Z368="","",ROUND(Z368*SMMLV!$E$4,0))</f>
        <v/>
      </c>
      <c r="AB368" s="13">
        <f>IF(AND(M368="En ejecución",P368&lt;&gt;"",Q368&lt;&gt;""),MAX(P368-Q368,0),"")</f>
        <v/>
      </c>
      <c r="AC368" s="12">
        <f>IF(A368="","",IF(B368="","Falta número de contrato; ","")&amp;IF(C368="","Falta entidad; ","")&amp;IF(E368="","Falta objeto; ","")&amp;IF(F368="","Falta especialidad; ","")&amp;IF(K368="","Falta fecha de inicio (recomendada); ","")&amp;IF(AND(M368&lt;&gt;"En ejecución",L368=""),"Falta fecha de terminación; ","")&amp;IF(AND(K368&lt;&gt;"",L368&lt;&gt;"",L368&lt;K368),"Terminación anterior al inicio; ","")&amp;IF(M368="","Falta estado; ","")&amp;IF(OR(P368="",P368&lt;=0),"Falta valor del contrato; ","")&amp;IF(AND(M368="En ejecución",Q368=""),"En ejecución sin valor ejecutado; ","")&amp;IF(AND(M368="En ejecución",L368&lt;&gt;"",L368&lt;TODAY()),"Dice en ejecución pero su terminación ya pasó; ","")&amp;IF(M368="En ejecución","En ejecución: no acredita experiencia; ","")&amp;IF(AND(M368&lt;&gt;"En ejecución",L368&lt;&gt;"",X368&lt;&gt;"",Y368=""),"El año no está en la hoja SMMLV; ","")&amp;IF(AND(B368&lt;&gt;"",COUNTIFS($B$2:$B$601,B368,$C$2:$C$601,C368)&gt;1),"Posible duplicado (mismo número y entidad); ","")&amp;IF(COUNTIF(PARTICIPACIONES!$A$2:$A$601,A368)=0,"Sin participaciones; ","")&amp;IF(SUMIFS(PARTICIPACIONES!$E$2:$E$601,PARTICIPACIONES!$A$2:$A$601,A368)&gt;1.0001,"Las participaciones suman más de 100 %; ",""))</f>
        <v/>
      </c>
    </row>
    <row r="369">
      <c r="J369" s="15" t="n"/>
      <c r="K369" s="15" t="n"/>
      <c r="L369" s="15" t="n"/>
      <c r="N369" s="15" t="n"/>
      <c r="O369" s="16" t="n"/>
      <c r="P369" s="16" t="n"/>
      <c r="Q369" s="16" t="n"/>
      <c r="W369" s="12">
        <f>IF(AND(K369&lt;&gt;"",L369&lt;&gt;""),ROUND((L369-K369)/30.4375,1),"")</f>
        <v/>
      </c>
      <c r="X369" s="12">
        <f>IF(OR(A369="",M369="En ejecución",L369=""),"",YEAR(L369))</f>
        <v/>
      </c>
      <c r="Y369" s="13">
        <f>IF(X369="","",IFERROR(VLOOKUP(X369,SMMLV!$A$2:$B$38,2,FALSE),""))</f>
        <v/>
      </c>
      <c r="Z369" s="17">
        <f>IF(OR(Y369="",P369=""),"",ROUND(P369/Y369,2))</f>
        <v/>
      </c>
      <c r="AA369" s="13">
        <f>IF(Z369="","",ROUND(Z369*SMMLV!$E$4,0))</f>
        <v/>
      </c>
      <c r="AB369" s="13">
        <f>IF(AND(M369="En ejecución",P369&lt;&gt;"",Q369&lt;&gt;""),MAX(P369-Q369,0),"")</f>
        <v/>
      </c>
      <c r="AC369" s="12">
        <f>IF(A369="","",IF(B369="","Falta número de contrato; ","")&amp;IF(C369="","Falta entidad; ","")&amp;IF(E369="","Falta objeto; ","")&amp;IF(F369="","Falta especialidad; ","")&amp;IF(K369="","Falta fecha de inicio (recomendada); ","")&amp;IF(AND(M369&lt;&gt;"En ejecución",L369=""),"Falta fecha de terminación; ","")&amp;IF(AND(K369&lt;&gt;"",L369&lt;&gt;"",L369&lt;K369),"Terminación anterior al inicio; ","")&amp;IF(M369="","Falta estado; ","")&amp;IF(OR(P369="",P369&lt;=0),"Falta valor del contrato; ","")&amp;IF(AND(M369="En ejecución",Q369=""),"En ejecución sin valor ejecutado; ","")&amp;IF(AND(M369="En ejecución",L369&lt;&gt;"",L369&lt;TODAY()),"Dice en ejecución pero su terminación ya pasó; ","")&amp;IF(M369="En ejecución","En ejecución: no acredita experiencia; ","")&amp;IF(AND(M369&lt;&gt;"En ejecución",L369&lt;&gt;"",X369&lt;&gt;"",Y369=""),"El año no está en la hoja SMMLV; ","")&amp;IF(AND(B369&lt;&gt;"",COUNTIFS($B$2:$B$601,B369,$C$2:$C$601,C369)&gt;1),"Posible duplicado (mismo número y entidad); ","")&amp;IF(COUNTIF(PARTICIPACIONES!$A$2:$A$601,A369)=0,"Sin participaciones; ","")&amp;IF(SUMIFS(PARTICIPACIONES!$E$2:$E$601,PARTICIPACIONES!$A$2:$A$601,A369)&gt;1.0001,"Las participaciones suman más de 100 %; ",""))</f>
        <v/>
      </c>
    </row>
    <row r="370">
      <c r="J370" s="15" t="n"/>
      <c r="K370" s="15" t="n"/>
      <c r="L370" s="15" t="n"/>
      <c r="N370" s="15" t="n"/>
      <c r="O370" s="16" t="n"/>
      <c r="P370" s="16" t="n"/>
      <c r="Q370" s="16" t="n"/>
      <c r="W370" s="12">
        <f>IF(AND(K370&lt;&gt;"",L370&lt;&gt;""),ROUND((L370-K370)/30.4375,1),"")</f>
        <v/>
      </c>
      <c r="X370" s="12">
        <f>IF(OR(A370="",M370="En ejecución",L370=""),"",YEAR(L370))</f>
        <v/>
      </c>
      <c r="Y370" s="13">
        <f>IF(X370="","",IFERROR(VLOOKUP(X370,SMMLV!$A$2:$B$38,2,FALSE),""))</f>
        <v/>
      </c>
      <c r="Z370" s="17">
        <f>IF(OR(Y370="",P370=""),"",ROUND(P370/Y370,2))</f>
        <v/>
      </c>
      <c r="AA370" s="13">
        <f>IF(Z370="","",ROUND(Z370*SMMLV!$E$4,0))</f>
        <v/>
      </c>
      <c r="AB370" s="13">
        <f>IF(AND(M370="En ejecución",P370&lt;&gt;"",Q370&lt;&gt;""),MAX(P370-Q370,0),"")</f>
        <v/>
      </c>
      <c r="AC370" s="12">
        <f>IF(A370="","",IF(B370="","Falta número de contrato; ","")&amp;IF(C370="","Falta entidad; ","")&amp;IF(E370="","Falta objeto; ","")&amp;IF(F370="","Falta especialidad; ","")&amp;IF(K370="","Falta fecha de inicio (recomendada); ","")&amp;IF(AND(M370&lt;&gt;"En ejecución",L370=""),"Falta fecha de terminación; ","")&amp;IF(AND(K370&lt;&gt;"",L370&lt;&gt;"",L370&lt;K370),"Terminación anterior al inicio; ","")&amp;IF(M370="","Falta estado; ","")&amp;IF(OR(P370="",P370&lt;=0),"Falta valor del contrato; ","")&amp;IF(AND(M370="En ejecución",Q370=""),"En ejecución sin valor ejecutado; ","")&amp;IF(AND(M370="En ejecución",L370&lt;&gt;"",L370&lt;TODAY()),"Dice en ejecución pero su terminación ya pasó; ","")&amp;IF(M370="En ejecución","En ejecución: no acredita experiencia; ","")&amp;IF(AND(M370&lt;&gt;"En ejecución",L370&lt;&gt;"",X370&lt;&gt;"",Y370=""),"El año no está en la hoja SMMLV; ","")&amp;IF(AND(B370&lt;&gt;"",COUNTIFS($B$2:$B$601,B370,$C$2:$C$601,C370)&gt;1),"Posible duplicado (mismo número y entidad); ","")&amp;IF(COUNTIF(PARTICIPACIONES!$A$2:$A$601,A370)=0,"Sin participaciones; ","")&amp;IF(SUMIFS(PARTICIPACIONES!$E$2:$E$601,PARTICIPACIONES!$A$2:$A$601,A370)&gt;1.0001,"Las participaciones suman más de 100 %; ",""))</f>
        <v/>
      </c>
    </row>
    <row r="371">
      <c r="J371" s="15" t="n"/>
      <c r="K371" s="15" t="n"/>
      <c r="L371" s="15" t="n"/>
      <c r="N371" s="15" t="n"/>
      <c r="O371" s="16" t="n"/>
      <c r="P371" s="16" t="n"/>
      <c r="Q371" s="16" t="n"/>
      <c r="W371" s="12">
        <f>IF(AND(K371&lt;&gt;"",L371&lt;&gt;""),ROUND((L371-K371)/30.4375,1),"")</f>
        <v/>
      </c>
      <c r="X371" s="12">
        <f>IF(OR(A371="",M371="En ejecución",L371=""),"",YEAR(L371))</f>
        <v/>
      </c>
      <c r="Y371" s="13">
        <f>IF(X371="","",IFERROR(VLOOKUP(X371,SMMLV!$A$2:$B$38,2,FALSE),""))</f>
        <v/>
      </c>
      <c r="Z371" s="17">
        <f>IF(OR(Y371="",P371=""),"",ROUND(P371/Y371,2))</f>
        <v/>
      </c>
      <c r="AA371" s="13">
        <f>IF(Z371="","",ROUND(Z371*SMMLV!$E$4,0))</f>
        <v/>
      </c>
      <c r="AB371" s="13">
        <f>IF(AND(M371="En ejecución",P371&lt;&gt;"",Q371&lt;&gt;""),MAX(P371-Q371,0),"")</f>
        <v/>
      </c>
      <c r="AC371" s="12">
        <f>IF(A371="","",IF(B371="","Falta número de contrato; ","")&amp;IF(C371="","Falta entidad; ","")&amp;IF(E371="","Falta objeto; ","")&amp;IF(F371="","Falta especialidad; ","")&amp;IF(K371="","Falta fecha de inicio (recomendada); ","")&amp;IF(AND(M371&lt;&gt;"En ejecución",L371=""),"Falta fecha de terminación; ","")&amp;IF(AND(K371&lt;&gt;"",L371&lt;&gt;"",L371&lt;K371),"Terminación anterior al inicio; ","")&amp;IF(M371="","Falta estado; ","")&amp;IF(OR(P371="",P371&lt;=0),"Falta valor del contrato; ","")&amp;IF(AND(M371="En ejecución",Q371=""),"En ejecución sin valor ejecutado; ","")&amp;IF(AND(M371="En ejecución",L371&lt;&gt;"",L371&lt;TODAY()),"Dice en ejecución pero su terminación ya pasó; ","")&amp;IF(M371="En ejecución","En ejecución: no acredita experiencia; ","")&amp;IF(AND(M371&lt;&gt;"En ejecución",L371&lt;&gt;"",X371&lt;&gt;"",Y371=""),"El año no está en la hoja SMMLV; ","")&amp;IF(AND(B371&lt;&gt;"",COUNTIFS($B$2:$B$601,B371,$C$2:$C$601,C371)&gt;1),"Posible duplicado (mismo número y entidad); ","")&amp;IF(COUNTIF(PARTICIPACIONES!$A$2:$A$601,A371)=0,"Sin participaciones; ","")&amp;IF(SUMIFS(PARTICIPACIONES!$E$2:$E$601,PARTICIPACIONES!$A$2:$A$601,A371)&gt;1.0001,"Las participaciones suman más de 100 %; ",""))</f>
        <v/>
      </c>
    </row>
    <row r="372">
      <c r="J372" s="15" t="n"/>
      <c r="K372" s="15" t="n"/>
      <c r="L372" s="15" t="n"/>
      <c r="N372" s="15" t="n"/>
      <c r="O372" s="16" t="n"/>
      <c r="P372" s="16" t="n"/>
      <c r="Q372" s="16" t="n"/>
      <c r="W372" s="12">
        <f>IF(AND(K372&lt;&gt;"",L372&lt;&gt;""),ROUND((L372-K372)/30.4375,1),"")</f>
        <v/>
      </c>
      <c r="X372" s="12">
        <f>IF(OR(A372="",M372="En ejecución",L372=""),"",YEAR(L372))</f>
        <v/>
      </c>
      <c r="Y372" s="13">
        <f>IF(X372="","",IFERROR(VLOOKUP(X372,SMMLV!$A$2:$B$38,2,FALSE),""))</f>
        <v/>
      </c>
      <c r="Z372" s="17">
        <f>IF(OR(Y372="",P372=""),"",ROUND(P372/Y372,2))</f>
        <v/>
      </c>
      <c r="AA372" s="13">
        <f>IF(Z372="","",ROUND(Z372*SMMLV!$E$4,0))</f>
        <v/>
      </c>
      <c r="AB372" s="13">
        <f>IF(AND(M372="En ejecución",P372&lt;&gt;"",Q372&lt;&gt;""),MAX(P372-Q372,0),"")</f>
        <v/>
      </c>
      <c r="AC372" s="12">
        <f>IF(A372="","",IF(B372="","Falta número de contrato; ","")&amp;IF(C372="","Falta entidad; ","")&amp;IF(E372="","Falta objeto; ","")&amp;IF(F372="","Falta especialidad; ","")&amp;IF(K372="","Falta fecha de inicio (recomendada); ","")&amp;IF(AND(M372&lt;&gt;"En ejecución",L372=""),"Falta fecha de terminación; ","")&amp;IF(AND(K372&lt;&gt;"",L372&lt;&gt;"",L372&lt;K372),"Terminación anterior al inicio; ","")&amp;IF(M372="","Falta estado; ","")&amp;IF(OR(P372="",P372&lt;=0),"Falta valor del contrato; ","")&amp;IF(AND(M372="En ejecución",Q372=""),"En ejecución sin valor ejecutado; ","")&amp;IF(AND(M372="En ejecución",L372&lt;&gt;"",L372&lt;TODAY()),"Dice en ejecución pero su terminación ya pasó; ","")&amp;IF(M372="En ejecución","En ejecución: no acredita experiencia; ","")&amp;IF(AND(M372&lt;&gt;"En ejecución",L372&lt;&gt;"",X372&lt;&gt;"",Y372=""),"El año no está en la hoja SMMLV; ","")&amp;IF(AND(B372&lt;&gt;"",COUNTIFS($B$2:$B$601,B372,$C$2:$C$601,C372)&gt;1),"Posible duplicado (mismo número y entidad); ","")&amp;IF(COUNTIF(PARTICIPACIONES!$A$2:$A$601,A372)=0,"Sin participaciones; ","")&amp;IF(SUMIFS(PARTICIPACIONES!$E$2:$E$601,PARTICIPACIONES!$A$2:$A$601,A372)&gt;1.0001,"Las participaciones suman más de 100 %; ",""))</f>
        <v/>
      </c>
    </row>
    <row r="373">
      <c r="J373" s="15" t="n"/>
      <c r="K373" s="15" t="n"/>
      <c r="L373" s="15" t="n"/>
      <c r="N373" s="15" t="n"/>
      <c r="O373" s="16" t="n"/>
      <c r="P373" s="16" t="n"/>
      <c r="Q373" s="16" t="n"/>
      <c r="W373" s="12">
        <f>IF(AND(K373&lt;&gt;"",L373&lt;&gt;""),ROUND((L373-K373)/30.4375,1),"")</f>
        <v/>
      </c>
      <c r="X373" s="12">
        <f>IF(OR(A373="",M373="En ejecución",L373=""),"",YEAR(L373))</f>
        <v/>
      </c>
      <c r="Y373" s="13">
        <f>IF(X373="","",IFERROR(VLOOKUP(X373,SMMLV!$A$2:$B$38,2,FALSE),""))</f>
        <v/>
      </c>
      <c r="Z373" s="17">
        <f>IF(OR(Y373="",P373=""),"",ROUND(P373/Y373,2))</f>
        <v/>
      </c>
      <c r="AA373" s="13">
        <f>IF(Z373="","",ROUND(Z373*SMMLV!$E$4,0))</f>
        <v/>
      </c>
      <c r="AB373" s="13">
        <f>IF(AND(M373="En ejecución",P373&lt;&gt;"",Q373&lt;&gt;""),MAX(P373-Q373,0),"")</f>
        <v/>
      </c>
      <c r="AC373" s="12">
        <f>IF(A373="","",IF(B373="","Falta número de contrato; ","")&amp;IF(C373="","Falta entidad; ","")&amp;IF(E373="","Falta objeto; ","")&amp;IF(F373="","Falta especialidad; ","")&amp;IF(K373="","Falta fecha de inicio (recomendada); ","")&amp;IF(AND(M373&lt;&gt;"En ejecución",L373=""),"Falta fecha de terminación; ","")&amp;IF(AND(K373&lt;&gt;"",L373&lt;&gt;"",L373&lt;K373),"Terminación anterior al inicio; ","")&amp;IF(M373="","Falta estado; ","")&amp;IF(OR(P373="",P373&lt;=0),"Falta valor del contrato; ","")&amp;IF(AND(M373="En ejecución",Q373=""),"En ejecución sin valor ejecutado; ","")&amp;IF(AND(M373="En ejecución",L373&lt;&gt;"",L373&lt;TODAY()),"Dice en ejecución pero su terminación ya pasó; ","")&amp;IF(M373="En ejecución","En ejecución: no acredita experiencia; ","")&amp;IF(AND(M373&lt;&gt;"En ejecución",L373&lt;&gt;"",X373&lt;&gt;"",Y373=""),"El año no está en la hoja SMMLV; ","")&amp;IF(AND(B373&lt;&gt;"",COUNTIFS($B$2:$B$601,B373,$C$2:$C$601,C373)&gt;1),"Posible duplicado (mismo número y entidad); ","")&amp;IF(COUNTIF(PARTICIPACIONES!$A$2:$A$601,A373)=0,"Sin participaciones; ","")&amp;IF(SUMIFS(PARTICIPACIONES!$E$2:$E$601,PARTICIPACIONES!$A$2:$A$601,A373)&gt;1.0001,"Las participaciones suman más de 100 %; ",""))</f>
        <v/>
      </c>
    </row>
    <row r="374">
      <c r="J374" s="15" t="n"/>
      <c r="K374" s="15" t="n"/>
      <c r="L374" s="15" t="n"/>
      <c r="N374" s="15" t="n"/>
      <c r="O374" s="16" t="n"/>
      <c r="P374" s="16" t="n"/>
      <c r="Q374" s="16" t="n"/>
      <c r="W374" s="12">
        <f>IF(AND(K374&lt;&gt;"",L374&lt;&gt;""),ROUND((L374-K374)/30.4375,1),"")</f>
        <v/>
      </c>
      <c r="X374" s="12">
        <f>IF(OR(A374="",M374="En ejecución",L374=""),"",YEAR(L374))</f>
        <v/>
      </c>
      <c r="Y374" s="13">
        <f>IF(X374="","",IFERROR(VLOOKUP(X374,SMMLV!$A$2:$B$38,2,FALSE),""))</f>
        <v/>
      </c>
      <c r="Z374" s="17">
        <f>IF(OR(Y374="",P374=""),"",ROUND(P374/Y374,2))</f>
        <v/>
      </c>
      <c r="AA374" s="13">
        <f>IF(Z374="","",ROUND(Z374*SMMLV!$E$4,0))</f>
        <v/>
      </c>
      <c r="AB374" s="13">
        <f>IF(AND(M374="En ejecución",P374&lt;&gt;"",Q374&lt;&gt;""),MAX(P374-Q374,0),"")</f>
        <v/>
      </c>
      <c r="AC374" s="12">
        <f>IF(A374="","",IF(B374="","Falta número de contrato; ","")&amp;IF(C374="","Falta entidad; ","")&amp;IF(E374="","Falta objeto; ","")&amp;IF(F374="","Falta especialidad; ","")&amp;IF(K374="","Falta fecha de inicio (recomendada); ","")&amp;IF(AND(M374&lt;&gt;"En ejecución",L374=""),"Falta fecha de terminación; ","")&amp;IF(AND(K374&lt;&gt;"",L374&lt;&gt;"",L374&lt;K374),"Terminación anterior al inicio; ","")&amp;IF(M374="","Falta estado; ","")&amp;IF(OR(P374="",P374&lt;=0),"Falta valor del contrato; ","")&amp;IF(AND(M374="En ejecución",Q374=""),"En ejecución sin valor ejecutado; ","")&amp;IF(AND(M374="En ejecución",L374&lt;&gt;"",L374&lt;TODAY()),"Dice en ejecución pero su terminación ya pasó; ","")&amp;IF(M374="En ejecución","En ejecución: no acredita experiencia; ","")&amp;IF(AND(M374&lt;&gt;"En ejecución",L374&lt;&gt;"",X374&lt;&gt;"",Y374=""),"El año no está en la hoja SMMLV; ","")&amp;IF(AND(B374&lt;&gt;"",COUNTIFS($B$2:$B$601,B374,$C$2:$C$601,C374)&gt;1),"Posible duplicado (mismo número y entidad); ","")&amp;IF(COUNTIF(PARTICIPACIONES!$A$2:$A$601,A374)=0,"Sin participaciones; ","")&amp;IF(SUMIFS(PARTICIPACIONES!$E$2:$E$601,PARTICIPACIONES!$A$2:$A$601,A374)&gt;1.0001,"Las participaciones suman más de 100 %; ",""))</f>
        <v/>
      </c>
    </row>
    <row r="375">
      <c r="J375" s="15" t="n"/>
      <c r="K375" s="15" t="n"/>
      <c r="L375" s="15" t="n"/>
      <c r="N375" s="15" t="n"/>
      <c r="O375" s="16" t="n"/>
      <c r="P375" s="16" t="n"/>
      <c r="Q375" s="16" t="n"/>
      <c r="W375" s="12">
        <f>IF(AND(K375&lt;&gt;"",L375&lt;&gt;""),ROUND((L375-K375)/30.4375,1),"")</f>
        <v/>
      </c>
      <c r="X375" s="12">
        <f>IF(OR(A375="",M375="En ejecución",L375=""),"",YEAR(L375))</f>
        <v/>
      </c>
      <c r="Y375" s="13">
        <f>IF(X375="","",IFERROR(VLOOKUP(X375,SMMLV!$A$2:$B$38,2,FALSE),""))</f>
        <v/>
      </c>
      <c r="Z375" s="17">
        <f>IF(OR(Y375="",P375=""),"",ROUND(P375/Y375,2))</f>
        <v/>
      </c>
      <c r="AA375" s="13">
        <f>IF(Z375="","",ROUND(Z375*SMMLV!$E$4,0))</f>
        <v/>
      </c>
      <c r="AB375" s="13">
        <f>IF(AND(M375="En ejecución",P375&lt;&gt;"",Q375&lt;&gt;""),MAX(P375-Q375,0),"")</f>
        <v/>
      </c>
      <c r="AC375" s="12">
        <f>IF(A375="","",IF(B375="","Falta número de contrato; ","")&amp;IF(C375="","Falta entidad; ","")&amp;IF(E375="","Falta objeto; ","")&amp;IF(F375="","Falta especialidad; ","")&amp;IF(K375="","Falta fecha de inicio (recomendada); ","")&amp;IF(AND(M375&lt;&gt;"En ejecución",L375=""),"Falta fecha de terminación; ","")&amp;IF(AND(K375&lt;&gt;"",L375&lt;&gt;"",L375&lt;K375),"Terminación anterior al inicio; ","")&amp;IF(M375="","Falta estado; ","")&amp;IF(OR(P375="",P375&lt;=0),"Falta valor del contrato; ","")&amp;IF(AND(M375="En ejecución",Q375=""),"En ejecución sin valor ejecutado; ","")&amp;IF(AND(M375="En ejecución",L375&lt;&gt;"",L375&lt;TODAY()),"Dice en ejecución pero su terminación ya pasó; ","")&amp;IF(M375="En ejecución","En ejecución: no acredita experiencia; ","")&amp;IF(AND(M375&lt;&gt;"En ejecución",L375&lt;&gt;"",X375&lt;&gt;"",Y375=""),"El año no está en la hoja SMMLV; ","")&amp;IF(AND(B375&lt;&gt;"",COUNTIFS($B$2:$B$601,B375,$C$2:$C$601,C375)&gt;1),"Posible duplicado (mismo número y entidad); ","")&amp;IF(COUNTIF(PARTICIPACIONES!$A$2:$A$601,A375)=0,"Sin participaciones; ","")&amp;IF(SUMIFS(PARTICIPACIONES!$E$2:$E$601,PARTICIPACIONES!$A$2:$A$601,A375)&gt;1.0001,"Las participaciones suman más de 100 %; ",""))</f>
        <v/>
      </c>
    </row>
    <row r="376">
      <c r="J376" s="15" t="n"/>
      <c r="K376" s="15" t="n"/>
      <c r="L376" s="15" t="n"/>
      <c r="N376" s="15" t="n"/>
      <c r="O376" s="16" t="n"/>
      <c r="P376" s="16" t="n"/>
      <c r="Q376" s="16" t="n"/>
      <c r="W376" s="12">
        <f>IF(AND(K376&lt;&gt;"",L376&lt;&gt;""),ROUND((L376-K376)/30.4375,1),"")</f>
        <v/>
      </c>
      <c r="X376" s="12">
        <f>IF(OR(A376="",M376="En ejecución",L376=""),"",YEAR(L376))</f>
        <v/>
      </c>
      <c r="Y376" s="13">
        <f>IF(X376="","",IFERROR(VLOOKUP(X376,SMMLV!$A$2:$B$38,2,FALSE),""))</f>
        <v/>
      </c>
      <c r="Z376" s="17">
        <f>IF(OR(Y376="",P376=""),"",ROUND(P376/Y376,2))</f>
        <v/>
      </c>
      <c r="AA376" s="13">
        <f>IF(Z376="","",ROUND(Z376*SMMLV!$E$4,0))</f>
        <v/>
      </c>
      <c r="AB376" s="13">
        <f>IF(AND(M376="En ejecución",P376&lt;&gt;"",Q376&lt;&gt;""),MAX(P376-Q376,0),"")</f>
        <v/>
      </c>
      <c r="AC376" s="12">
        <f>IF(A376="","",IF(B376="","Falta número de contrato; ","")&amp;IF(C376="","Falta entidad; ","")&amp;IF(E376="","Falta objeto; ","")&amp;IF(F376="","Falta especialidad; ","")&amp;IF(K376="","Falta fecha de inicio (recomendada); ","")&amp;IF(AND(M376&lt;&gt;"En ejecución",L376=""),"Falta fecha de terminación; ","")&amp;IF(AND(K376&lt;&gt;"",L376&lt;&gt;"",L376&lt;K376),"Terminación anterior al inicio; ","")&amp;IF(M376="","Falta estado; ","")&amp;IF(OR(P376="",P376&lt;=0),"Falta valor del contrato; ","")&amp;IF(AND(M376="En ejecución",Q376=""),"En ejecución sin valor ejecutado; ","")&amp;IF(AND(M376="En ejecución",L376&lt;&gt;"",L376&lt;TODAY()),"Dice en ejecución pero su terminación ya pasó; ","")&amp;IF(M376="En ejecución","En ejecución: no acredita experiencia; ","")&amp;IF(AND(M376&lt;&gt;"En ejecución",L376&lt;&gt;"",X376&lt;&gt;"",Y376=""),"El año no está en la hoja SMMLV; ","")&amp;IF(AND(B376&lt;&gt;"",COUNTIFS($B$2:$B$601,B376,$C$2:$C$601,C376)&gt;1),"Posible duplicado (mismo número y entidad); ","")&amp;IF(COUNTIF(PARTICIPACIONES!$A$2:$A$601,A376)=0,"Sin participaciones; ","")&amp;IF(SUMIFS(PARTICIPACIONES!$E$2:$E$601,PARTICIPACIONES!$A$2:$A$601,A376)&gt;1.0001,"Las participaciones suman más de 100 %; ",""))</f>
        <v/>
      </c>
    </row>
    <row r="377">
      <c r="J377" s="15" t="n"/>
      <c r="K377" s="15" t="n"/>
      <c r="L377" s="15" t="n"/>
      <c r="N377" s="15" t="n"/>
      <c r="O377" s="16" t="n"/>
      <c r="P377" s="16" t="n"/>
      <c r="Q377" s="16" t="n"/>
      <c r="W377" s="12">
        <f>IF(AND(K377&lt;&gt;"",L377&lt;&gt;""),ROUND((L377-K377)/30.4375,1),"")</f>
        <v/>
      </c>
      <c r="X377" s="12">
        <f>IF(OR(A377="",M377="En ejecución",L377=""),"",YEAR(L377))</f>
        <v/>
      </c>
      <c r="Y377" s="13">
        <f>IF(X377="","",IFERROR(VLOOKUP(X377,SMMLV!$A$2:$B$38,2,FALSE),""))</f>
        <v/>
      </c>
      <c r="Z377" s="17">
        <f>IF(OR(Y377="",P377=""),"",ROUND(P377/Y377,2))</f>
        <v/>
      </c>
      <c r="AA377" s="13">
        <f>IF(Z377="","",ROUND(Z377*SMMLV!$E$4,0))</f>
        <v/>
      </c>
      <c r="AB377" s="13">
        <f>IF(AND(M377="En ejecución",P377&lt;&gt;"",Q377&lt;&gt;""),MAX(P377-Q377,0),"")</f>
        <v/>
      </c>
      <c r="AC377" s="12">
        <f>IF(A377="","",IF(B377="","Falta número de contrato; ","")&amp;IF(C377="","Falta entidad; ","")&amp;IF(E377="","Falta objeto; ","")&amp;IF(F377="","Falta especialidad; ","")&amp;IF(K377="","Falta fecha de inicio (recomendada); ","")&amp;IF(AND(M377&lt;&gt;"En ejecución",L377=""),"Falta fecha de terminación; ","")&amp;IF(AND(K377&lt;&gt;"",L377&lt;&gt;"",L377&lt;K377),"Terminación anterior al inicio; ","")&amp;IF(M377="","Falta estado; ","")&amp;IF(OR(P377="",P377&lt;=0),"Falta valor del contrato; ","")&amp;IF(AND(M377="En ejecución",Q377=""),"En ejecución sin valor ejecutado; ","")&amp;IF(AND(M377="En ejecución",L377&lt;&gt;"",L377&lt;TODAY()),"Dice en ejecución pero su terminación ya pasó; ","")&amp;IF(M377="En ejecución","En ejecución: no acredita experiencia; ","")&amp;IF(AND(M377&lt;&gt;"En ejecución",L377&lt;&gt;"",X377&lt;&gt;"",Y377=""),"El año no está en la hoja SMMLV; ","")&amp;IF(AND(B377&lt;&gt;"",COUNTIFS($B$2:$B$601,B377,$C$2:$C$601,C377)&gt;1),"Posible duplicado (mismo número y entidad); ","")&amp;IF(COUNTIF(PARTICIPACIONES!$A$2:$A$601,A377)=0,"Sin participaciones; ","")&amp;IF(SUMIFS(PARTICIPACIONES!$E$2:$E$601,PARTICIPACIONES!$A$2:$A$601,A377)&gt;1.0001,"Las participaciones suman más de 100 %; ",""))</f>
        <v/>
      </c>
    </row>
    <row r="378">
      <c r="J378" s="15" t="n"/>
      <c r="K378" s="15" t="n"/>
      <c r="L378" s="15" t="n"/>
      <c r="N378" s="15" t="n"/>
      <c r="O378" s="16" t="n"/>
      <c r="P378" s="16" t="n"/>
      <c r="Q378" s="16" t="n"/>
      <c r="W378" s="12">
        <f>IF(AND(K378&lt;&gt;"",L378&lt;&gt;""),ROUND((L378-K378)/30.4375,1),"")</f>
        <v/>
      </c>
      <c r="X378" s="12">
        <f>IF(OR(A378="",M378="En ejecución",L378=""),"",YEAR(L378))</f>
        <v/>
      </c>
      <c r="Y378" s="13">
        <f>IF(X378="","",IFERROR(VLOOKUP(X378,SMMLV!$A$2:$B$38,2,FALSE),""))</f>
        <v/>
      </c>
      <c r="Z378" s="17">
        <f>IF(OR(Y378="",P378=""),"",ROUND(P378/Y378,2))</f>
        <v/>
      </c>
      <c r="AA378" s="13">
        <f>IF(Z378="","",ROUND(Z378*SMMLV!$E$4,0))</f>
        <v/>
      </c>
      <c r="AB378" s="13">
        <f>IF(AND(M378="En ejecución",P378&lt;&gt;"",Q378&lt;&gt;""),MAX(P378-Q378,0),"")</f>
        <v/>
      </c>
      <c r="AC378" s="12">
        <f>IF(A378="","",IF(B378="","Falta número de contrato; ","")&amp;IF(C378="","Falta entidad; ","")&amp;IF(E378="","Falta objeto; ","")&amp;IF(F378="","Falta especialidad; ","")&amp;IF(K378="","Falta fecha de inicio (recomendada); ","")&amp;IF(AND(M378&lt;&gt;"En ejecución",L378=""),"Falta fecha de terminación; ","")&amp;IF(AND(K378&lt;&gt;"",L378&lt;&gt;"",L378&lt;K378),"Terminación anterior al inicio; ","")&amp;IF(M378="","Falta estado; ","")&amp;IF(OR(P378="",P378&lt;=0),"Falta valor del contrato; ","")&amp;IF(AND(M378="En ejecución",Q378=""),"En ejecución sin valor ejecutado; ","")&amp;IF(AND(M378="En ejecución",L378&lt;&gt;"",L378&lt;TODAY()),"Dice en ejecución pero su terminación ya pasó; ","")&amp;IF(M378="En ejecución","En ejecución: no acredita experiencia; ","")&amp;IF(AND(M378&lt;&gt;"En ejecución",L378&lt;&gt;"",X378&lt;&gt;"",Y378=""),"El año no está en la hoja SMMLV; ","")&amp;IF(AND(B378&lt;&gt;"",COUNTIFS($B$2:$B$601,B378,$C$2:$C$601,C378)&gt;1),"Posible duplicado (mismo número y entidad); ","")&amp;IF(COUNTIF(PARTICIPACIONES!$A$2:$A$601,A378)=0,"Sin participaciones; ","")&amp;IF(SUMIFS(PARTICIPACIONES!$E$2:$E$601,PARTICIPACIONES!$A$2:$A$601,A378)&gt;1.0001,"Las participaciones suman más de 100 %; ",""))</f>
        <v/>
      </c>
    </row>
    <row r="379">
      <c r="J379" s="15" t="n"/>
      <c r="K379" s="15" t="n"/>
      <c r="L379" s="15" t="n"/>
      <c r="N379" s="15" t="n"/>
      <c r="O379" s="16" t="n"/>
      <c r="P379" s="16" t="n"/>
      <c r="Q379" s="16" t="n"/>
      <c r="W379" s="12">
        <f>IF(AND(K379&lt;&gt;"",L379&lt;&gt;""),ROUND((L379-K379)/30.4375,1),"")</f>
        <v/>
      </c>
      <c r="X379" s="12">
        <f>IF(OR(A379="",M379="En ejecución",L379=""),"",YEAR(L379))</f>
        <v/>
      </c>
      <c r="Y379" s="13">
        <f>IF(X379="","",IFERROR(VLOOKUP(X379,SMMLV!$A$2:$B$38,2,FALSE),""))</f>
        <v/>
      </c>
      <c r="Z379" s="17">
        <f>IF(OR(Y379="",P379=""),"",ROUND(P379/Y379,2))</f>
        <v/>
      </c>
      <c r="AA379" s="13">
        <f>IF(Z379="","",ROUND(Z379*SMMLV!$E$4,0))</f>
        <v/>
      </c>
      <c r="AB379" s="13">
        <f>IF(AND(M379="En ejecución",P379&lt;&gt;"",Q379&lt;&gt;""),MAX(P379-Q379,0),"")</f>
        <v/>
      </c>
      <c r="AC379" s="12">
        <f>IF(A379="","",IF(B379="","Falta número de contrato; ","")&amp;IF(C379="","Falta entidad; ","")&amp;IF(E379="","Falta objeto; ","")&amp;IF(F379="","Falta especialidad; ","")&amp;IF(K379="","Falta fecha de inicio (recomendada); ","")&amp;IF(AND(M379&lt;&gt;"En ejecución",L379=""),"Falta fecha de terminación; ","")&amp;IF(AND(K379&lt;&gt;"",L379&lt;&gt;"",L379&lt;K379),"Terminación anterior al inicio; ","")&amp;IF(M379="","Falta estado; ","")&amp;IF(OR(P379="",P379&lt;=0),"Falta valor del contrato; ","")&amp;IF(AND(M379="En ejecución",Q379=""),"En ejecución sin valor ejecutado; ","")&amp;IF(AND(M379="En ejecución",L379&lt;&gt;"",L379&lt;TODAY()),"Dice en ejecución pero su terminación ya pasó; ","")&amp;IF(M379="En ejecución","En ejecución: no acredita experiencia; ","")&amp;IF(AND(M379&lt;&gt;"En ejecución",L379&lt;&gt;"",X379&lt;&gt;"",Y379=""),"El año no está en la hoja SMMLV; ","")&amp;IF(AND(B379&lt;&gt;"",COUNTIFS($B$2:$B$601,B379,$C$2:$C$601,C379)&gt;1),"Posible duplicado (mismo número y entidad); ","")&amp;IF(COUNTIF(PARTICIPACIONES!$A$2:$A$601,A379)=0,"Sin participaciones; ","")&amp;IF(SUMIFS(PARTICIPACIONES!$E$2:$E$601,PARTICIPACIONES!$A$2:$A$601,A379)&gt;1.0001,"Las participaciones suman más de 100 %; ",""))</f>
        <v/>
      </c>
    </row>
    <row r="380">
      <c r="J380" s="15" t="n"/>
      <c r="K380" s="15" t="n"/>
      <c r="L380" s="15" t="n"/>
      <c r="N380" s="15" t="n"/>
      <c r="O380" s="16" t="n"/>
      <c r="P380" s="16" t="n"/>
      <c r="Q380" s="16" t="n"/>
      <c r="W380" s="12">
        <f>IF(AND(K380&lt;&gt;"",L380&lt;&gt;""),ROUND((L380-K380)/30.4375,1),"")</f>
        <v/>
      </c>
      <c r="X380" s="12">
        <f>IF(OR(A380="",M380="En ejecución",L380=""),"",YEAR(L380))</f>
        <v/>
      </c>
      <c r="Y380" s="13">
        <f>IF(X380="","",IFERROR(VLOOKUP(X380,SMMLV!$A$2:$B$38,2,FALSE),""))</f>
        <v/>
      </c>
      <c r="Z380" s="17">
        <f>IF(OR(Y380="",P380=""),"",ROUND(P380/Y380,2))</f>
        <v/>
      </c>
      <c r="AA380" s="13">
        <f>IF(Z380="","",ROUND(Z380*SMMLV!$E$4,0))</f>
        <v/>
      </c>
      <c r="AB380" s="13">
        <f>IF(AND(M380="En ejecución",P380&lt;&gt;"",Q380&lt;&gt;""),MAX(P380-Q380,0),"")</f>
        <v/>
      </c>
      <c r="AC380" s="12">
        <f>IF(A380="","",IF(B380="","Falta número de contrato; ","")&amp;IF(C380="","Falta entidad; ","")&amp;IF(E380="","Falta objeto; ","")&amp;IF(F380="","Falta especialidad; ","")&amp;IF(K380="","Falta fecha de inicio (recomendada); ","")&amp;IF(AND(M380&lt;&gt;"En ejecución",L380=""),"Falta fecha de terminación; ","")&amp;IF(AND(K380&lt;&gt;"",L380&lt;&gt;"",L380&lt;K380),"Terminación anterior al inicio; ","")&amp;IF(M380="","Falta estado; ","")&amp;IF(OR(P380="",P380&lt;=0),"Falta valor del contrato; ","")&amp;IF(AND(M380="En ejecución",Q380=""),"En ejecución sin valor ejecutado; ","")&amp;IF(AND(M380="En ejecución",L380&lt;&gt;"",L380&lt;TODAY()),"Dice en ejecución pero su terminación ya pasó; ","")&amp;IF(M380="En ejecución","En ejecución: no acredita experiencia; ","")&amp;IF(AND(M380&lt;&gt;"En ejecución",L380&lt;&gt;"",X380&lt;&gt;"",Y380=""),"El año no está en la hoja SMMLV; ","")&amp;IF(AND(B380&lt;&gt;"",COUNTIFS($B$2:$B$601,B380,$C$2:$C$601,C380)&gt;1),"Posible duplicado (mismo número y entidad); ","")&amp;IF(COUNTIF(PARTICIPACIONES!$A$2:$A$601,A380)=0,"Sin participaciones; ","")&amp;IF(SUMIFS(PARTICIPACIONES!$E$2:$E$601,PARTICIPACIONES!$A$2:$A$601,A380)&gt;1.0001,"Las participaciones suman más de 100 %; ",""))</f>
        <v/>
      </c>
    </row>
    <row r="381">
      <c r="J381" s="15" t="n"/>
      <c r="K381" s="15" t="n"/>
      <c r="L381" s="15" t="n"/>
      <c r="N381" s="15" t="n"/>
      <c r="O381" s="16" t="n"/>
      <c r="P381" s="16" t="n"/>
      <c r="Q381" s="16" t="n"/>
      <c r="W381" s="12">
        <f>IF(AND(K381&lt;&gt;"",L381&lt;&gt;""),ROUND((L381-K381)/30.4375,1),"")</f>
        <v/>
      </c>
      <c r="X381" s="12">
        <f>IF(OR(A381="",M381="En ejecución",L381=""),"",YEAR(L381))</f>
        <v/>
      </c>
      <c r="Y381" s="13">
        <f>IF(X381="","",IFERROR(VLOOKUP(X381,SMMLV!$A$2:$B$38,2,FALSE),""))</f>
        <v/>
      </c>
      <c r="Z381" s="17">
        <f>IF(OR(Y381="",P381=""),"",ROUND(P381/Y381,2))</f>
        <v/>
      </c>
      <c r="AA381" s="13">
        <f>IF(Z381="","",ROUND(Z381*SMMLV!$E$4,0))</f>
        <v/>
      </c>
      <c r="AB381" s="13">
        <f>IF(AND(M381="En ejecución",P381&lt;&gt;"",Q381&lt;&gt;""),MAX(P381-Q381,0),"")</f>
        <v/>
      </c>
      <c r="AC381" s="12">
        <f>IF(A381="","",IF(B381="","Falta número de contrato; ","")&amp;IF(C381="","Falta entidad; ","")&amp;IF(E381="","Falta objeto; ","")&amp;IF(F381="","Falta especialidad; ","")&amp;IF(K381="","Falta fecha de inicio (recomendada); ","")&amp;IF(AND(M381&lt;&gt;"En ejecución",L381=""),"Falta fecha de terminación; ","")&amp;IF(AND(K381&lt;&gt;"",L381&lt;&gt;"",L381&lt;K381),"Terminación anterior al inicio; ","")&amp;IF(M381="","Falta estado; ","")&amp;IF(OR(P381="",P381&lt;=0),"Falta valor del contrato; ","")&amp;IF(AND(M381="En ejecución",Q381=""),"En ejecución sin valor ejecutado; ","")&amp;IF(AND(M381="En ejecución",L381&lt;&gt;"",L381&lt;TODAY()),"Dice en ejecución pero su terminación ya pasó; ","")&amp;IF(M381="En ejecución","En ejecución: no acredita experiencia; ","")&amp;IF(AND(M381&lt;&gt;"En ejecución",L381&lt;&gt;"",X381&lt;&gt;"",Y381=""),"El año no está en la hoja SMMLV; ","")&amp;IF(AND(B381&lt;&gt;"",COUNTIFS($B$2:$B$601,B381,$C$2:$C$601,C381)&gt;1),"Posible duplicado (mismo número y entidad); ","")&amp;IF(COUNTIF(PARTICIPACIONES!$A$2:$A$601,A381)=0,"Sin participaciones; ","")&amp;IF(SUMIFS(PARTICIPACIONES!$E$2:$E$601,PARTICIPACIONES!$A$2:$A$601,A381)&gt;1.0001,"Las participaciones suman más de 100 %; ",""))</f>
        <v/>
      </c>
    </row>
    <row r="382">
      <c r="J382" s="15" t="n"/>
      <c r="K382" s="15" t="n"/>
      <c r="L382" s="15" t="n"/>
      <c r="N382" s="15" t="n"/>
      <c r="O382" s="16" t="n"/>
      <c r="P382" s="16" t="n"/>
      <c r="Q382" s="16" t="n"/>
      <c r="W382" s="12">
        <f>IF(AND(K382&lt;&gt;"",L382&lt;&gt;""),ROUND((L382-K382)/30.4375,1),"")</f>
        <v/>
      </c>
      <c r="X382" s="12">
        <f>IF(OR(A382="",M382="En ejecución",L382=""),"",YEAR(L382))</f>
        <v/>
      </c>
      <c r="Y382" s="13">
        <f>IF(X382="","",IFERROR(VLOOKUP(X382,SMMLV!$A$2:$B$38,2,FALSE),""))</f>
        <v/>
      </c>
      <c r="Z382" s="17">
        <f>IF(OR(Y382="",P382=""),"",ROUND(P382/Y382,2))</f>
        <v/>
      </c>
      <c r="AA382" s="13">
        <f>IF(Z382="","",ROUND(Z382*SMMLV!$E$4,0))</f>
        <v/>
      </c>
      <c r="AB382" s="13">
        <f>IF(AND(M382="En ejecución",P382&lt;&gt;"",Q382&lt;&gt;""),MAX(P382-Q382,0),"")</f>
        <v/>
      </c>
      <c r="AC382" s="12">
        <f>IF(A382="","",IF(B382="","Falta número de contrato; ","")&amp;IF(C382="","Falta entidad; ","")&amp;IF(E382="","Falta objeto; ","")&amp;IF(F382="","Falta especialidad; ","")&amp;IF(K382="","Falta fecha de inicio (recomendada); ","")&amp;IF(AND(M382&lt;&gt;"En ejecución",L382=""),"Falta fecha de terminación; ","")&amp;IF(AND(K382&lt;&gt;"",L382&lt;&gt;"",L382&lt;K382),"Terminación anterior al inicio; ","")&amp;IF(M382="","Falta estado; ","")&amp;IF(OR(P382="",P382&lt;=0),"Falta valor del contrato; ","")&amp;IF(AND(M382="En ejecución",Q382=""),"En ejecución sin valor ejecutado; ","")&amp;IF(AND(M382="En ejecución",L382&lt;&gt;"",L382&lt;TODAY()),"Dice en ejecución pero su terminación ya pasó; ","")&amp;IF(M382="En ejecución","En ejecución: no acredita experiencia; ","")&amp;IF(AND(M382&lt;&gt;"En ejecución",L382&lt;&gt;"",X382&lt;&gt;"",Y382=""),"El año no está en la hoja SMMLV; ","")&amp;IF(AND(B382&lt;&gt;"",COUNTIFS($B$2:$B$601,B382,$C$2:$C$601,C382)&gt;1),"Posible duplicado (mismo número y entidad); ","")&amp;IF(COUNTIF(PARTICIPACIONES!$A$2:$A$601,A382)=0,"Sin participaciones; ","")&amp;IF(SUMIFS(PARTICIPACIONES!$E$2:$E$601,PARTICIPACIONES!$A$2:$A$601,A382)&gt;1.0001,"Las participaciones suman más de 100 %; ",""))</f>
        <v/>
      </c>
    </row>
    <row r="383">
      <c r="J383" s="15" t="n"/>
      <c r="K383" s="15" t="n"/>
      <c r="L383" s="15" t="n"/>
      <c r="N383" s="15" t="n"/>
      <c r="O383" s="16" t="n"/>
      <c r="P383" s="16" t="n"/>
      <c r="Q383" s="16" t="n"/>
      <c r="W383" s="12">
        <f>IF(AND(K383&lt;&gt;"",L383&lt;&gt;""),ROUND((L383-K383)/30.4375,1),"")</f>
        <v/>
      </c>
      <c r="X383" s="12">
        <f>IF(OR(A383="",M383="En ejecución",L383=""),"",YEAR(L383))</f>
        <v/>
      </c>
      <c r="Y383" s="13">
        <f>IF(X383="","",IFERROR(VLOOKUP(X383,SMMLV!$A$2:$B$38,2,FALSE),""))</f>
        <v/>
      </c>
      <c r="Z383" s="17">
        <f>IF(OR(Y383="",P383=""),"",ROUND(P383/Y383,2))</f>
        <v/>
      </c>
      <c r="AA383" s="13">
        <f>IF(Z383="","",ROUND(Z383*SMMLV!$E$4,0))</f>
        <v/>
      </c>
      <c r="AB383" s="13">
        <f>IF(AND(M383="En ejecución",P383&lt;&gt;"",Q383&lt;&gt;""),MAX(P383-Q383,0),"")</f>
        <v/>
      </c>
      <c r="AC383" s="12">
        <f>IF(A383="","",IF(B383="","Falta número de contrato; ","")&amp;IF(C383="","Falta entidad; ","")&amp;IF(E383="","Falta objeto; ","")&amp;IF(F383="","Falta especialidad; ","")&amp;IF(K383="","Falta fecha de inicio (recomendada); ","")&amp;IF(AND(M383&lt;&gt;"En ejecución",L383=""),"Falta fecha de terminación; ","")&amp;IF(AND(K383&lt;&gt;"",L383&lt;&gt;"",L383&lt;K383),"Terminación anterior al inicio; ","")&amp;IF(M383="","Falta estado; ","")&amp;IF(OR(P383="",P383&lt;=0),"Falta valor del contrato; ","")&amp;IF(AND(M383="En ejecución",Q383=""),"En ejecución sin valor ejecutado; ","")&amp;IF(AND(M383="En ejecución",L383&lt;&gt;"",L383&lt;TODAY()),"Dice en ejecución pero su terminación ya pasó; ","")&amp;IF(M383="En ejecución","En ejecución: no acredita experiencia; ","")&amp;IF(AND(M383&lt;&gt;"En ejecución",L383&lt;&gt;"",X383&lt;&gt;"",Y383=""),"El año no está en la hoja SMMLV; ","")&amp;IF(AND(B383&lt;&gt;"",COUNTIFS($B$2:$B$601,B383,$C$2:$C$601,C383)&gt;1),"Posible duplicado (mismo número y entidad); ","")&amp;IF(COUNTIF(PARTICIPACIONES!$A$2:$A$601,A383)=0,"Sin participaciones; ","")&amp;IF(SUMIFS(PARTICIPACIONES!$E$2:$E$601,PARTICIPACIONES!$A$2:$A$601,A383)&gt;1.0001,"Las participaciones suman más de 100 %; ",""))</f>
        <v/>
      </c>
    </row>
    <row r="384">
      <c r="J384" s="15" t="n"/>
      <c r="K384" s="15" t="n"/>
      <c r="L384" s="15" t="n"/>
      <c r="N384" s="15" t="n"/>
      <c r="O384" s="16" t="n"/>
      <c r="P384" s="16" t="n"/>
      <c r="Q384" s="16" t="n"/>
      <c r="W384" s="12">
        <f>IF(AND(K384&lt;&gt;"",L384&lt;&gt;""),ROUND((L384-K384)/30.4375,1),"")</f>
        <v/>
      </c>
      <c r="X384" s="12">
        <f>IF(OR(A384="",M384="En ejecución",L384=""),"",YEAR(L384))</f>
        <v/>
      </c>
      <c r="Y384" s="13">
        <f>IF(X384="","",IFERROR(VLOOKUP(X384,SMMLV!$A$2:$B$38,2,FALSE),""))</f>
        <v/>
      </c>
      <c r="Z384" s="17">
        <f>IF(OR(Y384="",P384=""),"",ROUND(P384/Y384,2))</f>
        <v/>
      </c>
      <c r="AA384" s="13">
        <f>IF(Z384="","",ROUND(Z384*SMMLV!$E$4,0))</f>
        <v/>
      </c>
      <c r="AB384" s="13">
        <f>IF(AND(M384="En ejecución",P384&lt;&gt;"",Q384&lt;&gt;""),MAX(P384-Q384,0),"")</f>
        <v/>
      </c>
      <c r="AC384" s="12">
        <f>IF(A384="","",IF(B384="","Falta número de contrato; ","")&amp;IF(C384="","Falta entidad; ","")&amp;IF(E384="","Falta objeto; ","")&amp;IF(F384="","Falta especialidad; ","")&amp;IF(K384="","Falta fecha de inicio (recomendada); ","")&amp;IF(AND(M384&lt;&gt;"En ejecución",L384=""),"Falta fecha de terminación; ","")&amp;IF(AND(K384&lt;&gt;"",L384&lt;&gt;"",L384&lt;K384),"Terminación anterior al inicio; ","")&amp;IF(M384="","Falta estado; ","")&amp;IF(OR(P384="",P384&lt;=0),"Falta valor del contrato; ","")&amp;IF(AND(M384="En ejecución",Q384=""),"En ejecución sin valor ejecutado; ","")&amp;IF(AND(M384="En ejecución",L384&lt;&gt;"",L384&lt;TODAY()),"Dice en ejecución pero su terminación ya pasó; ","")&amp;IF(M384="En ejecución","En ejecución: no acredita experiencia; ","")&amp;IF(AND(M384&lt;&gt;"En ejecución",L384&lt;&gt;"",X384&lt;&gt;"",Y384=""),"El año no está en la hoja SMMLV; ","")&amp;IF(AND(B384&lt;&gt;"",COUNTIFS($B$2:$B$601,B384,$C$2:$C$601,C384)&gt;1),"Posible duplicado (mismo número y entidad); ","")&amp;IF(COUNTIF(PARTICIPACIONES!$A$2:$A$601,A384)=0,"Sin participaciones; ","")&amp;IF(SUMIFS(PARTICIPACIONES!$E$2:$E$601,PARTICIPACIONES!$A$2:$A$601,A384)&gt;1.0001,"Las participaciones suman más de 100 %; ",""))</f>
        <v/>
      </c>
    </row>
    <row r="385">
      <c r="J385" s="15" t="n"/>
      <c r="K385" s="15" t="n"/>
      <c r="L385" s="15" t="n"/>
      <c r="N385" s="15" t="n"/>
      <c r="O385" s="16" t="n"/>
      <c r="P385" s="16" t="n"/>
      <c r="Q385" s="16" t="n"/>
      <c r="W385" s="12">
        <f>IF(AND(K385&lt;&gt;"",L385&lt;&gt;""),ROUND((L385-K385)/30.4375,1),"")</f>
        <v/>
      </c>
      <c r="X385" s="12">
        <f>IF(OR(A385="",M385="En ejecución",L385=""),"",YEAR(L385))</f>
        <v/>
      </c>
      <c r="Y385" s="13">
        <f>IF(X385="","",IFERROR(VLOOKUP(X385,SMMLV!$A$2:$B$38,2,FALSE),""))</f>
        <v/>
      </c>
      <c r="Z385" s="17">
        <f>IF(OR(Y385="",P385=""),"",ROUND(P385/Y385,2))</f>
        <v/>
      </c>
      <c r="AA385" s="13">
        <f>IF(Z385="","",ROUND(Z385*SMMLV!$E$4,0))</f>
        <v/>
      </c>
      <c r="AB385" s="13">
        <f>IF(AND(M385="En ejecución",P385&lt;&gt;"",Q385&lt;&gt;""),MAX(P385-Q385,0),"")</f>
        <v/>
      </c>
      <c r="AC385" s="12">
        <f>IF(A385="","",IF(B385="","Falta número de contrato; ","")&amp;IF(C385="","Falta entidad; ","")&amp;IF(E385="","Falta objeto; ","")&amp;IF(F385="","Falta especialidad; ","")&amp;IF(K385="","Falta fecha de inicio (recomendada); ","")&amp;IF(AND(M385&lt;&gt;"En ejecución",L385=""),"Falta fecha de terminación; ","")&amp;IF(AND(K385&lt;&gt;"",L385&lt;&gt;"",L385&lt;K385),"Terminación anterior al inicio; ","")&amp;IF(M385="","Falta estado; ","")&amp;IF(OR(P385="",P385&lt;=0),"Falta valor del contrato; ","")&amp;IF(AND(M385="En ejecución",Q385=""),"En ejecución sin valor ejecutado; ","")&amp;IF(AND(M385="En ejecución",L385&lt;&gt;"",L385&lt;TODAY()),"Dice en ejecución pero su terminación ya pasó; ","")&amp;IF(M385="En ejecución","En ejecución: no acredita experiencia; ","")&amp;IF(AND(M385&lt;&gt;"En ejecución",L385&lt;&gt;"",X385&lt;&gt;"",Y385=""),"El año no está en la hoja SMMLV; ","")&amp;IF(AND(B385&lt;&gt;"",COUNTIFS($B$2:$B$601,B385,$C$2:$C$601,C385)&gt;1),"Posible duplicado (mismo número y entidad); ","")&amp;IF(COUNTIF(PARTICIPACIONES!$A$2:$A$601,A385)=0,"Sin participaciones; ","")&amp;IF(SUMIFS(PARTICIPACIONES!$E$2:$E$601,PARTICIPACIONES!$A$2:$A$601,A385)&gt;1.0001,"Las participaciones suman más de 100 %; ",""))</f>
        <v/>
      </c>
    </row>
    <row r="386">
      <c r="J386" s="15" t="n"/>
      <c r="K386" s="15" t="n"/>
      <c r="L386" s="15" t="n"/>
      <c r="N386" s="15" t="n"/>
      <c r="O386" s="16" t="n"/>
      <c r="P386" s="16" t="n"/>
      <c r="Q386" s="16" t="n"/>
      <c r="W386" s="12">
        <f>IF(AND(K386&lt;&gt;"",L386&lt;&gt;""),ROUND((L386-K386)/30.4375,1),"")</f>
        <v/>
      </c>
      <c r="X386" s="12">
        <f>IF(OR(A386="",M386="En ejecución",L386=""),"",YEAR(L386))</f>
        <v/>
      </c>
      <c r="Y386" s="13">
        <f>IF(X386="","",IFERROR(VLOOKUP(X386,SMMLV!$A$2:$B$38,2,FALSE),""))</f>
        <v/>
      </c>
      <c r="Z386" s="17">
        <f>IF(OR(Y386="",P386=""),"",ROUND(P386/Y386,2))</f>
        <v/>
      </c>
      <c r="AA386" s="13">
        <f>IF(Z386="","",ROUND(Z386*SMMLV!$E$4,0))</f>
        <v/>
      </c>
      <c r="AB386" s="13">
        <f>IF(AND(M386="En ejecución",P386&lt;&gt;"",Q386&lt;&gt;""),MAX(P386-Q386,0),"")</f>
        <v/>
      </c>
      <c r="AC386" s="12">
        <f>IF(A386="","",IF(B386="","Falta número de contrato; ","")&amp;IF(C386="","Falta entidad; ","")&amp;IF(E386="","Falta objeto; ","")&amp;IF(F386="","Falta especialidad; ","")&amp;IF(K386="","Falta fecha de inicio (recomendada); ","")&amp;IF(AND(M386&lt;&gt;"En ejecución",L386=""),"Falta fecha de terminación; ","")&amp;IF(AND(K386&lt;&gt;"",L386&lt;&gt;"",L386&lt;K386),"Terminación anterior al inicio; ","")&amp;IF(M386="","Falta estado; ","")&amp;IF(OR(P386="",P386&lt;=0),"Falta valor del contrato; ","")&amp;IF(AND(M386="En ejecución",Q386=""),"En ejecución sin valor ejecutado; ","")&amp;IF(AND(M386="En ejecución",L386&lt;&gt;"",L386&lt;TODAY()),"Dice en ejecución pero su terminación ya pasó; ","")&amp;IF(M386="En ejecución","En ejecución: no acredita experiencia; ","")&amp;IF(AND(M386&lt;&gt;"En ejecución",L386&lt;&gt;"",X386&lt;&gt;"",Y386=""),"El año no está en la hoja SMMLV; ","")&amp;IF(AND(B386&lt;&gt;"",COUNTIFS($B$2:$B$601,B386,$C$2:$C$601,C386)&gt;1),"Posible duplicado (mismo número y entidad); ","")&amp;IF(COUNTIF(PARTICIPACIONES!$A$2:$A$601,A386)=0,"Sin participaciones; ","")&amp;IF(SUMIFS(PARTICIPACIONES!$E$2:$E$601,PARTICIPACIONES!$A$2:$A$601,A386)&gt;1.0001,"Las participaciones suman más de 100 %; ",""))</f>
        <v/>
      </c>
    </row>
    <row r="387">
      <c r="J387" s="15" t="n"/>
      <c r="K387" s="15" t="n"/>
      <c r="L387" s="15" t="n"/>
      <c r="N387" s="15" t="n"/>
      <c r="O387" s="16" t="n"/>
      <c r="P387" s="16" t="n"/>
      <c r="Q387" s="16" t="n"/>
      <c r="W387" s="12">
        <f>IF(AND(K387&lt;&gt;"",L387&lt;&gt;""),ROUND((L387-K387)/30.4375,1),"")</f>
        <v/>
      </c>
      <c r="X387" s="12">
        <f>IF(OR(A387="",M387="En ejecución",L387=""),"",YEAR(L387))</f>
        <v/>
      </c>
      <c r="Y387" s="13">
        <f>IF(X387="","",IFERROR(VLOOKUP(X387,SMMLV!$A$2:$B$38,2,FALSE),""))</f>
        <v/>
      </c>
      <c r="Z387" s="17">
        <f>IF(OR(Y387="",P387=""),"",ROUND(P387/Y387,2))</f>
        <v/>
      </c>
      <c r="AA387" s="13">
        <f>IF(Z387="","",ROUND(Z387*SMMLV!$E$4,0))</f>
        <v/>
      </c>
      <c r="AB387" s="13">
        <f>IF(AND(M387="En ejecución",P387&lt;&gt;"",Q387&lt;&gt;""),MAX(P387-Q387,0),"")</f>
        <v/>
      </c>
      <c r="AC387" s="12">
        <f>IF(A387="","",IF(B387="","Falta número de contrato; ","")&amp;IF(C387="","Falta entidad; ","")&amp;IF(E387="","Falta objeto; ","")&amp;IF(F387="","Falta especialidad; ","")&amp;IF(K387="","Falta fecha de inicio (recomendada); ","")&amp;IF(AND(M387&lt;&gt;"En ejecución",L387=""),"Falta fecha de terminación; ","")&amp;IF(AND(K387&lt;&gt;"",L387&lt;&gt;"",L387&lt;K387),"Terminación anterior al inicio; ","")&amp;IF(M387="","Falta estado; ","")&amp;IF(OR(P387="",P387&lt;=0),"Falta valor del contrato; ","")&amp;IF(AND(M387="En ejecución",Q387=""),"En ejecución sin valor ejecutado; ","")&amp;IF(AND(M387="En ejecución",L387&lt;&gt;"",L387&lt;TODAY()),"Dice en ejecución pero su terminación ya pasó; ","")&amp;IF(M387="En ejecución","En ejecución: no acredita experiencia; ","")&amp;IF(AND(M387&lt;&gt;"En ejecución",L387&lt;&gt;"",X387&lt;&gt;"",Y387=""),"El año no está en la hoja SMMLV; ","")&amp;IF(AND(B387&lt;&gt;"",COUNTIFS($B$2:$B$601,B387,$C$2:$C$601,C387)&gt;1),"Posible duplicado (mismo número y entidad); ","")&amp;IF(COUNTIF(PARTICIPACIONES!$A$2:$A$601,A387)=0,"Sin participaciones; ","")&amp;IF(SUMIFS(PARTICIPACIONES!$E$2:$E$601,PARTICIPACIONES!$A$2:$A$601,A387)&gt;1.0001,"Las participaciones suman más de 100 %; ",""))</f>
        <v/>
      </c>
    </row>
    <row r="388">
      <c r="J388" s="15" t="n"/>
      <c r="K388" s="15" t="n"/>
      <c r="L388" s="15" t="n"/>
      <c r="N388" s="15" t="n"/>
      <c r="O388" s="16" t="n"/>
      <c r="P388" s="16" t="n"/>
      <c r="Q388" s="16" t="n"/>
      <c r="W388" s="12">
        <f>IF(AND(K388&lt;&gt;"",L388&lt;&gt;""),ROUND((L388-K388)/30.4375,1),"")</f>
        <v/>
      </c>
      <c r="X388" s="12">
        <f>IF(OR(A388="",M388="En ejecución",L388=""),"",YEAR(L388))</f>
        <v/>
      </c>
      <c r="Y388" s="13">
        <f>IF(X388="","",IFERROR(VLOOKUP(X388,SMMLV!$A$2:$B$38,2,FALSE),""))</f>
        <v/>
      </c>
      <c r="Z388" s="17">
        <f>IF(OR(Y388="",P388=""),"",ROUND(P388/Y388,2))</f>
        <v/>
      </c>
      <c r="AA388" s="13">
        <f>IF(Z388="","",ROUND(Z388*SMMLV!$E$4,0))</f>
        <v/>
      </c>
      <c r="AB388" s="13">
        <f>IF(AND(M388="En ejecución",P388&lt;&gt;"",Q388&lt;&gt;""),MAX(P388-Q388,0),"")</f>
        <v/>
      </c>
      <c r="AC388" s="12">
        <f>IF(A388="","",IF(B388="","Falta número de contrato; ","")&amp;IF(C388="","Falta entidad; ","")&amp;IF(E388="","Falta objeto; ","")&amp;IF(F388="","Falta especialidad; ","")&amp;IF(K388="","Falta fecha de inicio (recomendada); ","")&amp;IF(AND(M388&lt;&gt;"En ejecución",L388=""),"Falta fecha de terminación; ","")&amp;IF(AND(K388&lt;&gt;"",L388&lt;&gt;"",L388&lt;K388),"Terminación anterior al inicio; ","")&amp;IF(M388="","Falta estado; ","")&amp;IF(OR(P388="",P388&lt;=0),"Falta valor del contrato; ","")&amp;IF(AND(M388="En ejecución",Q388=""),"En ejecución sin valor ejecutado; ","")&amp;IF(AND(M388="En ejecución",L388&lt;&gt;"",L388&lt;TODAY()),"Dice en ejecución pero su terminación ya pasó; ","")&amp;IF(M388="En ejecución","En ejecución: no acredita experiencia; ","")&amp;IF(AND(M388&lt;&gt;"En ejecución",L388&lt;&gt;"",X388&lt;&gt;"",Y388=""),"El año no está en la hoja SMMLV; ","")&amp;IF(AND(B388&lt;&gt;"",COUNTIFS($B$2:$B$601,B388,$C$2:$C$601,C388)&gt;1),"Posible duplicado (mismo número y entidad); ","")&amp;IF(COUNTIF(PARTICIPACIONES!$A$2:$A$601,A388)=0,"Sin participaciones; ","")&amp;IF(SUMIFS(PARTICIPACIONES!$E$2:$E$601,PARTICIPACIONES!$A$2:$A$601,A388)&gt;1.0001,"Las participaciones suman más de 100 %; ",""))</f>
        <v/>
      </c>
    </row>
    <row r="389">
      <c r="J389" s="15" t="n"/>
      <c r="K389" s="15" t="n"/>
      <c r="L389" s="15" t="n"/>
      <c r="N389" s="15" t="n"/>
      <c r="O389" s="16" t="n"/>
      <c r="P389" s="16" t="n"/>
      <c r="Q389" s="16" t="n"/>
      <c r="W389" s="12">
        <f>IF(AND(K389&lt;&gt;"",L389&lt;&gt;""),ROUND((L389-K389)/30.4375,1),"")</f>
        <v/>
      </c>
      <c r="X389" s="12">
        <f>IF(OR(A389="",M389="En ejecución",L389=""),"",YEAR(L389))</f>
        <v/>
      </c>
      <c r="Y389" s="13">
        <f>IF(X389="","",IFERROR(VLOOKUP(X389,SMMLV!$A$2:$B$38,2,FALSE),""))</f>
        <v/>
      </c>
      <c r="Z389" s="17">
        <f>IF(OR(Y389="",P389=""),"",ROUND(P389/Y389,2))</f>
        <v/>
      </c>
      <c r="AA389" s="13">
        <f>IF(Z389="","",ROUND(Z389*SMMLV!$E$4,0))</f>
        <v/>
      </c>
      <c r="AB389" s="13">
        <f>IF(AND(M389="En ejecución",P389&lt;&gt;"",Q389&lt;&gt;""),MAX(P389-Q389,0),"")</f>
        <v/>
      </c>
      <c r="AC389" s="12">
        <f>IF(A389="","",IF(B389="","Falta número de contrato; ","")&amp;IF(C389="","Falta entidad; ","")&amp;IF(E389="","Falta objeto; ","")&amp;IF(F389="","Falta especialidad; ","")&amp;IF(K389="","Falta fecha de inicio (recomendada); ","")&amp;IF(AND(M389&lt;&gt;"En ejecución",L389=""),"Falta fecha de terminación; ","")&amp;IF(AND(K389&lt;&gt;"",L389&lt;&gt;"",L389&lt;K389),"Terminación anterior al inicio; ","")&amp;IF(M389="","Falta estado; ","")&amp;IF(OR(P389="",P389&lt;=0),"Falta valor del contrato; ","")&amp;IF(AND(M389="En ejecución",Q389=""),"En ejecución sin valor ejecutado; ","")&amp;IF(AND(M389="En ejecución",L389&lt;&gt;"",L389&lt;TODAY()),"Dice en ejecución pero su terminación ya pasó; ","")&amp;IF(M389="En ejecución","En ejecución: no acredita experiencia; ","")&amp;IF(AND(M389&lt;&gt;"En ejecución",L389&lt;&gt;"",X389&lt;&gt;"",Y389=""),"El año no está en la hoja SMMLV; ","")&amp;IF(AND(B389&lt;&gt;"",COUNTIFS($B$2:$B$601,B389,$C$2:$C$601,C389)&gt;1),"Posible duplicado (mismo número y entidad); ","")&amp;IF(COUNTIF(PARTICIPACIONES!$A$2:$A$601,A389)=0,"Sin participaciones; ","")&amp;IF(SUMIFS(PARTICIPACIONES!$E$2:$E$601,PARTICIPACIONES!$A$2:$A$601,A389)&gt;1.0001,"Las participaciones suman más de 100 %; ",""))</f>
        <v/>
      </c>
    </row>
    <row r="390">
      <c r="J390" s="15" t="n"/>
      <c r="K390" s="15" t="n"/>
      <c r="L390" s="15" t="n"/>
      <c r="N390" s="15" t="n"/>
      <c r="O390" s="16" t="n"/>
      <c r="P390" s="16" t="n"/>
      <c r="Q390" s="16" t="n"/>
      <c r="W390" s="12">
        <f>IF(AND(K390&lt;&gt;"",L390&lt;&gt;""),ROUND((L390-K390)/30.4375,1),"")</f>
        <v/>
      </c>
      <c r="X390" s="12">
        <f>IF(OR(A390="",M390="En ejecución",L390=""),"",YEAR(L390))</f>
        <v/>
      </c>
      <c r="Y390" s="13">
        <f>IF(X390="","",IFERROR(VLOOKUP(X390,SMMLV!$A$2:$B$38,2,FALSE),""))</f>
        <v/>
      </c>
      <c r="Z390" s="17">
        <f>IF(OR(Y390="",P390=""),"",ROUND(P390/Y390,2))</f>
        <v/>
      </c>
      <c r="AA390" s="13">
        <f>IF(Z390="","",ROUND(Z390*SMMLV!$E$4,0))</f>
        <v/>
      </c>
      <c r="AB390" s="13">
        <f>IF(AND(M390="En ejecución",P390&lt;&gt;"",Q390&lt;&gt;""),MAX(P390-Q390,0),"")</f>
        <v/>
      </c>
      <c r="AC390" s="12">
        <f>IF(A390="","",IF(B390="","Falta número de contrato; ","")&amp;IF(C390="","Falta entidad; ","")&amp;IF(E390="","Falta objeto; ","")&amp;IF(F390="","Falta especialidad; ","")&amp;IF(K390="","Falta fecha de inicio (recomendada); ","")&amp;IF(AND(M390&lt;&gt;"En ejecución",L390=""),"Falta fecha de terminación; ","")&amp;IF(AND(K390&lt;&gt;"",L390&lt;&gt;"",L390&lt;K390),"Terminación anterior al inicio; ","")&amp;IF(M390="","Falta estado; ","")&amp;IF(OR(P390="",P390&lt;=0),"Falta valor del contrato; ","")&amp;IF(AND(M390="En ejecución",Q390=""),"En ejecución sin valor ejecutado; ","")&amp;IF(AND(M390="En ejecución",L390&lt;&gt;"",L390&lt;TODAY()),"Dice en ejecución pero su terminación ya pasó; ","")&amp;IF(M390="En ejecución","En ejecución: no acredita experiencia; ","")&amp;IF(AND(M390&lt;&gt;"En ejecución",L390&lt;&gt;"",X390&lt;&gt;"",Y390=""),"El año no está en la hoja SMMLV; ","")&amp;IF(AND(B390&lt;&gt;"",COUNTIFS($B$2:$B$601,B390,$C$2:$C$601,C390)&gt;1),"Posible duplicado (mismo número y entidad); ","")&amp;IF(COUNTIF(PARTICIPACIONES!$A$2:$A$601,A390)=0,"Sin participaciones; ","")&amp;IF(SUMIFS(PARTICIPACIONES!$E$2:$E$601,PARTICIPACIONES!$A$2:$A$601,A390)&gt;1.0001,"Las participaciones suman más de 100 %; ",""))</f>
        <v/>
      </c>
    </row>
    <row r="391">
      <c r="J391" s="15" t="n"/>
      <c r="K391" s="15" t="n"/>
      <c r="L391" s="15" t="n"/>
      <c r="N391" s="15" t="n"/>
      <c r="O391" s="16" t="n"/>
      <c r="P391" s="16" t="n"/>
      <c r="Q391" s="16" t="n"/>
      <c r="W391" s="12">
        <f>IF(AND(K391&lt;&gt;"",L391&lt;&gt;""),ROUND((L391-K391)/30.4375,1),"")</f>
        <v/>
      </c>
      <c r="X391" s="12">
        <f>IF(OR(A391="",M391="En ejecución",L391=""),"",YEAR(L391))</f>
        <v/>
      </c>
      <c r="Y391" s="13">
        <f>IF(X391="","",IFERROR(VLOOKUP(X391,SMMLV!$A$2:$B$38,2,FALSE),""))</f>
        <v/>
      </c>
      <c r="Z391" s="17">
        <f>IF(OR(Y391="",P391=""),"",ROUND(P391/Y391,2))</f>
        <v/>
      </c>
      <c r="AA391" s="13">
        <f>IF(Z391="","",ROUND(Z391*SMMLV!$E$4,0))</f>
        <v/>
      </c>
      <c r="AB391" s="13">
        <f>IF(AND(M391="En ejecución",P391&lt;&gt;"",Q391&lt;&gt;""),MAX(P391-Q391,0),"")</f>
        <v/>
      </c>
      <c r="AC391" s="12">
        <f>IF(A391="","",IF(B391="","Falta número de contrato; ","")&amp;IF(C391="","Falta entidad; ","")&amp;IF(E391="","Falta objeto; ","")&amp;IF(F391="","Falta especialidad; ","")&amp;IF(K391="","Falta fecha de inicio (recomendada); ","")&amp;IF(AND(M391&lt;&gt;"En ejecución",L391=""),"Falta fecha de terminación; ","")&amp;IF(AND(K391&lt;&gt;"",L391&lt;&gt;"",L391&lt;K391),"Terminación anterior al inicio; ","")&amp;IF(M391="","Falta estado; ","")&amp;IF(OR(P391="",P391&lt;=0),"Falta valor del contrato; ","")&amp;IF(AND(M391="En ejecución",Q391=""),"En ejecución sin valor ejecutado; ","")&amp;IF(AND(M391="En ejecución",L391&lt;&gt;"",L391&lt;TODAY()),"Dice en ejecución pero su terminación ya pasó; ","")&amp;IF(M391="En ejecución","En ejecución: no acredita experiencia; ","")&amp;IF(AND(M391&lt;&gt;"En ejecución",L391&lt;&gt;"",X391&lt;&gt;"",Y391=""),"El año no está en la hoja SMMLV; ","")&amp;IF(AND(B391&lt;&gt;"",COUNTIFS($B$2:$B$601,B391,$C$2:$C$601,C391)&gt;1),"Posible duplicado (mismo número y entidad); ","")&amp;IF(COUNTIF(PARTICIPACIONES!$A$2:$A$601,A391)=0,"Sin participaciones; ","")&amp;IF(SUMIFS(PARTICIPACIONES!$E$2:$E$601,PARTICIPACIONES!$A$2:$A$601,A391)&gt;1.0001,"Las participaciones suman más de 100 %; ",""))</f>
        <v/>
      </c>
    </row>
    <row r="392">
      <c r="J392" s="15" t="n"/>
      <c r="K392" s="15" t="n"/>
      <c r="L392" s="15" t="n"/>
      <c r="N392" s="15" t="n"/>
      <c r="O392" s="16" t="n"/>
      <c r="P392" s="16" t="n"/>
      <c r="Q392" s="16" t="n"/>
      <c r="W392" s="12">
        <f>IF(AND(K392&lt;&gt;"",L392&lt;&gt;""),ROUND((L392-K392)/30.4375,1),"")</f>
        <v/>
      </c>
      <c r="X392" s="12">
        <f>IF(OR(A392="",M392="En ejecución",L392=""),"",YEAR(L392))</f>
        <v/>
      </c>
      <c r="Y392" s="13">
        <f>IF(X392="","",IFERROR(VLOOKUP(X392,SMMLV!$A$2:$B$38,2,FALSE),""))</f>
        <v/>
      </c>
      <c r="Z392" s="17">
        <f>IF(OR(Y392="",P392=""),"",ROUND(P392/Y392,2))</f>
        <v/>
      </c>
      <c r="AA392" s="13">
        <f>IF(Z392="","",ROUND(Z392*SMMLV!$E$4,0))</f>
        <v/>
      </c>
      <c r="AB392" s="13">
        <f>IF(AND(M392="En ejecución",P392&lt;&gt;"",Q392&lt;&gt;""),MAX(P392-Q392,0),"")</f>
        <v/>
      </c>
      <c r="AC392" s="12">
        <f>IF(A392="","",IF(B392="","Falta número de contrato; ","")&amp;IF(C392="","Falta entidad; ","")&amp;IF(E392="","Falta objeto; ","")&amp;IF(F392="","Falta especialidad; ","")&amp;IF(K392="","Falta fecha de inicio (recomendada); ","")&amp;IF(AND(M392&lt;&gt;"En ejecución",L392=""),"Falta fecha de terminación; ","")&amp;IF(AND(K392&lt;&gt;"",L392&lt;&gt;"",L392&lt;K392),"Terminación anterior al inicio; ","")&amp;IF(M392="","Falta estado; ","")&amp;IF(OR(P392="",P392&lt;=0),"Falta valor del contrato; ","")&amp;IF(AND(M392="En ejecución",Q392=""),"En ejecución sin valor ejecutado; ","")&amp;IF(AND(M392="En ejecución",L392&lt;&gt;"",L392&lt;TODAY()),"Dice en ejecución pero su terminación ya pasó; ","")&amp;IF(M392="En ejecución","En ejecución: no acredita experiencia; ","")&amp;IF(AND(M392&lt;&gt;"En ejecución",L392&lt;&gt;"",X392&lt;&gt;"",Y392=""),"El año no está en la hoja SMMLV; ","")&amp;IF(AND(B392&lt;&gt;"",COUNTIFS($B$2:$B$601,B392,$C$2:$C$601,C392)&gt;1),"Posible duplicado (mismo número y entidad); ","")&amp;IF(COUNTIF(PARTICIPACIONES!$A$2:$A$601,A392)=0,"Sin participaciones; ","")&amp;IF(SUMIFS(PARTICIPACIONES!$E$2:$E$601,PARTICIPACIONES!$A$2:$A$601,A392)&gt;1.0001,"Las participaciones suman más de 100 %; ",""))</f>
        <v/>
      </c>
    </row>
    <row r="393">
      <c r="J393" s="15" t="n"/>
      <c r="K393" s="15" t="n"/>
      <c r="L393" s="15" t="n"/>
      <c r="N393" s="15" t="n"/>
      <c r="O393" s="16" t="n"/>
      <c r="P393" s="16" t="n"/>
      <c r="Q393" s="16" t="n"/>
      <c r="W393" s="12">
        <f>IF(AND(K393&lt;&gt;"",L393&lt;&gt;""),ROUND((L393-K393)/30.4375,1),"")</f>
        <v/>
      </c>
      <c r="X393" s="12">
        <f>IF(OR(A393="",M393="En ejecución",L393=""),"",YEAR(L393))</f>
        <v/>
      </c>
      <c r="Y393" s="13">
        <f>IF(X393="","",IFERROR(VLOOKUP(X393,SMMLV!$A$2:$B$38,2,FALSE),""))</f>
        <v/>
      </c>
      <c r="Z393" s="17">
        <f>IF(OR(Y393="",P393=""),"",ROUND(P393/Y393,2))</f>
        <v/>
      </c>
      <c r="AA393" s="13">
        <f>IF(Z393="","",ROUND(Z393*SMMLV!$E$4,0))</f>
        <v/>
      </c>
      <c r="AB393" s="13">
        <f>IF(AND(M393="En ejecución",P393&lt;&gt;"",Q393&lt;&gt;""),MAX(P393-Q393,0),"")</f>
        <v/>
      </c>
      <c r="AC393" s="12">
        <f>IF(A393="","",IF(B393="","Falta número de contrato; ","")&amp;IF(C393="","Falta entidad; ","")&amp;IF(E393="","Falta objeto; ","")&amp;IF(F393="","Falta especialidad; ","")&amp;IF(K393="","Falta fecha de inicio (recomendada); ","")&amp;IF(AND(M393&lt;&gt;"En ejecución",L393=""),"Falta fecha de terminación; ","")&amp;IF(AND(K393&lt;&gt;"",L393&lt;&gt;"",L393&lt;K393),"Terminación anterior al inicio; ","")&amp;IF(M393="","Falta estado; ","")&amp;IF(OR(P393="",P393&lt;=0),"Falta valor del contrato; ","")&amp;IF(AND(M393="En ejecución",Q393=""),"En ejecución sin valor ejecutado; ","")&amp;IF(AND(M393="En ejecución",L393&lt;&gt;"",L393&lt;TODAY()),"Dice en ejecución pero su terminación ya pasó; ","")&amp;IF(M393="En ejecución","En ejecución: no acredita experiencia; ","")&amp;IF(AND(M393&lt;&gt;"En ejecución",L393&lt;&gt;"",X393&lt;&gt;"",Y393=""),"El año no está en la hoja SMMLV; ","")&amp;IF(AND(B393&lt;&gt;"",COUNTIFS($B$2:$B$601,B393,$C$2:$C$601,C393)&gt;1),"Posible duplicado (mismo número y entidad); ","")&amp;IF(COUNTIF(PARTICIPACIONES!$A$2:$A$601,A393)=0,"Sin participaciones; ","")&amp;IF(SUMIFS(PARTICIPACIONES!$E$2:$E$601,PARTICIPACIONES!$A$2:$A$601,A393)&gt;1.0001,"Las participaciones suman más de 100 %; ",""))</f>
        <v/>
      </c>
    </row>
    <row r="394">
      <c r="J394" s="15" t="n"/>
      <c r="K394" s="15" t="n"/>
      <c r="L394" s="15" t="n"/>
      <c r="N394" s="15" t="n"/>
      <c r="O394" s="16" t="n"/>
      <c r="P394" s="16" t="n"/>
      <c r="Q394" s="16" t="n"/>
      <c r="W394" s="12">
        <f>IF(AND(K394&lt;&gt;"",L394&lt;&gt;""),ROUND((L394-K394)/30.4375,1),"")</f>
        <v/>
      </c>
      <c r="X394" s="12">
        <f>IF(OR(A394="",M394="En ejecución",L394=""),"",YEAR(L394))</f>
        <v/>
      </c>
      <c r="Y394" s="13">
        <f>IF(X394="","",IFERROR(VLOOKUP(X394,SMMLV!$A$2:$B$38,2,FALSE),""))</f>
        <v/>
      </c>
      <c r="Z394" s="17">
        <f>IF(OR(Y394="",P394=""),"",ROUND(P394/Y394,2))</f>
        <v/>
      </c>
      <c r="AA394" s="13">
        <f>IF(Z394="","",ROUND(Z394*SMMLV!$E$4,0))</f>
        <v/>
      </c>
      <c r="AB394" s="13">
        <f>IF(AND(M394="En ejecución",P394&lt;&gt;"",Q394&lt;&gt;""),MAX(P394-Q394,0),"")</f>
        <v/>
      </c>
      <c r="AC394" s="12">
        <f>IF(A394="","",IF(B394="","Falta número de contrato; ","")&amp;IF(C394="","Falta entidad; ","")&amp;IF(E394="","Falta objeto; ","")&amp;IF(F394="","Falta especialidad; ","")&amp;IF(K394="","Falta fecha de inicio (recomendada); ","")&amp;IF(AND(M394&lt;&gt;"En ejecución",L394=""),"Falta fecha de terminación; ","")&amp;IF(AND(K394&lt;&gt;"",L394&lt;&gt;"",L394&lt;K394),"Terminación anterior al inicio; ","")&amp;IF(M394="","Falta estado; ","")&amp;IF(OR(P394="",P394&lt;=0),"Falta valor del contrato; ","")&amp;IF(AND(M394="En ejecución",Q394=""),"En ejecución sin valor ejecutado; ","")&amp;IF(AND(M394="En ejecución",L394&lt;&gt;"",L394&lt;TODAY()),"Dice en ejecución pero su terminación ya pasó; ","")&amp;IF(M394="En ejecución","En ejecución: no acredita experiencia; ","")&amp;IF(AND(M394&lt;&gt;"En ejecución",L394&lt;&gt;"",X394&lt;&gt;"",Y394=""),"El año no está en la hoja SMMLV; ","")&amp;IF(AND(B394&lt;&gt;"",COUNTIFS($B$2:$B$601,B394,$C$2:$C$601,C394)&gt;1),"Posible duplicado (mismo número y entidad); ","")&amp;IF(COUNTIF(PARTICIPACIONES!$A$2:$A$601,A394)=0,"Sin participaciones; ","")&amp;IF(SUMIFS(PARTICIPACIONES!$E$2:$E$601,PARTICIPACIONES!$A$2:$A$601,A394)&gt;1.0001,"Las participaciones suman más de 100 %; ",""))</f>
        <v/>
      </c>
    </row>
    <row r="395">
      <c r="J395" s="15" t="n"/>
      <c r="K395" s="15" t="n"/>
      <c r="L395" s="15" t="n"/>
      <c r="N395" s="15" t="n"/>
      <c r="O395" s="16" t="n"/>
      <c r="P395" s="16" t="n"/>
      <c r="Q395" s="16" t="n"/>
      <c r="W395" s="12">
        <f>IF(AND(K395&lt;&gt;"",L395&lt;&gt;""),ROUND((L395-K395)/30.4375,1),"")</f>
        <v/>
      </c>
      <c r="X395" s="12">
        <f>IF(OR(A395="",M395="En ejecución",L395=""),"",YEAR(L395))</f>
        <v/>
      </c>
      <c r="Y395" s="13">
        <f>IF(X395="","",IFERROR(VLOOKUP(X395,SMMLV!$A$2:$B$38,2,FALSE),""))</f>
        <v/>
      </c>
      <c r="Z395" s="17">
        <f>IF(OR(Y395="",P395=""),"",ROUND(P395/Y395,2))</f>
        <v/>
      </c>
      <c r="AA395" s="13">
        <f>IF(Z395="","",ROUND(Z395*SMMLV!$E$4,0))</f>
        <v/>
      </c>
      <c r="AB395" s="13">
        <f>IF(AND(M395="En ejecución",P395&lt;&gt;"",Q395&lt;&gt;""),MAX(P395-Q395,0),"")</f>
        <v/>
      </c>
      <c r="AC395" s="12">
        <f>IF(A395="","",IF(B395="","Falta número de contrato; ","")&amp;IF(C395="","Falta entidad; ","")&amp;IF(E395="","Falta objeto; ","")&amp;IF(F395="","Falta especialidad; ","")&amp;IF(K395="","Falta fecha de inicio (recomendada); ","")&amp;IF(AND(M395&lt;&gt;"En ejecución",L395=""),"Falta fecha de terminación; ","")&amp;IF(AND(K395&lt;&gt;"",L395&lt;&gt;"",L395&lt;K395),"Terminación anterior al inicio; ","")&amp;IF(M395="","Falta estado; ","")&amp;IF(OR(P395="",P395&lt;=0),"Falta valor del contrato; ","")&amp;IF(AND(M395="En ejecución",Q395=""),"En ejecución sin valor ejecutado; ","")&amp;IF(AND(M395="En ejecución",L395&lt;&gt;"",L395&lt;TODAY()),"Dice en ejecución pero su terminación ya pasó; ","")&amp;IF(M395="En ejecución","En ejecución: no acredita experiencia; ","")&amp;IF(AND(M395&lt;&gt;"En ejecución",L395&lt;&gt;"",X395&lt;&gt;"",Y395=""),"El año no está en la hoja SMMLV; ","")&amp;IF(AND(B395&lt;&gt;"",COUNTIFS($B$2:$B$601,B395,$C$2:$C$601,C395)&gt;1),"Posible duplicado (mismo número y entidad); ","")&amp;IF(COUNTIF(PARTICIPACIONES!$A$2:$A$601,A395)=0,"Sin participaciones; ","")&amp;IF(SUMIFS(PARTICIPACIONES!$E$2:$E$601,PARTICIPACIONES!$A$2:$A$601,A395)&gt;1.0001,"Las participaciones suman más de 100 %; ",""))</f>
        <v/>
      </c>
    </row>
    <row r="396">
      <c r="J396" s="15" t="n"/>
      <c r="K396" s="15" t="n"/>
      <c r="L396" s="15" t="n"/>
      <c r="N396" s="15" t="n"/>
      <c r="O396" s="16" t="n"/>
      <c r="P396" s="16" t="n"/>
      <c r="Q396" s="16" t="n"/>
      <c r="W396" s="12">
        <f>IF(AND(K396&lt;&gt;"",L396&lt;&gt;""),ROUND((L396-K396)/30.4375,1),"")</f>
        <v/>
      </c>
      <c r="X396" s="12">
        <f>IF(OR(A396="",M396="En ejecución",L396=""),"",YEAR(L396))</f>
        <v/>
      </c>
      <c r="Y396" s="13">
        <f>IF(X396="","",IFERROR(VLOOKUP(X396,SMMLV!$A$2:$B$38,2,FALSE),""))</f>
        <v/>
      </c>
      <c r="Z396" s="17">
        <f>IF(OR(Y396="",P396=""),"",ROUND(P396/Y396,2))</f>
        <v/>
      </c>
      <c r="AA396" s="13">
        <f>IF(Z396="","",ROUND(Z396*SMMLV!$E$4,0))</f>
        <v/>
      </c>
      <c r="AB396" s="13">
        <f>IF(AND(M396="En ejecución",P396&lt;&gt;"",Q396&lt;&gt;""),MAX(P396-Q396,0),"")</f>
        <v/>
      </c>
      <c r="AC396" s="12">
        <f>IF(A396="","",IF(B396="","Falta número de contrato; ","")&amp;IF(C396="","Falta entidad; ","")&amp;IF(E396="","Falta objeto; ","")&amp;IF(F396="","Falta especialidad; ","")&amp;IF(K396="","Falta fecha de inicio (recomendada); ","")&amp;IF(AND(M396&lt;&gt;"En ejecución",L396=""),"Falta fecha de terminación; ","")&amp;IF(AND(K396&lt;&gt;"",L396&lt;&gt;"",L396&lt;K396),"Terminación anterior al inicio; ","")&amp;IF(M396="","Falta estado; ","")&amp;IF(OR(P396="",P396&lt;=0),"Falta valor del contrato; ","")&amp;IF(AND(M396="En ejecución",Q396=""),"En ejecución sin valor ejecutado; ","")&amp;IF(AND(M396="En ejecución",L396&lt;&gt;"",L396&lt;TODAY()),"Dice en ejecución pero su terminación ya pasó; ","")&amp;IF(M396="En ejecución","En ejecución: no acredita experiencia; ","")&amp;IF(AND(M396&lt;&gt;"En ejecución",L396&lt;&gt;"",X396&lt;&gt;"",Y396=""),"El año no está en la hoja SMMLV; ","")&amp;IF(AND(B396&lt;&gt;"",COUNTIFS($B$2:$B$601,B396,$C$2:$C$601,C396)&gt;1),"Posible duplicado (mismo número y entidad); ","")&amp;IF(COUNTIF(PARTICIPACIONES!$A$2:$A$601,A396)=0,"Sin participaciones; ","")&amp;IF(SUMIFS(PARTICIPACIONES!$E$2:$E$601,PARTICIPACIONES!$A$2:$A$601,A396)&gt;1.0001,"Las participaciones suman más de 100 %; ",""))</f>
        <v/>
      </c>
    </row>
    <row r="397">
      <c r="J397" s="15" t="n"/>
      <c r="K397" s="15" t="n"/>
      <c r="L397" s="15" t="n"/>
      <c r="N397" s="15" t="n"/>
      <c r="O397" s="16" t="n"/>
      <c r="P397" s="16" t="n"/>
      <c r="Q397" s="16" t="n"/>
      <c r="W397" s="12">
        <f>IF(AND(K397&lt;&gt;"",L397&lt;&gt;""),ROUND((L397-K397)/30.4375,1),"")</f>
        <v/>
      </c>
      <c r="X397" s="12">
        <f>IF(OR(A397="",M397="En ejecución",L397=""),"",YEAR(L397))</f>
        <v/>
      </c>
      <c r="Y397" s="13">
        <f>IF(X397="","",IFERROR(VLOOKUP(X397,SMMLV!$A$2:$B$38,2,FALSE),""))</f>
        <v/>
      </c>
      <c r="Z397" s="17">
        <f>IF(OR(Y397="",P397=""),"",ROUND(P397/Y397,2))</f>
        <v/>
      </c>
      <c r="AA397" s="13">
        <f>IF(Z397="","",ROUND(Z397*SMMLV!$E$4,0))</f>
        <v/>
      </c>
      <c r="AB397" s="13">
        <f>IF(AND(M397="En ejecución",P397&lt;&gt;"",Q397&lt;&gt;""),MAX(P397-Q397,0),"")</f>
        <v/>
      </c>
      <c r="AC397" s="12">
        <f>IF(A397="","",IF(B397="","Falta número de contrato; ","")&amp;IF(C397="","Falta entidad; ","")&amp;IF(E397="","Falta objeto; ","")&amp;IF(F397="","Falta especialidad; ","")&amp;IF(K397="","Falta fecha de inicio (recomendada); ","")&amp;IF(AND(M397&lt;&gt;"En ejecución",L397=""),"Falta fecha de terminación; ","")&amp;IF(AND(K397&lt;&gt;"",L397&lt;&gt;"",L397&lt;K397),"Terminación anterior al inicio; ","")&amp;IF(M397="","Falta estado; ","")&amp;IF(OR(P397="",P397&lt;=0),"Falta valor del contrato; ","")&amp;IF(AND(M397="En ejecución",Q397=""),"En ejecución sin valor ejecutado; ","")&amp;IF(AND(M397="En ejecución",L397&lt;&gt;"",L397&lt;TODAY()),"Dice en ejecución pero su terminación ya pasó; ","")&amp;IF(M397="En ejecución","En ejecución: no acredita experiencia; ","")&amp;IF(AND(M397&lt;&gt;"En ejecución",L397&lt;&gt;"",X397&lt;&gt;"",Y397=""),"El año no está en la hoja SMMLV; ","")&amp;IF(AND(B397&lt;&gt;"",COUNTIFS($B$2:$B$601,B397,$C$2:$C$601,C397)&gt;1),"Posible duplicado (mismo número y entidad); ","")&amp;IF(COUNTIF(PARTICIPACIONES!$A$2:$A$601,A397)=0,"Sin participaciones; ","")&amp;IF(SUMIFS(PARTICIPACIONES!$E$2:$E$601,PARTICIPACIONES!$A$2:$A$601,A397)&gt;1.0001,"Las participaciones suman más de 100 %; ",""))</f>
        <v/>
      </c>
    </row>
    <row r="398">
      <c r="J398" s="15" t="n"/>
      <c r="K398" s="15" t="n"/>
      <c r="L398" s="15" t="n"/>
      <c r="N398" s="15" t="n"/>
      <c r="O398" s="16" t="n"/>
      <c r="P398" s="16" t="n"/>
      <c r="Q398" s="16" t="n"/>
      <c r="W398" s="12">
        <f>IF(AND(K398&lt;&gt;"",L398&lt;&gt;""),ROUND((L398-K398)/30.4375,1),"")</f>
        <v/>
      </c>
      <c r="X398" s="12">
        <f>IF(OR(A398="",M398="En ejecución",L398=""),"",YEAR(L398))</f>
        <v/>
      </c>
      <c r="Y398" s="13">
        <f>IF(X398="","",IFERROR(VLOOKUP(X398,SMMLV!$A$2:$B$38,2,FALSE),""))</f>
        <v/>
      </c>
      <c r="Z398" s="17">
        <f>IF(OR(Y398="",P398=""),"",ROUND(P398/Y398,2))</f>
        <v/>
      </c>
      <c r="AA398" s="13">
        <f>IF(Z398="","",ROUND(Z398*SMMLV!$E$4,0))</f>
        <v/>
      </c>
      <c r="AB398" s="13">
        <f>IF(AND(M398="En ejecución",P398&lt;&gt;"",Q398&lt;&gt;""),MAX(P398-Q398,0),"")</f>
        <v/>
      </c>
      <c r="AC398" s="12">
        <f>IF(A398="","",IF(B398="","Falta número de contrato; ","")&amp;IF(C398="","Falta entidad; ","")&amp;IF(E398="","Falta objeto; ","")&amp;IF(F398="","Falta especialidad; ","")&amp;IF(K398="","Falta fecha de inicio (recomendada); ","")&amp;IF(AND(M398&lt;&gt;"En ejecución",L398=""),"Falta fecha de terminación; ","")&amp;IF(AND(K398&lt;&gt;"",L398&lt;&gt;"",L398&lt;K398),"Terminación anterior al inicio; ","")&amp;IF(M398="","Falta estado; ","")&amp;IF(OR(P398="",P398&lt;=0),"Falta valor del contrato; ","")&amp;IF(AND(M398="En ejecución",Q398=""),"En ejecución sin valor ejecutado; ","")&amp;IF(AND(M398="En ejecución",L398&lt;&gt;"",L398&lt;TODAY()),"Dice en ejecución pero su terminación ya pasó; ","")&amp;IF(M398="En ejecución","En ejecución: no acredita experiencia; ","")&amp;IF(AND(M398&lt;&gt;"En ejecución",L398&lt;&gt;"",X398&lt;&gt;"",Y398=""),"El año no está en la hoja SMMLV; ","")&amp;IF(AND(B398&lt;&gt;"",COUNTIFS($B$2:$B$601,B398,$C$2:$C$601,C398)&gt;1),"Posible duplicado (mismo número y entidad); ","")&amp;IF(COUNTIF(PARTICIPACIONES!$A$2:$A$601,A398)=0,"Sin participaciones; ","")&amp;IF(SUMIFS(PARTICIPACIONES!$E$2:$E$601,PARTICIPACIONES!$A$2:$A$601,A398)&gt;1.0001,"Las participaciones suman más de 100 %; ",""))</f>
        <v/>
      </c>
    </row>
    <row r="399">
      <c r="J399" s="15" t="n"/>
      <c r="K399" s="15" t="n"/>
      <c r="L399" s="15" t="n"/>
      <c r="N399" s="15" t="n"/>
      <c r="O399" s="16" t="n"/>
      <c r="P399" s="16" t="n"/>
      <c r="Q399" s="16" t="n"/>
      <c r="W399" s="12">
        <f>IF(AND(K399&lt;&gt;"",L399&lt;&gt;""),ROUND((L399-K399)/30.4375,1),"")</f>
        <v/>
      </c>
      <c r="X399" s="12">
        <f>IF(OR(A399="",M399="En ejecución",L399=""),"",YEAR(L399))</f>
        <v/>
      </c>
      <c r="Y399" s="13">
        <f>IF(X399="","",IFERROR(VLOOKUP(X399,SMMLV!$A$2:$B$38,2,FALSE),""))</f>
        <v/>
      </c>
      <c r="Z399" s="17">
        <f>IF(OR(Y399="",P399=""),"",ROUND(P399/Y399,2))</f>
        <v/>
      </c>
      <c r="AA399" s="13">
        <f>IF(Z399="","",ROUND(Z399*SMMLV!$E$4,0))</f>
        <v/>
      </c>
      <c r="AB399" s="13">
        <f>IF(AND(M399="En ejecución",P399&lt;&gt;"",Q399&lt;&gt;""),MAX(P399-Q399,0),"")</f>
        <v/>
      </c>
      <c r="AC399" s="12">
        <f>IF(A399="","",IF(B399="","Falta número de contrato; ","")&amp;IF(C399="","Falta entidad; ","")&amp;IF(E399="","Falta objeto; ","")&amp;IF(F399="","Falta especialidad; ","")&amp;IF(K399="","Falta fecha de inicio (recomendada); ","")&amp;IF(AND(M399&lt;&gt;"En ejecución",L399=""),"Falta fecha de terminación; ","")&amp;IF(AND(K399&lt;&gt;"",L399&lt;&gt;"",L399&lt;K399),"Terminación anterior al inicio; ","")&amp;IF(M399="","Falta estado; ","")&amp;IF(OR(P399="",P399&lt;=0),"Falta valor del contrato; ","")&amp;IF(AND(M399="En ejecución",Q399=""),"En ejecución sin valor ejecutado; ","")&amp;IF(AND(M399="En ejecución",L399&lt;&gt;"",L399&lt;TODAY()),"Dice en ejecución pero su terminación ya pasó; ","")&amp;IF(M399="En ejecución","En ejecución: no acredita experiencia; ","")&amp;IF(AND(M399&lt;&gt;"En ejecución",L399&lt;&gt;"",X399&lt;&gt;"",Y399=""),"El año no está en la hoja SMMLV; ","")&amp;IF(AND(B399&lt;&gt;"",COUNTIFS($B$2:$B$601,B399,$C$2:$C$601,C399)&gt;1),"Posible duplicado (mismo número y entidad); ","")&amp;IF(COUNTIF(PARTICIPACIONES!$A$2:$A$601,A399)=0,"Sin participaciones; ","")&amp;IF(SUMIFS(PARTICIPACIONES!$E$2:$E$601,PARTICIPACIONES!$A$2:$A$601,A399)&gt;1.0001,"Las participaciones suman más de 100 %; ",""))</f>
        <v/>
      </c>
    </row>
    <row r="400">
      <c r="J400" s="15" t="n"/>
      <c r="K400" s="15" t="n"/>
      <c r="L400" s="15" t="n"/>
      <c r="N400" s="15" t="n"/>
      <c r="O400" s="16" t="n"/>
      <c r="P400" s="16" t="n"/>
      <c r="Q400" s="16" t="n"/>
      <c r="W400" s="12">
        <f>IF(AND(K400&lt;&gt;"",L400&lt;&gt;""),ROUND((L400-K400)/30.4375,1),"")</f>
        <v/>
      </c>
      <c r="X400" s="12">
        <f>IF(OR(A400="",M400="En ejecución",L400=""),"",YEAR(L400))</f>
        <v/>
      </c>
      <c r="Y400" s="13">
        <f>IF(X400="","",IFERROR(VLOOKUP(X400,SMMLV!$A$2:$B$38,2,FALSE),""))</f>
        <v/>
      </c>
      <c r="Z400" s="17">
        <f>IF(OR(Y400="",P400=""),"",ROUND(P400/Y400,2))</f>
        <v/>
      </c>
      <c r="AA400" s="13">
        <f>IF(Z400="","",ROUND(Z400*SMMLV!$E$4,0))</f>
        <v/>
      </c>
      <c r="AB400" s="13">
        <f>IF(AND(M400="En ejecución",P400&lt;&gt;"",Q400&lt;&gt;""),MAX(P400-Q400,0),"")</f>
        <v/>
      </c>
      <c r="AC400" s="12">
        <f>IF(A400="","",IF(B400="","Falta número de contrato; ","")&amp;IF(C400="","Falta entidad; ","")&amp;IF(E400="","Falta objeto; ","")&amp;IF(F400="","Falta especialidad; ","")&amp;IF(K400="","Falta fecha de inicio (recomendada); ","")&amp;IF(AND(M400&lt;&gt;"En ejecución",L400=""),"Falta fecha de terminación; ","")&amp;IF(AND(K400&lt;&gt;"",L400&lt;&gt;"",L400&lt;K400),"Terminación anterior al inicio; ","")&amp;IF(M400="","Falta estado; ","")&amp;IF(OR(P400="",P400&lt;=0),"Falta valor del contrato; ","")&amp;IF(AND(M400="En ejecución",Q400=""),"En ejecución sin valor ejecutado; ","")&amp;IF(AND(M400="En ejecución",L400&lt;&gt;"",L400&lt;TODAY()),"Dice en ejecución pero su terminación ya pasó; ","")&amp;IF(M400="En ejecución","En ejecución: no acredita experiencia; ","")&amp;IF(AND(M400&lt;&gt;"En ejecución",L400&lt;&gt;"",X400&lt;&gt;"",Y400=""),"El año no está en la hoja SMMLV; ","")&amp;IF(AND(B400&lt;&gt;"",COUNTIFS($B$2:$B$601,B400,$C$2:$C$601,C400)&gt;1),"Posible duplicado (mismo número y entidad); ","")&amp;IF(COUNTIF(PARTICIPACIONES!$A$2:$A$601,A400)=0,"Sin participaciones; ","")&amp;IF(SUMIFS(PARTICIPACIONES!$E$2:$E$601,PARTICIPACIONES!$A$2:$A$601,A400)&gt;1.0001,"Las participaciones suman más de 100 %; ",""))</f>
        <v/>
      </c>
    </row>
    <row r="401">
      <c r="J401" s="15" t="n"/>
      <c r="K401" s="15" t="n"/>
      <c r="L401" s="15" t="n"/>
      <c r="N401" s="15" t="n"/>
      <c r="O401" s="16" t="n"/>
      <c r="P401" s="16" t="n"/>
      <c r="Q401" s="16" t="n"/>
      <c r="W401" s="12">
        <f>IF(AND(K401&lt;&gt;"",L401&lt;&gt;""),ROUND((L401-K401)/30.4375,1),"")</f>
        <v/>
      </c>
      <c r="X401" s="12">
        <f>IF(OR(A401="",M401="En ejecución",L401=""),"",YEAR(L401))</f>
        <v/>
      </c>
      <c r="Y401" s="13">
        <f>IF(X401="","",IFERROR(VLOOKUP(X401,SMMLV!$A$2:$B$38,2,FALSE),""))</f>
        <v/>
      </c>
      <c r="Z401" s="17">
        <f>IF(OR(Y401="",P401=""),"",ROUND(P401/Y401,2))</f>
        <v/>
      </c>
      <c r="AA401" s="13">
        <f>IF(Z401="","",ROUND(Z401*SMMLV!$E$4,0))</f>
        <v/>
      </c>
      <c r="AB401" s="13">
        <f>IF(AND(M401="En ejecución",P401&lt;&gt;"",Q401&lt;&gt;""),MAX(P401-Q401,0),"")</f>
        <v/>
      </c>
      <c r="AC401" s="12">
        <f>IF(A401="","",IF(B401="","Falta número de contrato; ","")&amp;IF(C401="","Falta entidad; ","")&amp;IF(E401="","Falta objeto; ","")&amp;IF(F401="","Falta especialidad; ","")&amp;IF(K401="","Falta fecha de inicio (recomendada); ","")&amp;IF(AND(M401&lt;&gt;"En ejecución",L401=""),"Falta fecha de terminación; ","")&amp;IF(AND(K401&lt;&gt;"",L401&lt;&gt;"",L401&lt;K401),"Terminación anterior al inicio; ","")&amp;IF(M401="","Falta estado; ","")&amp;IF(OR(P401="",P401&lt;=0),"Falta valor del contrato; ","")&amp;IF(AND(M401="En ejecución",Q401=""),"En ejecución sin valor ejecutado; ","")&amp;IF(AND(M401="En ejecución",L401&lt;&gt;"",L401&lt;TODAY()),"Dice en ejecución pero su terminación ya pasó; ","")&amp;IF(M401="En ejecución","En ejecución: no acredita experiencia; ","")&amp;IF(AND(M401&lt;&gt;"En ejecución",L401&lt;&gt;"",X401&lt;&gt;"",Y401=""),"El año no está en la hoja SMMLV; ","")&amp;IF(AND(B401&lt;&gt;"",COUNTIFS($B$2:$B$601,B401,$C$2:$C$601,C401)&gt;1),"Posible duplicado (mismo número y entidad); ","")&amp;IF(COUNTIF(PARTICIPACIONES!$A$2:$A$601,A401)=0,"Sin participaciones; ","")&amp;IF(SUMIFS(PARTICIPACIONES!$E$2:$E$601,PARTICIPACIONES!$A$2:$A$601,A401)&gt;1.0001,"Las participaciones suman más de 100 %; ",""))</f>
        <v/>
      </c>
    </row>
    <row r="402">
      <c r="J402" s="15" t="n"/>
      <c r="K402" s="15" t="n"/>
      <c r="L402" s="15" t="n"/>
      <c r="N402" s="15" t="n"/>
      <c r="O402" s="16" t="n"/>
      <c r="P402" s="16" t="n"/>
      <c r="Q402" s="16" t="n"/>
      <c r="W402" s="12">
        <f>IF(AND(K402&lt;&gt;"",L402&lt;&gt;""),ROUND((L402-K402)/30.4375,1),"")</f>
        <v/>
      </c>
      <c r="X402" s="12">
        <f>IF(OR(A402="",M402="En ejecución",L402=""),"",YEAR(L402))</f>
        <v/>
      </c>
      <c r="Y402" s="13">
        <f>IF(X402="","",IFERROR(VLOOKUP(X402,SMMLV!$A$2:$B$38,2,FALSE),""))</f>
        <v/>
      </c>
      <c r="Z402" s="17">
        <f>IF(OR(Y402="",P402=""),"",ROUND(P402/Y402,2))</f>
        <v/>
      </c>
      <c r="AA402" s="13">
        <f>IF(Z402="","",ROUND(Z402*SMMLV!$E$4,0))</f>
        <v/>
      </c>
      <c r="AB402" s="13">
        <f>IF(AND(M402="En ejecución",P402&lt;&gt;"",Q402&lt;&gt;""),MAX(P402-Q402,0),"")</f>
        <v/>
      </c>
      <c r="AC402" s="12">
        <f>IF(A402="","",IF(B402="","Falta número de contrato; ","")&amp;IF(C402="","Falta entidad; ","")&amp;IF(E402="","Falta objeto; ","")&amp;IF(F402="","Falta especialidad; ","")&amp;IF(K402="","Falta fecha de inicio (recomendada); ","")&amp;IF(AND(M402&lt;&gt;"En ejecución",L402=""),"Falta fecha de terminación; ","")&amp;IF(AND(K402&lt;&gt;"",L402&lt;&gt;"",L402&lt;K402),"Terminación anterior al inicio; ","")&amp;IF(M402="","Falta estado; ","")&amp;IF(OR(P402="",P402&lt;=0),"Falta valor del contrato; ","")&amp;IF(AND(M402="En ejecución",Q402=""),"En ejecución sin valor ejecutado; ","")&amp;IF(AND(M402="En ejecución",L402&lt;&gt;"",L402&lt;TODAY()),"Dice en ejecución pero su terminación ya pasó; ","")&amp;IF(M402="En ejecución","En ejecución: no acredita experiencia; ","")&amp;IF(AND(M402&lt;&gt;"En ejecución",L402&lt;&gt;"",X402&lt;&gt;"",Y402=""),"El año no está en la hoja SMMLV; ","")&amp;IF(AND(B402&lt;&gt;"",COUNTIFS($B$2:$B$601,B402,$C$2:$C$601,C402)&gt;1),"Posible duplicado (mismo número y entidad); ","")&amp;IF(COUNTIF(PARTICIPACIONES!$A$2:$A$601,A402)=0,"Sin participaciones; ","")&amp;IF(SUMIFS(PARTICIPACIONES!$E$2:$E$601,PARTICIPACIONES!$A$2:$A$601,A402)&gt;1.0001,"Las participaciones suman más de 100 %; ",""))</f>
        <v/>
      </c>
    </row>
    <row r="403">
      <c r="J403" s="15" t="n"/>
      <c r="K403" s="15" t="n"/>
      <c r="L403" s="15" t="n"/>
      <c r="N403" s="15" t="n"/>
      <c r="O403" s="16" t="n"/>
      <c r="P403" s="16" t="n"/>
      <c r="Q403" s="16" t="n"/>
      <c r="W403" s="12">
        <f>IF(AND(K403&lt;&gt;"",L403&lt;&gt;""),ROUND((L403-K403)/30.4375,1),"")</f>
        <v/>
      </c>
      <c r="X403" s="12">
        <f>IF(OR(A403="",M403="En ejecución",L403=""),"",YEAR(L403))</f>
        <v/>
      </c>
      <c r="Y403" s="13">
        <f>IF(X403="","",IFERROR(VLOOKUP(X403,SMMLV!$A$2:$B$38,2,FALSE),""))</f>
        <v/>
      </c>
      <c r="Z403" s="17">
        <f>IF(OR(Y403="",P403=""),"",ROUND(P403/Y403,2))</f>
        <v/>
      </c>
      <c r="AA403" s="13">
        <f>IF(Z403="","",ROUND(Z403*SMMLV!$E$4,0))</f>
        <v/>
      </c>
      <c r="AB403" s="13">
        <f>IF(AND(M403="En ejecución",P403&lt;&gt;"",Q403&lt;&gt;""),MAX(P403-Q403,0),"")</f>
        <v/>
      </c>
      <c r="AC403" s="12">
        <f>IF(A403="","",IF(B403="","Falta número de contrato; ","")&amp;IF(C403="","Falta entidad; ","")&amp;IF(E403="","Falta objeto; ","")&amp;IF(F403="","Falta especialidad; ","")&amp;IF(K403="","Falta fecha de inicio (recomendada); ","")&amp;IF(AND(M403&lt;&gt;"En ejecución",L403=""),"Falta fecha de terminación; ","")&amp;IF(AND(K403&lt;&gt;"",L403&lt;&gt;"",L403&lt;K403),"Terminación anterior al inicio; ","")&amp;IF(M403="","Falta estado; ","")&amp;IF(OR(P403="",P403&lt;=0),"Falta valor del contrato; ","")&amp;IF(AND(M403="En ejecución",Q403=""),"En ejecución sin valor ejecutado; ","")&amp;IF(AND(M403="En ejecución",L403&lt;&gt;"",L403&lt;TODAY()),"Dice en ejecución pero su terminación ya pasó; ","")&amp;IF(M403="En ejecución","En ejecución: no acredita experiencia; ","")&amp;IF(AND(M403&lt;&gt;"En ejecución",L403&lt;&gt;"",X403&lt;&gt;"",Y403=""),"El año no está en la hoja SMMLV; ","")&amp;IF(AND(B403&lt;&gt;"",COUNTIFS($B$2:$B$601,B403,$C$2:$C$601,C403)&gt;1),"Posible duplicado (mismo número y entidad); ","")&amp;IF(COUNTIF(PARTICIPACIONES!$A$2:$A$601,A403)=0,"Sin participaciones; ","")&amp;IF(SUMIFS(PARTICIPACIONES!$E$2:$E$601,PARTICIPACIONES!$A$2:$A$601,A403)&gt;1.0001,"Las participaciones suman más de 100 %; ",""))</f>
        <v/>
      </c>
    </row>
    <row r="404">
      <c r="J404" s="15" t="n"/>
      <c r="K404" s="15" t="n"/>
      <c r="L404" s="15" t="n"/>
      <c r="N404" s="15" t="n"/>
      <c r="O404" s="16" t="n"/>
      <c r="P404" s="16" t="n"/>
      <c r="Q404" s="16" t="n"/>
      <c r="W404" s="12">
        <f>IF(AND(K404&lt;&gt;"",L404&lt;&gt;""),ROUND((L404-K404)/30.4375,1),"")</f>
        <v/>
      </c>
      <c r="X404" s="12">
        <f>IF(OR(A404="",M404="En ejecución",L404=""),"",YEAR(L404))</f>
        <v/>
      </c>
      <c r="Y404" s="13">
        <f>IF(X404="","",IFERROR(VLOOKUP(X404,SMMLV!$A$2:$B$38,2,FALSE),""))</f>
        <v/>
      </c>
      <c r="Z404" s="17">
        <f>IF(OR(Y404="",P404=""),"",ROUND(P404/Y404,2))</f>
        <v/>
      </c>
      <c r="AA404" s="13">
        <f>IF(Z404="","",ROUND(Z404*SMMLV!$E$4,0))</f>
        <v/>
      </c>
      <c r="AB404" s="13">
        <f>IF(AND(M404="En ejecución",P404&lt;&gt;"",Q404&lt;&gt;""),MAX(P404-Q404,0),"")</f>
        <v/>
      </c>
      <c r="AC404" s="12">
        <f>IF(A404="","",IF(B404="","Falta número de contrato; ","")&amp;IF(C404="","Falta entidad; ","")&amp;IF(E404="","Falta objeto; ","")&amp;IF(F404="","Falta especialidad; ","")&amp;IF(K404="","Falta fecha de inicio (recomendada); ","")&amp;IF(AND(M404&lt;&gt;"En ejecución",L404=""),"Falta fecha de terminación; ","")&amp;IF(AND(K404&lt;&gt;"",L404&lt;&gt;"",L404&lt;K404),"Terminación anterior al inicio; ","")&amp;IF(M404="","Falta estado; ","")&amp;IF(OR(P404="",P404&lt;=0),"Falta valor del contrato; ","")&amp;IF(AND(M404="En ejecución",Q404=""),"En ejecución sin valor ejecutado; ","")&amp;IF(AND(M404="En ejecución",L404&lt;&gt;"",L404&lt;TODAY()),"Dice en ejecución pero su terminación ya pasó; ","")&amp;IF(M404="En ejecución","En ejecución: no acredita experiencia; ","")&amp;IF(AND(M404&lt;&gt;"En ejecución",L404&lt;&gt;"",X404&lt;&gt;"",Y404=""),"El año no está en la hoja SMMLV; ","")&amp;IF(AND(B404&lt;&gt;"",COUNTIFS($B$2:$B$601,B404,$C$2:$C$601,C404)&gt;1),"Posible duplicado (mismo número y entidad); ","")&amp;IF(COUNTIF(PARTICIPACIONES!$A$2:$A$601,A404)=0,"Sin participaciones; ","")&amp;IF(SUMIFS(PARTICIPACIONES!$E$2:$E$601,PARTICIPACIONES!$A$2:$A$601,A404)&gt;1.0001,"Las participaciones suman más de 100 %; ",""))</f>
        <v/>
      </c>
    </row>
    <row r="405">
      <c r="J405" s="15" t="n"/>
      <c r="K405" s="15" t="n"/>
      <c r="L405" s="15" t="n"/>
      <c r="N405" s="15" t="n"/>
      <c r="O405" s="16" t="n"/>
      <c r="P405" s="16" t="n"/>
      <c r="Q405" s="16" t="n"/>
      <c r="W405" s="12">
        <f>IF(AND(K405&lt;&gt;"",L405&lt;&gt;""),ROUND((L405-K405)/30.4375,1),"")</f>
        <v/>
      </c>
      <c r="X405" s="12">
        <f>IF(OR(A405="",M405="En ejecución",L405=""),"",YEAR(L405))</f>
        <v/>
      </c>
      <c r="Y405" s="13">
        <f>IF(X405="","",IFERROR(VLOOKUP(X405,SMMLV!$A$2:$B$38,2,FALSE),""))</f>
        <v/>
      </c>
      <c r="Z405" s="17">
        <f>IF(OR(Y405="",P405=""),"",ROUND(P405/Y405,2))</f>
        <v/>
      </c>
      <c r="AA405" s="13">
        <f>IF(Z405="","",ROUND(Z405*SMMLV!$E$4,0))</f>
        <v/>
      </c>
      <c r="AB405" s="13">
        <f>IF(AND(M405="En ejecución",P405&lt;&gt;"",Q405&lt;&gt;""),MAX(P405-Q405,0),"")</f>
        <v/>
      </c>
      <c r="AC405" s="12">
        <f>IF(A405="","",IF(B405="","Falta número de contrato; ","")&amp;IF(C405="","Falta entidad; ","")&amp;IF(E405="","Falta objeto; ","")&amp;IF(F405="","Falta especialidad; ","")&amp;IF(K405="","Falta fecha de inicio (recomendada); ","")&amp;IF(AND(M405&lt;&gt;"En ejecución",L405=""),"Falta fecha de terminación; ","")&amp;IF(AND(K405&lt;&gt;"",L405&lt;&gt;"",L405&lt;K405),"Terminación anterior al inicio; ","")&amp;IF(M405="","Falta estado; ","")&amp;IF(OR(P405="",P405&lt;=0),"Falta valor del contrato; ","")&amp;IF(AND(M405="En ejecución",Q405=""),"En ejecución sin valor ejecutado; ","")&amp;IF(AND(M405="En ejecución",L405&lt;&gt;"",L405&lt;TODAY()),"Dice en ejecución pero su terminación ya pasó; ","")&amp;IF(M405="En ejecución","En ejecución: no acredita experiencia; ","")&amp;IF(AND(M405&lt;&gt;"En ejecución",L405&lt;&gt;"",X405&lt;&gt;"",Y405=""),"El año no está en la hoja SMMLV; ","")&amp;IF(AND(B405&lt;&gt;"",COUNTIFS($B$2:$B$601,B405,$C$2:$C$601,C405)&gt;1),"Posible duplicado (mismo número y entidad); ","")&amp;IF(COUNTIF(PARTICIPACIONES!$A$2:$A$601,A405)=0,"Sin participaciones; ","")&amp;IF(SUMIFS(PARTICIPACIONES!$E$2:$E$601,PARTICIPACIONES!$A$2:$A$601,A405)&gt;1.0001,"Las participaciones suman más de 100 %; ",""))</f>
        <v/>
      </c>
    </row>
    <row r="406">
      <c r="J406" s="15" t="n"/>
      <c r="K406" s="15" t="n"/>
      <c r="L406" s="15" t="n"/>
      <c r="N406" s="15" t="n"/>
      <c r="O406" s="16" t="n"/>
      <c r="P406" s="16" t="n"/>
      <c r="Q406" s="16" t="n"/>
      <c r="W406" s="12">
        <f>IF(AND(K406&lt;&gt;"",L406&lt;&gt;""),ROUND((L406-K406)/30.4375,1),"")</f>
        <v/>
      </c>
      <c r="X406" s="12">
        <f>IF(OR(A406="",M406="En ejecución",L406=""),"",YEAR(L406))</f>
        <v/>
      </c>
      <c r="Y406" s="13">
        <f>IF(X406="","",IFERROR(VLOOKUP(X406,SMMLV!$A$2:$B$38,2,FALSE),""))</f>
        <v/>
      </c>
      <c r="Z406" s="17">
        <f>IF(OR(Y406="",P406=""),"",ROUND(P406/Y406,2))</f>
        <v/>
      </c>
      <c r="AA406" s="13">
        <f>IF(Z406="","",ROUND(Z406*SMMLV!$E$4,0))</f>
        <v/>
      </c>
      <c r="AB406" s="13">
        <f>IF(AND(M406="En ejecución",P406&lt;&gt;"",Q406&lt;&gt;""),MAX(P406-Q406,0),"")</f>
        <v/>
      </c>
      <c r="AC406" s="12">
        <f>IF(A406="","",IF(B406="","Falta número de contrato; ","")&amp;IF(C406="","Falta entidad; ","")&amp;IF(E406="","Falta objeto; ","")&amp;IF(F406="","Falta especialidad; ","")&amp;IF(K406="","Falta fecha de inicio (recomendada); ","")&amp;IF(AND(M406&lt;&gt;"En ejecución",L406=""),"Falta fecha de terminación; ","")&amp;IF(AND(K406&lt;&gt;"",L406&lt;&gt;"",L406&lt;K406),"Terminación anterior al inicio; ","")&amp;IF(M406="","Falta estado; ","")&amp;IF(OR(P406="",P406&lt;=0),"Falta valor del contrato; ","")&amp;IF(AND(M406="En ejecución",Q406=""),"En ejecución sin valor ejecutado; ","")&amp;IF(AND(M406="En ejecución",L406&lt;&gt;"",L406&lt;TODAY()),"Dice en ejecución pero su terminación ya pasó; ","")&amp;IF(M406="En ejecución","En ejecución: no acredita experiencia; ","")&amp;IF(AND(M406&lt;&gt;"En ejecución",L406&lt;&gt;"",X406&lt;&gt;"",Y406=""),"El año no está en la hoja SMMLV; ","")&amp;IF(AND(B406&lt;&gt;"",COUNTIFS($B$2:$B$601,B406,$C$2:$C$601,C406)&gt;1),"Posible duplicado (mismo número y entidad); ","")&amp;IF(COUNTIF(PARTICIPACIONES!$A$2:$A$601,A406)=0,"Sin participaciones; ","")&amp;IF(SUMIFS(PARTICIPACIONES!$E$2:$E$601,PARTICIPACIONES!$A$2:$A$601,A406)&gt;1.0001,"Las participaciones suman más de 100 %; ",""))</f>
        <v/>
      </c>
    </row>
    <row r="407">
      <c r="J407" s="15" t="n"/>
      <c r="K407" s="15" t="n"/>
      <c r="L407" s="15" t="n"/>
      <c r="N407" s="15" t="n"/>
      <c r="O407" s="16" t="n"/>
      <c r="P407" s="16" t="n"/>
      <c r="Q407" s="16" t="n"/>
      <c r="W407" s="12">
        <f>IF(AND(K407&lt;&gt;"",L407&lt;&gt;""),ROUND((L407-K407)/30.4375,1),"")</f>
        <v/>
      </c>
      <c r="X407" s="12">
        <f>IF(OR(A407="",M407="En ejecución",L407=""),"",YEAR(L407))</f>
        <v/>
      </c>
      <c r="Y407" s="13">
        <f>IF(X407="","",IFERROR(VLOOKUP(X407,SMMLV!$A$2:$B$38,2,FALSE),""))</f>
        <v/>
      </c>
      <c r="Z407" s="17">
        <f>IF(OR(Y407="",P407=""),"",ROUND(P407/Y407,2))</f>
        <v/>
      </c>
      <c r="AA407" s="13">
        <f>IF(Z407="","",ROUND(Z407*SMMLV!$E$4,0))</f>
        <v/>
      </c>
      <c r="AB407" s="13">
        <f>IF(AND(M407="En ejecución",P407&lt;&gt;"",Q407&lt;&gt;""),MAX(P407-Q407,0),"")</f>
        <v/>
      </c>
      <c r="AC407" s="12">
        <f>IF(A407="","",IF(B407="","Falta número de contrato; ","")&amp;IF(C407="","Falta entidad; ","")&amp;IF(E407="","Falta objeto; ","")&amp;IF(F407="","Falta especialidad; ","")&amp;IF(K407="","Falta fecha de inicio (recomendada); ","")&amp;IF(AND(M407&lt;&gt;"En ejecución",L407=""),"Falta fecha de terminación; ","")&amp;IF(AND(K407&lt;&gt;"",L407&lt;&gt;"",L407&lt;K407),"Terminación anterior al inicio; ","")&amp;IF(M407="","Falta estado; ","")&amp;IF(OR(P407="",P407&lt;=0),"Falta valor del contrato; ","")&amp;IF(AND(M407="En ejecución",Q407=""),"En ejecución sin valor ejecutado; ","")&amp;IF(AND(M407="En ejecución",L407&lt;&gt;"",L407&lt;TODAY()),"Dice en ejecución pero su terminación ya pasó; ","")&amp;IF(M407="En ejecución","En ejecución: no acredita experiencia; ","")&amp;IF(AND(M407&lt;&gt;"En ejecución",L407&lt;&gt;"",X407&lt;&gt;"",Y407=""),"El año no está en la hoja SMMLV; ","")&amp;IF(AND(B407&lt;&gt;"",COUNTIFS($B$2:$B$601,B407,$C$2:$C$601,C407)&gt;1),"Posible duplicado (mismo número y entidad); ","")&amp;IF(COUNTIF(PARTICIPACIONES!$A$2:$A$601,A407)=0,"Sin participaciones; ","")&amp;IF(SUMIFS(PARTICIPACIONES!$E$2:$E$601,PARTICIPACIONES!$A$2:$A$601,A407)&gt;1.0001,"Las participaciones suman más de 100 %; ",""))</f>
        <v/>
      </c>
    </row>
    <row r="408">
      <c r="J408" s="15" t="n"/>
      <c r="K408" s="15" t="n"/>
      <c r="L408" s="15" t="n"/>
      <c r="N408" s="15" t="n"/>
      <c r="O408" s="16" t="n"/>
      <c r="P408" s="16" t="n"/>
      <c r="Q408" s="16" t="n"/>
      <c r="W408" s="12">
        <f>IF(AND(K408&lt;&gt;"",L408&lt;&gt;""),ROUND((L408-K408)/30.4375,1),"")</f>
        <v/>
      </c>
      <c r="X408" s="12">
        <f>IF(OR(A408="",M408="En ejecución",L408=""),"",YEAR(L408))</f>
        <v/>
      </c>
      <c r="Y408" s="13">
        <f>IF(X408="","",IFERROR(VLOOKUP(X408,SMMLV!$A$2:$B$38,2,FALSE),""))</f>
        <v/>
      </c>
      <c r="Z408" s="17">
        <f>IF(OR(Y408="",P408=""),"",ROUND(P408/Y408,2))</f>
        <v/>
      </c>
      <c r="AA408" s="13">
        <f>IF(Z408="","",ROUND(Z408*SMMLV!$E$4,0))</f>
        <v/>
      </c>
      <c r="AB408" s="13">
        <f>IF(AND(M408="En ejecución",P408&lt;&gt;"",Q408&lt;&gt;""),MAX(P408-Q408,0),"")</f>
        <v/>
      </c>
      <c r="AC408" s="12">
        <f>IF(A408="","",IF(B408="","Falta número de contrato; ","")&amp;IF(C408="","Falta entidad; ","")&amp;IF(E408="","Falta objeto; ","")&amp;IF(F408="","Falta especialidad; ","")&amp;IF(K408="","Falta fecha de inicio (recomendada); ","")&amp;IF(AND(M408&lt;&gt;"En ejecución",L408=""),"Falta fecha de terminación; ","")&amp;IF(AND(K408&lt;&gt;"",L408&lt;&gt;"",L408&lt;K408),"Terminación anterior al inicio; ","")&amp;IF(M408="","Falta estado; ","")&amp;IF(OR(P408="",P408&lt;=0),"Falta valor del contrato; ","")&amp;IF(AND(M408="En ejecución",Q408=""),"En ejecución sin valor ejecutado; ","")&amp;IF(AND(M408="En ejecución",L408&lt;&gt;"",L408&lt;TODAY()),"Dice en ejecución pero su terminación ya pasó; ","")&amp;IF(M408="En ejecución","En ejecución: no acredita experiencia; ","")&amp;IF(AND(M408&lt;&gt;"En ejecución",L408&lt;&gt;"",X408&lt;&gt;"",Y408=""),"El año no está en la hoja SMMLV; ","")&amp;IF(AND(B408&lt;&gt;"",COUNTIFS($B$2:$B$601,B408,$C$2:$C$601,C408)&gt;1),"Posible duplicado (mismo número y entidad); ","")&amp;IF(COUNTIF(PARTICIPACIONES!$A$2:$A$601,A408)=0,"Sin participaciones; ","")&amp;IF(SUMIFS(PARTICIPACIONES!$E$2:$E$601,PARTICIPACIONES!$A$2:$A$601,A408)&gt;1.0001,"Las participaciones suman más de 100 %; ",""))</f>
        <v/>
      </c>
    </row>
    <row r="409">
      <c r="J409" s="15" t="n"/>
      <c r="K409" s="15" t="n"/>
      <c r="L409" s="15" t="n"/>
      <c r="N409" s="15" t="n"/>
      <c r="O409" s="16" t="n"/>
      <c r="P409" s="16" t="n"/>
      <c r="Q409" s="16" t="n"/>
      <c r="W409" s="12">
        <f>IF(AND(K409&lt;&gt;"",L409&lt;&gt;""),ROUND((L409-K409)/30.4375,1),"")</f>
        <v/>
      </c>
      <c r="X409" s="12">
        <f>IF(OR(A409="",M409="En ejecución",L409=""),"",YEAR(L409))</f>
        <v/>
      </c>
      <c r="Y409" s="13">
        <f>IF(X409="","",IFERROR(VLOOKUP(X409,SMMLV!$A$2:$B$38,2,FALSE),""))</f>
        <v/>
      </c>
      <c r="Z409" s="17">
        <f>IF(OR(Y409="",P409=""),"",ROUND(P409/Y409,2))</f>
        <v/>
      </c>
      <c r="AA409" s="13">
        <f>IF(Z409="","",ROUND(Z409*SMMLV!$E$4,0))</f>
        <v/>
      </c>
      <c r="AB409" s="13">
        <f>IF(AND(M409="En ejecución",P409&lt;&gt;"",Q409&lt;&gt;""),MAX(P409-Q409,0),"")</f>
        <v/>
      </c>
      <c r="AC409" s="12">
        <f>IF(A409="","",IF(B409="","Falta número de contrato; ","")&amp;IF(C409="","Falta entidad; ","")&amp;IF(E409="","Falta objeto; ","")&amp;IF(F409="","Falta especialidad; ","")&amp;IF(K409="","Falta fecha de inicio (recomendada); ","")&amp;IF(AND(M409&lt;&gt;"En ejecución",L409=""),"Falta fecha de terminación; ","")&amp;IF(AND(K409&lt;&gt;"",L409&lt;&gt;"",L409&lt;K409),"Terminación anterior al inicio; ","")&amp;IF(M409="","Falta estado; ","")&amp;IF(OR(P409="",P409&lt;=0),"Falta valor del contrato; ","")&amp;IF(AND(M409="En ejecución",Q409=""),"En ejecución sin valor ejecutado; ","")&amp;IF(AND(M409="En ejecución",L409&lt;&gt;"",L409&lt;TODAY()),"Dice en ejecución pero su terminación ya pasó; ","")&amp;IF(M409="En ejecución","En ejecución: no acredita experiencia; ","")&amp;IF(AND(M409&lt;&gt;"En ejecución",L409&lt;&gt;"",X409&lt;&gt;"",Y409=""),"El año no está en la hoja SMMLV; ","")&amp;IF(AND(B409&lt;&gt;"",COUNTIFS($B$2:$B$601,B409,$C$2:$C$601,C409)&gt;1),"Posible duplicado (mismo número y entidad); ","")&amp;IF(COUNTIF(PARTICIPACIONES!$A$2:$A$601,A409)=0,"Sin participaciones; ","")&amp;IF(SUMIFS(PARTICIPACIONES!$E$2:$E$601,PARTICIPACIONES!$A$2:$A$601,A409)&gt;1.0001,"Las participaciones suman más de 100 %; ",""))</f>
        <v/>
      </c>
    </row>
    <row r="410">
      <c r="J410" s="15" t="n"/>
      <c r="K410" s="15" t="n"/>
      <c r="L410" s="15" t="n"/>
      <c r="N410" s="15" t="n"/>
      <c r="O410" s="16" t="n"/>
      <c r="P410" s="16" t="n"/>
      <c r="Q410" s="16" t="n"/>
      <c r="W410" s="12">
        <f>IF(AND(K410&lt;&gt;"",L410&lt;&gt;""),ROUND((L410-K410)/30.4375,1),"")</f>
        <v/>
      </c>
      <c r="X410" s="12">
        <f>IF(OR(A410="",M410="En ejecución",L410=""),"",YEAR(L410))</f>
        <v/>
      </c>
      <c r="Y410" s="13">
        <f>IF(X410="","",IFERROR(VLOOKUP(X410,SMMLV!$A$2:$B$38,2,FALSE),""))</f>
        <v/>
      </c>
      <c r="Z410" s="17">
        <f>IF(OR(Y410="",P410=""),"",ROUND(P410/Y410,2))</f>
        <v/>
      </c>
      <c r="AA410" s="13">
        <f>IF(Z410="","",ROUND(Z410*SMMLV!$E$4,0))</f>
        <v/>
      </c>
      <c r="AB410" s="13">
        <f>IF(AND(M410="En ejecución",P410&lt;&gt;"",Q410&lt;&gt;""),MAX(P410-Q410,0),"")</f>
        <v/>
      </c>
      <c r="AC410" s="12">
        <f>IF(A410="","",IF(B410="","Falta número de contrato; ","")&amp;IF(C410="","Falta entidad; ","")&amp;IF(E410="","Falta objeto; ","")&amp;IF(F410="","Falta especialidad; ","")&amp;IF(K410="","Falta fecha de inicio (recomendada); ","")&amp;IF(AND(M410&lt;&gt;"En ejecución",L410=""),"Falta fecha de terminación; ","")&amp;IF(AND(K410&lt;&gt;"",L410&lt;&gt;"",L410&lt;K410),"Terminación anterior al inicio; ","")&amp;IF(M410="","Falta estado; ","")&amp;IF(OR(P410="",P410&lt;=0),"Falta valor del contrato; ","")&amp;IF(AND(M410="En ejecución",Q410=""),"En ejecución sin valor ejecutado; ","")&amp;IF(AND(M410="En ejecución",L410&lt;&gt;"",L410&lt;TODAY()),"Dice en ejecución pero su terminación ya pasó; ","")&amp;IF(M410="En ejecución","En ejecución: no acredita experiencia; ","")&amp;IF(AND(M410&lt;&gt;"En ejecución",L410&lt;&gt;"",X410&lt;&gt;"",Y410=""),"El año no está en la hoja SMMLV; ","")&amp;IF(AND(B410&lt;&gt;"",COUNTIFS($B$2:$B$601,B410,$C$2:$C$601,C410)&gt;1),"Posible duplicado (mismo número y entidad); ","")&amp;IF(COUNTIF(PARTICIPACIONES!$A$2:$A$601,A410)=0,"Sin participaciones; ","")&amp;IF(SUMIFS(PARTICIPACIONES!$E$2:$E$601,PARTICIPACIONES!$A$2:$A$601,A410)&gt;1.0001,"Las participaciones suman más de 100 %; ",""))</f>
        <v/>
      </c>
    </row>
    <row r="411">
      <c r="J411" s="15" t="n"/>
      <c r="K411" s="15" t="n"/>
      <c r="L411" s="15" t="n"/>
      <c r="N411" s="15" t="n"/>
      <c r="O411" s="16" t="n"/>
      <c r="P411" s="16" t="n"/>
      <c r="Q411" s="16" t="n"/>
      <c r="W411" s="12">
        <f>IF(AND(K411&lt;&gt;"",L411&lt;&gt;""),ROUND((L411-K411)/30.4375,1),"")</f>
        <v/>
      </c>
      <c r="X411" s="12">
        <f>IF(OR(A411="",M411="En ejecución",L411=""),"",YEAR(L411))</f>
        <v/>
      </c>
      <c r="Y411" s="13">
        <f>IF(X411="","",IFERROR(VLOOKUP(X411,SMMLV!$A$2:$B$38,2,FALSE),""))</f>
        <v/>
      </c>
      <c r="Z411" s="17">
        <f>IF(OR(Y411="",P411=""),"",ROUND(P411/Y411,2))</f>
        <v/>
      </c>
      <c r="AA411" s="13">
        <f>IF(Z411="","",ROUND(Z411*SMMLV!$E$4,0))</f>
        <v/>
      </c>
      <c r="AB411" s="13">
        <f>IF(AND(M411="En ejecución",P411&lt;&gt;"",Q411&lt;&gt;""),MAX(P411-Q411,0),"")</f>
        <v/>
      </c>
      <c r="AC411" s="12">
        <f>IF(A411="","",IF(B411="","Falta número de contrato; ","")&amp;IF(C411="","Falta entidad; ","")&amp;IF(E411="","Falta objeto; ","")&amp;IF(F411="","Falta especialidad; ","")&amp;IF(K411="","Falta fecha de inicio (recomendada); ","")&amp;IF(AND(M411&lt;&gt;"En ejecución",L411=""),"Falta fecha de terminación; ","")&amp;IF(AND(K411&lt;&gt;"",L411&lt;&gt;"",L411&lt;K411),"Terminación anterior al inicio; ","")&amp;IF(M411="","Falta estado; ","")&amp;IF(OR(P411="",P411&lt;=0),"Falta valor del contrato; ","")&amp;IF(AND(M411="En ejecución",Q411=""),"En ejecución sin valor ejecutado; ","")&amp;IF(AND(M411="En ejecución",L411&lt;&gt;"",L411&lt;TODAY()),"Dice en ejecución pero su terminación ya pasó; ","")&amp;IF(M411="En ejecución","En ejecución: no acredita experiencia; ","")&amp;IF(AND(M411&lt;&gt;"En ejecución",L411&lt;&gt;"",X411&lt;&gt;"",Y411=""),"El año no está en la hoja SMMLV; ","")&amp;IF(AND(B411&lt;&gt;"",COUNTIFS($B$2:$B$601,B411,$C$2:$C$601,C411)&gt;1),"Posible duplicado (mismo número y entidad); ","")&amp;IF(COUNTIF(PARTICIPACIONES!$A$2:$A$601,A411)=0,"Sin participaciones; ","")&amp;IF(SUMIFS(PARTICIPACIONES!$E$2:$E$601,PARTICIPACIONES!$A$2:$A$601,A411)&gt;1.0001,"Las participaciones suman más de 100 %; ",""))</f>
        <v/>
      </c>
    </row>
    <row r="412">
      <c r="J412" s="15" t="n"/>
      <c r="K412" s="15" t="n"/>
      <c r="L412" s="15" t="n"/>
      <c r="N412" s="15" t="n"/>
      <c r="O412" s="16" t="n"/>
      <c r="P412" s="16" t="n"/>
      <c r="Q412" s="16" t="n"/>
      <c r="W412" s="12">
        <f>IF(AND(K412&lt;&gt;"",L412&lt;&gt;""),ROUND((L412-K412)/30.4375,1),"")</f>
        <v/>
      </c>
      <c r="X412" s="12">
        <f>IF(OR(A412="",M412="En ejecución",L412=""),"",YEAR(L412))</f>
        <v/>
      </c>
      <c r="Y412" s="13">
        <f>IF(X412="","",IFERROR(VLOOKUP(X412,SMMLV!$A$2:$B$38,2,FALSE),""))</f>
        <v/>
      </c>
      <c r="Z412" s="17">
        <f>IF(OR(Y412="",P412=""),"",ROUND(P412/Y412,2))</f>
        <v/>
      </c>
      <c r="AA412" s="13">
        <f>IF(Z412="","",ROUND(Z412*SMMLV!$E$4,0))</f>
        <v/>
      </c>
      <c r="AB412" s="13">
        <f>IF(AND(M412="En ejecución",P412&lt;&gt;"",Q412&lt;&gt;""),MAX(P412-Q412,0),"")</f>
        <v/>
      </c>
      <c r="AC412" s="12">
        <f>IF(A412="","",IF(B412="","Falta número de contrato; ","")&amp;IF(C412="","Falta entidad; ","")&amp;IF(E412="","Falta objeto; ","")&amp;IF(F412="","Falta especialidad; ","")&amp;IF(K412="","Falta fecha de inicio (recomendada); ","")&amp;IF(AND(M412&lt;&gt;"En ejecución",L412=""),"Falta fecha de terminación; ","")&amp;IF(AND(K412&lt;&gt;"",L412&lt;&gt;"",L412&lt;K412),"Terminación anterior al inicio; ","")&amp;IF(M412="","Falta estado; ","")&amp;IF(OR(P412="",P412&lt;=0),"Falta valor del contrato; ","")&amp;IF(AND(M412="En ejecución",Q412=""),"En ejecución sin valor ejecutado; ","")&amp;IF(AND(M412="En ejecución",L412&lt;&gt;"",L412&lt;TODAY()),"Dice en ejecución pero su terminación ya pasó; ","")&amp;IF(M412="En ejecución","En ejecución: no acredita experiencia; ","")&amp;IF(AND(M412&lt;&gt;"En ejecución",L412&lt;&gt;"",X412&lt;&gt;"",Y412=""),"El año no está en la hoja SMMLV; ","")&amp;IF(AND(B412&lt;&gt;"",COUNTIFS($B$2:$B$601,B412,$C$2:$C$601,C412)&gt;1),"Posible duplicado (mismo número y entidad); ","")&amp;IF(COUNTIF(PARTICIPACIONES!$A$2:$A$601,A412)=0,"Sin participaciones; ","")&amp;IF(SUMIFS(PARTICIPACIONES!$E$2:$E$601,PARTICIPACIONES!$A$2:$A$601,A412)&gt;1.0001,"Las participaciones suman más de 100 %; ",""))</f>
        <v/>
      </c>
    </row>
    <row r="413">
      <c r="J413" s="15" t="n"/>
      <c r="K413" s="15" t="n"/>
      <c r="L413" s="15" t="n"/>
      <c r="N413" s="15" t="n"/>
      <c r="O413" s="16" t="n"/>
      <c r="P413" s="16" t="n"/>
      <c r="Q413" s="16" t="n"/>
      <c r="W413" s="12">
        <f>IF(AND(K413&lt;&gt;"",L413&lt;&gt;""),ROUND((L413-K413)/30.4375,1),"")</f>
        <v/>
      </c>
      <c r="X413" s="12">
        <f>IF(OR(A413="",M413="En ejecución",L413=""),"",YEAR(L413))</f>
        <v/>
      </c>
      <c r="Y413" s="13">
        <f>IF(X413="","",IFERROR(VLOOKUP(X413,SMMLV!$A$2:$B$38,2,FALSE),""))</f>
        <v/>
      </c>
      <c r="Z413" s="17">
        <f>IF(OR(Y413="",P413=""),"",ROUND(P413/Y413,2))</f>
        <v/>
      </c>
      <c r="AA413" s="13">
        <f>IF(Z413="","",ROUND(Z413*SMMLV!$E$4,0))</f>
        <v/>
      </c>
      <c r="AB413" s="13">
        <f>IF(AND(M413="En ejecución",P413&lt;&gt;"",Q413&lt;&gt;""),MAX(P413-Q413,0),"")</f>
        <v/>
      </c>
      <c r="AC413" s="12">
        <f>IF(A413="","",IF(B413="","Falta número de contrato; ","")&amp;IF(C413="","Falta entidad; ","")&amp;IF(E413="","Falta objeto; ","")&amp;IF(F413="","Falta especialidad; ","")&amp;IF(K413="","Falta fecha de inicio (recomendada); ","")&amp;IF(AND(M413&lt;&gt;"En ejecución",L413=""),"Falta fecha de terminación; ","")&amp;IF(AND(K413&lt;&gt;"",L413&lt;&gt;"",L413&lt;K413),"Terminación anterior al inicio; ","")&amp;IF(M413="","Falta estado; ","")&amp;IF(OR(P413="",P413&lt;=0),"Falta valor del contrato; ","")&amp;IF(AND(M413="En ejecución",Q413=""),"En ejecución sin valor ejecutado; ","")&amp;IF(AND(M413="En ejecución",L413&lt;&gt;"",L413&lt;TODAY()),"Dice en ejecución pero su terminación ya pasó; ","")&amp;IF(M413="En ejecución","En ejecución: no acredita experiencia; ","")&amp;IF(AND(M413&lt;&gt;"En ejecución",L413&lt;&gt;"",X413&lt;&gt;"",Y413=""),"El año no está en la hoja SMMLV; ","")&amp;IF(AND(B413&lt;&gt;"",COUNTIFS($B$2:$B$601,B413,$C$2:$C$601,C413)&gt;1),"Posible duplicado (mismo número y entidad); ","")&amp;IF(COUNTIF(PARTICIPACIONES!$A$2:$A$601,A413)=0,"Sin participaciones; ","")&amp;IF(SUMIFS(PARTICIPACIONES!$E$2:$E$601,PARTICIPACIONES!$A$2:$A$601,A413)&gt;1.0001,"Las participaciones suman más de 100 %; ",""))</f>
        <v/>
      </c>
    </row>
    <row r="414">
      <c r="J414" s="15" t="n"/>
      <c r="K414" s="15" t="n"/>
      <c r="L414" s="15" t="n"/>
      <c r="N414" s="15" t="n"/>
      <c r="O414" s="16" t="n"/>
      <c r="P414" s="16" t="n"/>
      <c r="Q414" s="16" t="n"/>
      <c r="W414" s="12">
        <f>IF(AND(K414&lt;&gt;"",L414&lt;&gt;""),ROUND((L414-K414)/30.4375,1),"")</f>
        <v/>
      </c>
      <c r="X414" s="12">
        <f>IF(OR(A414="",M414="En ejecución",L414=""),"",YEAR(L414))</f>
        <v/>
      </c>
      <c r="Y414" s="13">
        <f>IF(X414="","",IFERROR(VLOOKUP(X414,SMMLV!$A$2:$B$38,2,FALSE),""))</f>
        <v/>
      </c>
      <c r="Z414" s="17">
        <f>IF(OR(Y414="",P414=""),"",ROUND(P414/Y414,2))</f>
        <v/>
      </c>
      <c r="AA414" s="13">
        <f>IF(Z414="","",ROUND(Z414*SMMLV!$E$4,0))</f>
        <v/>
      </c>
      <c r="AB414" s="13">
        <f>IF(AND(M414="En ejecución",P414&lt;&gt;"",Q414&lt;&gt;""),MAX(P414-Q414,0),"")</f>
        <v/>
      </c>
      <c r="AC414" s="12">
        <f>IF(A414="","",IF(B414="","Falta número de contrato; ","")&amp;IF(C414="","Falta entidad; ","")&amp;IF(E414="","Falta objeto; ","")&amp;IF(F414="","Falta especialidad; ","")&amp;IF(K414="","Falta fecha de inicio (recomendada); ","")&amp;IF(AND(M414&lt;&gt;"En ejecución",L414=""),"Falta fecha de terminación; ","")&amp;IF(AND(K414&lt;&gt;"",L414&lt;&gt;"",L414&lt;K414),"Terminación anterior al inicio; ","")&amp;IF(M414="","Falta estado; ","")&amp;IF(OR(P414="",P414&lt;=0),"Falta valor del contrato; ","")&amp;IF(AND(M414="En ejecución",Q414=""),"En ejecución sin valor ejecutado; ","")&amp;IF(AND(M414="En ejecución",L414&lt;&gt;"",L414&lt;TODAY()),"Dice en ejecución pero su terminación ya pasó; ","")&amp;IF(M414="En ejecución","En ejecución: no acredita experiencia; ","")&amp;IF(AND(M414&lt;&gt;"En ejecución",L414&lt;&gt;"",X414&lt;&gt;"",Y414=""),"El año no está en la hoja SMMLV; ","")&amp;IF(AND(B414&lt;&gt;"",COUNTIFS($B$2:$B$601,B414,$C$2:$C$601,C414)&gt;1),"Posible duplicado (mismo número y entidad); ","")&amp;IF(COUNTIF(PARTICIPACIONES!$A$2:$A$601,A414)=0,"Sin participaciones; ","")&amp;IF(SUMIFS(PARTICIPACIONES!$E$2:$E$601,PARTICIPACIONES!$A$2:$A$601,A414)&gt;1.0001,"Las participaciones suman más de 100 %; ",""))</f>
        <v/>
      </c>
    </row>
    <row r="415">
      <c r="J415" s="15" t="n"/>
      <c r="K415" s="15" t="n"/>
      <c r="L415" s="15" t="n"/>
      <c r="N415" s="15" t="n"/>
      <c r="O415" s="16" t="n"/>
      <c r="P415" s="16" t="n"/>
      <c r="Q415" s="16" t="n"/>
      <c r="W415" s="12">
        <f>IF(AND(K415&lt;&gt;"",L415&lt;&gt;""),ROUND((L415-K415)/30.4375,1),"")</f>
        <v/>
      </c>
      <c r="X415" s="12">
        <f>IF(OR(A415="",M415="En ejecución",L415=""),"",YEAR(L415))</f>
        <v/>
      </c>
      <c r="Y415" s="13">
        <f>IF(X415="","",IFERROR(VLOOKUP(X415,SMMLV!$A$2:$B$38,2,FALSE),""))</f>
        <v/>
      </c>
      <c r="Z415" s="17">
        <f>IF(OR(Y415="",P415=""),"",ROUND(P415/Y415,2))</f>
        <v/>
      </c>
      <c r="AA415" s="13">
        <f>IF(Z415="","",ROUND(Z415*SMMLV!$E$4,0))</f>
        <v/>
      </c>
      <c r="AB415" s="13">
        <f>IF(AND(M415="En ejecución",P415&lt;&gt;"",Q415&lt;&gt;""),MAX(P415-Q415,0),"")</f>
        <v/>
      </c>
      <c r="AC415" s="12">
        <f>IF(A415="","",IF(B415="","Falta número de contrato; ","")&amp;IF(C415="","Falta entidad; ","")&amp;IF(E415="","Falta objeto; ","")&amp;IF(F415="","Falta especialidad; ","")&amp;IF(K415="","Falta fecha de inicio (recomendada); ","")&amp;IF(AND(M415&lt;&gt;"En ejecución",L415=""),"Falta fecha de terminación; ","")&amp;IF(AND(K415&lt;&gt;"",L415&lt;&gt;"",L415&lt;K415),"Terminación anterior al inicio; ","")&amp;IF(M415="","Falta estado; ","")&amp;IF(OR(P415="",P415&lt;=0),"Falta valor del contrato; ","")&amp;IF(AND(M415="En ejecución",Q415=""),"En ejecución sin valor ejecutado; ","")&amp;IF(AND(M415="En ejecución",L415&lt;&gt;"",L415&lt;TODAY()),"Dice en ejecución pero su terminación ya pasó; ","")&amp;IF(M415="En ejecución","En ejecución: no acredita experiencia; ","")&amp;IF(AND(M415&lt;&gt;"En ejecución",L415&lt;&gt;"",X415&lt;&gt;"",Y415=""),"El año no está en la hoja SMMLV; ","")&amp;IF(AND(B415&lt;&gt;"",COUNTIFS($B$2:$B$601,B415,$C$2:$C$601,C415)&gt;1),"Posible duplicado (mismo número y entidad); ","")&amp;IF(COUNTIF(PARTICIPACIONES!$A$2:$A$601,A415)=0,"Sin participaciones; ","")&amp;IF(SUMIFS(PARTICIPACIONES!$E$2:$E$601,PARTICIPACIONES!$A$2:$A$601,A415)&gt;1.0001,"Las participaciones suman más de 100 %; ",""))</f>
        <v/>
      </c>
    </row>
    <row r="416">
      <c r="J416" s="15" t="n"/>
      <c r="K416" s="15" t="n"/>
      <c r="L416" s="15" t="n"/>
      <c r="N416" s="15" t="n"/>
      <c r="O416" s="16" t="n"/>
      <c r="P416" s="16" t="n"/>
      <c r="Q416" s="16" t="n"/>
      <c r="W416" s="12">
        <f>IF(AND(K416&lt;&gt;"",L416&lt;&gt;""),ROUND((L416-K416)/30.4375,1),"")</f>
        <v/>
      </c>
      <c r="X416" s="12">
        <f>IF(OR(A416="",M416="En ejecución",L416=""),"",YEAR(L416))</f>
        <v/>
      </c>
      <c r="Y416" s="13">
        <f>IF(X416="","",IFERROR(VLOOKUP(X416,SMMLV!$A$2:$B$38,2,FALSE),""))</f>
        <v/>
      </c>
      <c r="Z416" s="17">
        <f>IF(OR(Y416="",P416=""),"",ROUND(P416/Y416,2))</f>
        <v/>
      </c>
      <c r="AA416" s="13">
        <f>IF(Z416="","",ROUND(Z416*SMMLV!$E$4,0))</f>
        <v/>
      </c>
      <c r="AB416" s="13">
        <f>IF(AND(M416="En ejecución",P416&lt;&gt;"",Q416&lt;&gt;""),MAX(P416-Q416,0),"")</f>
        <v/>
      </c>
      <c r="AC416" s="12">
        <f>IF(A416="","",IF(B416="","Falta número de contrato; ","")&amp;IF(C416="","Falta entidad; ","")&amp;IF(E416="","Falta objeto; ","")&amp;IF(F416="","Falta especialidad; ","")&amp;IF(K416="","Falta fecha de inicio (recomendada); ","")&amp;IF(AND(M416&lt;&gt;"En ejecución",L416=""),"Falta fecha de terminación; ","")&amp;IF(AND(K416&lt;&gt;"",L416&lt;&gt;"",L416&lt;K416),"Terminación anterior al inicio; ","")&amp;IF(M416="","Falta estado; ","")&amp;IF(OR(P416="",P416&lt;=0),"Falta valor del contrato; ","")&amp;IF(AND(M416="En ejecución",Q416=""),"En ejecución sin valor ejecutado; ","")&amp;IF(AND(M416="En ejecución",L416&lt;&gt;"",L416&lt;TODAY()),"Dice en ejecución pero su terminación ya pasó; ","")&amp;IF(M416="En ejecución","En ejecución: no acredita experiencia; ","")&amp;IF(AND(M416&lt;&gt;"En ejecución",L416&lt;&gt;"",X416&lt;&gt;"",Y416=""),"El año no está en la hoja SMMLV; ","")&amp;IF(AND(B416&lt;&gt;"",COUNTIFS($B$2:$B$601,B416,$C$2:$C$601,C416)&gt;1),"Posible duplicado (mismo número y entidad); ","")&amp;IF(COUNTIF(PARTICIPACIONES!$A$2:$A$601,A416)=0,"Sin participaciones; ","")&amp;IF(SUMIFS(PARTICIPACIONES!$E$2:$E$601,PARTICIPACIONES!$A$2:$A$601,A416)&gt;1.0001,"Las participaciones suman más de 100 %; ",""))</f>
        <v/>
      </c>
    </row>
    <row r="417">
      <c r="J417" s="15" t="n"/>
      <c r="K417" s="15" t="n"/>
      <c r="L417" s="15" t="n"/>
      <c r="N417" s="15" t="n"/>
      <c r="O417" s="16" t="n"/>
      <c r="P417" s="16" t="n"/>
      <c r="Q417" s="16" t="n"/>
      <c r="W417" s="12">
        <f>IF(AND(K417&lt;&gt;"",L417&lt;&gt;""),ROUND((L417-K417)/30.4375,1),"")</f>
        <v/>
      </c>
      <c r="X417" s="12">
        <f>IF(OR(A417="",M417="En ejecución",L417=""),"",YEAR(L417))</f>
        <v/>
      </c>
      <c r="Y417" s="13">
        <f>IF(X417="","",IFERROR(VLOOKUP(X417,SMMLV!$A$2:$B$38,2,FALSE),""))</f>
        <v/>
      </c>
      <c r="Z417" s="17">
        <f>IF(OR(Y417="",P417=""),"",ROUND(P417/Y417,2))</f>
        <v/>
      </c>
      <c r="AA417" s="13">
        <f>IF(Z417="","",ROUND(Z417*SMMLV!$E$4,0))</f>
        <v/>
      </c>
      <c r="AB417" s="13">
        <f>IF(AND(M417="En ejecución",P417&lt;&gt;"",Q417&lt;&gt;""),MAX(P417-Q417,0),"")</f>
        <v/>
      </c>
      <c r="AC417" s="12">
        <f>IF(A417="","",IF(B417="","Falta número de contrato; ","")&amp;IF(C417="","Falta entidad; ","")&amp;IF(E417="","Falta objeto; ","")&amp;IF(F417="","Falta especialidad; ","")&amp;IF(K417="","Falta fecha de inicio (recomendada); ","")&amp;IF(AND(M417&lt;&gt;"En ejecución",L417=""),"Falta fecha de terminación; ","")&amp;IF(AND(K417&lt;&gt;"",L417&lt;&gt;"",L417&lt;K417),"Terminación anterior al inicio; ","")&amp;IF(M417="","Falta estado; ","")&amp;IF(OR(P417="",P417&lt;=0),"Falta valor del contrato; ","")&amp;IF(AND(M417="En ejecución",Q417=""),"En ejecución sin valor ejecutado; ","")&amp;IF(AND(M417="En ejecución",L417&lt;&gt;"",L417&lt;TODAY()),"Dice en ejecución pero su terminación ya pasó; ","")&amp;IF(M417="En ejecución","En ejecución: no acredita experiencia; ","")&amp;IF(AND(M417&lt;&gt;"En ejecución",L417&lt;&gt;"",X417&lt;&gt;"",Y417=""),"El año no está en la hoja SMMLV; ","")&amp;IF(AND(B417&lt;&gt;"",COUNTIFS($B$2:$B$601,B417,$C$2:$C$601,C417)&gt;1),"Posible duplicado (mismo número y entidad); ","")&amp;IF(COUNTIF(PARTICIPACIONES!$A$2:$A$601,A417)=0,"Sin participaciones; ","")&amp;IF(SUMIFS(PARTICIPACIONES!$E$2:$E$601,PARTICIPACIONES!$A$2:$A$601,A417)&gt;1.0001,"Las participaciones suman más de 100 %; ",""))</f>
        <v/>
      </c>
    </row>
    <row r="418">
      <c r="J418" s="15" t="n"/>
      <c r="K418" s="15" t="n"/>
      <c r="L418" s="15" t="n"/>
      <c r="N418" s="15" t="n"/>
      <c r="O418" s="16" t="n"/>
      <c r="P418" s="16" t="n"/>
      <c r="Q418" s="16" t="n"/>
      <c r="W418" s="12">
        <f>IF(AND(K418&lt;&gt;"",L418&lt;&gt;""),ROUND((L418-K418)/30.4375,1),"")</f>
        <v/>
      </c>
      <c r="X418" s="12">
        <f>IF(OR(A418="",M418="En ejecución",L418=""),"",YEAR(L418))</f>
        <v/>
      </c>
      <c r="Y418" s="13">
        <f>IF(X418="","",IFERROR(VLOOKUP(X418,SMMLV!$A$2:$B$38,2,FALSE),""))</f>
        <v/>
      </c>
      <c r="Z418" s="17">
        <f>IF(OR(Y418="",P418=""),"",ROUND(P418/Y418,2))</f>
        <v/>
      </c>
      <c r="AA418" s="13">
        <f>IF(Z418="","",ROUND(Z418*SMMLV!$E$4,0))</f>
        <v/>
      </c>
      <c r="AB418" s="13">
        <f>IF(AND(M418="En ejecución",P418&lt;&gt;"",Q418&lt;&gt;""),MAX(P418-Q418,0),"")</f>
        <v/>
      </c>
      <c r="AC418" s="12">
        <f>IF(A418="","",IF(B418="","Falta número de contrato; ","")&amp;IF(C418="","Falta entidad; ","")&amp;IF(E418="","Falta objeto; ","")&amp;IF(F418="","Falta especialidad; ","")&amp;IF(K418="","Falta fecha de inicio (recomendada); ","")&amp;IF(AND(M418&lt;&gt;"En ejecución",L418=""),"Falta fecha de terminación; ","")&amp;IF(AND(K418&lt;&gt;"",L418&lt;&gt;"",L418&lt;K418),"Terminación anterior al inicio; ","")&amp;IF(M418="","Falta estado; ","")&amp;IF(OR(P418="",P418&lt;=0),"Falta valor del contrato; ","")&amp;IF(AND(M418="En ejecución",Q418=""),"En ejecución sin valor ejecutado; ","")&amp;IF(AND(M418="En ejecución",L418&lt;&gt;"",L418&lt;TODAY()),"Dice en ejecución pero su terminación ya pasó; ","")&amp;IF(M418="En ejecución","En ejecución: no acredita experiencia; ","")&amp;IF(AND(M418&lt;&gt;"En ejecución",L418&lt;&gt;"",X418&lt;&gt;"",Y418=""),"El año no está en la hoja SMMLV; ","")&amp;IF(AND(B418&lt;&gt;"",COUNTIFS($B$2:$B$601,B418,$C$2:$C$601,C418)&gt;1),"Posible duplicado (mismo número y entidad); ","")&amp;IF(COUNTIF(PARTICIPACIONES!$A$2:$A$601,A418)=0,"Sin participaciones; ","")&amp;IF(SUMIFS(PARTICIPACIONES!$E$2:$E$601,PARTICIPACIONES!$A$2:$A$601,A418)&gt;1.0001,"Las participaciones suman más de 100 %; ",""))</f>
        <v/>
      </c>
    </row>
    <row r="419">
      <c r="J419" s="15" t="n"/>
      <c r="K419" s="15" t="n"/>
      <c r="L419" s="15" t="n"/>
      <c r="N419" s="15" t="n"/>
      <c r="O419" s="16" t="n"/>
      <c r="P419" s="16" t="n"/>
      <c r="Q419" s="16" t="n"/>
      <c r="W419" s="12">
        <f>IF(AND(K419&lt;&gt;"",L419&lt;&gt;""),ROUND((L419-K419)/30.4375,1),"")</f>
        <v/>
      </c>
      <c r="X419" s="12">
        <f>IF(OR(A419="",M419="En ejecución",L419=""),"",YEAR(L419))</f>
        <v/>
      </c>
      <c r="Y419" s="13">
        <f>IF(X419="","",IFERROR(VLOOKUP(X419,SMMLV!$A$2:$B$38,2,FALSE),""))</f>
        <v/>
      </c>
      <c r="Z419" s="17">
        <f>IF(OR(Y419="",P419=""),"",ROUND(P419/Y419,2))</f>
        <v/>
      </c>
      <c r="AA419" s="13">
        <f>IF(Z419="","",ROUND(Z419*SMMLV!$E$4,0))</f>
        <v/>
      </c>
      <c r="AB419" s="13">
        <f>IF(AND(M419="En ejecución",P419&lt;&gt;"",Q419&lt;&gt;""),MAX(P419-Q419,0),"")</f>
        <v/>
      </c>
      <c r="AC419" s="12">
        <f>IF(A419="","",IF(B419="","Falta número de contrato; ","")&amp;IF(C419="","Falta entidad; ","")&amp;IF(E419="","Falta objeto; ","")&amp;IF(F419="","Falta especialidad; ","")&amp;IF(K419="","Falta fecha de inicio (recomendada); ","")&amp;IF(AND(M419&lt;&gt;"En ejecución",L419=""),"Falta fecha de terminación; ","")&amp;IF(AND(K419&lt;&gt;"",L419&lt;&gt;"",L419&lt;K419),"Terminación anterior al inicio; ","")&amp;IF(M419="","Falta estado; ","")&amp;IF(OR(P419="",P419&lt;=0),"Falta valor del contrato; ","")&amp;IF(AND(M419="En ejecución",Q419=""),"En ejecución sin valor ejecutado; ","")&amp;IF(AND(M419="En ejecución",L419&lt;&gt;"",L419&lt;TODAY()),"Dice en ejecución pero su terminación ya pasó; ","")&amp;IF(M419="En ejecución","En ejecución: no acredita experiencia; ","")&amp;IF(AND(M419&lt;&gt;"En ejecución",L419&lt;&gt;"",X419&lt;&gt;"",Y419=""),"El año no está en la hoja SMMLV; ","")&amp;IF(AND(B419&lt;&gt;"",COUNTIFS($B$2:$B$601,B419,$C$2:$C$601,C419)&gt;1),"Posible duplicado (mismo número y entidad); ","")&amp;IF(COUNTIF(PARTICIPACIONES!$A$2:$A$601,A419)=0,"Sin participaciones; ","")&amp;IF(SUMIFS(PARTICIPACIONES!$E$2:$E$601,PARTICIPACIONES!$A$2:$A$601,A419)&gt;1.0001,"Las participaciones suman más de 100 %; ",""))</f>
        <v/>
      </c>
    </row>
    <row r="420">
      <c r="J420" s="15" t="n"/>
      <c r="K420" s="15" t="n"/>
      <c r="L420" s="15" t="n"/>
      <c r="N420" s="15" t="n"/>
      <c r="O420" s="16" t="n"/>
      <c r="P420" s="16" t="n"/>
      <c r="Q420" s="16" t="n"/>
      <c r="W420" s="12">
        <f>IF(AND(K420&lt;&gt;"",L420&lt;&gt;""),ROUND((L420-K420)/30.4375,1),"")</f>
        <v/>
      </c>
      <c r="X420" s="12">
        <f>IF(OR(A420="",M420="En ejecución",L420=""),"",YEAR(L420))</f>
        <v/>
      </c>
      <c r="Y420" s="13">
        <f>IF(X420="","",IFERROR(VLOOKUP(X420,SMMLV!$A$2:$B$38,2,FALSE),""))</f>
        <v/>
      </c>
      <c r="Z420" s="17">
        <f>IF(OR(Y420="",P420=""),"",ROUND(P420/Y420,2))</f>
        <v/>
      </c>
      <c r="AA420" s="13">
        <f>IF(Z420="","",ROUND(Z420*SMMLV!$E$4,0))</f>
        <v/>
      </c>
      <c r="AB420" s="13">
        <f>IF(AND(M420="En ejecución",P420&lt;&gt;"",Q420&lt;&gt;""),MAX(P420-Q420,0),"")</f>
        <v/>
      </c>
      <c r="AC420" s="12">
        <f>IF(A420="","",IF(B420="","Falta número de contrato; ","")&amp;IF(C420="","Falta entidad; ","")&amp;IF(E420="","Falta objeto; ","")&amp;IF(F420="","Falta especialidad; ","")&amp;IF(K420="","Falta fecha de inicio (recomendada); ","")&amp;IF(AND(M420&lt;&gt;"En ejecución",L420=""),"Falta fecha de terminación; ","")&amp;IF(AND(K420&lt;&gt;"",L420&lt;&gt;"",L420&lt;K420),"Terminación anterior al inicio; ","")&amp;IF(M420="","Falta estado; ","")&amp;IF(OR(P420="",P420&lt;=0),"Falta valor del contrato; ","")&amp;IF(AND(M420="En ejecución",Q420=""),"En ejecución sin valor ejecutado; ","")&amp;IF(AND(M420="En ejecución",L420&lt;&gt;"",L420&lt;TODAY()),"Dice en ejecución pero su terminación ya pasó; ","")&amp;IF(M420="En ejecución","En ejecución: no acredita experiencia; ","")&amp;IF(AND(M420&lt;&gt;"En ejecución",L420&lt;&gt;"",X420&lt;&gt;"",Y420=""),"El año no está en la hoja SMMLV; ","")&amp;IF(AND(B420&lt;&gt;"",COUNTIFS($B$2:$B$601,B420,$C$2:$C$601,C420)&gt;1),"Posible duplicado (mismo número y entidad); ","")&amp;IF(COUNTIF(PARTICIPACIONES!$A$2:$A$601,A420)=0,"Sin participaciones; ","")&amp;IF(SUMIFS(PARTICIPACIONES!$E$2:$E$601,PARTICIPACIONES!$A$2:$A$601,A420)&gt;1.0001,"Las participaciones suman más de 100 %; ",""))</f>
        <v/>
      </c>
    </row>
    <row r="421">
      <c r="J421" s="15" t="n"/>
      <c r="K421" s="15" t="n"/>
      <c r="L421" s="15" t="n"/>
      <c r="N421" s="15" t="n"/>
      <c r="O421" s="16" t="n"/>
      <c r="P421" s="16" t="n"/>
      <c r="Q421" s="16" t="n"/>
      <c r="W421" s="12">
        <f>IF(AND(K421&lt;&gt;"",L421&lt;&gt;""),ROUND((L421-K421)/30.4375,1),"")</f>
        <v/>
      </c>
      <c r="X421" s="12">
        <f>IF(OR(A421="",M421="En ejecución",L421=""),"",YEAR(L421))</f>
        <v/>
      </c>
      <c r="Y421" s="13">
        <f>IF(X421="","",IFERROR(VLOOKUP(X421,SMMLV!$A$2:$B$38,2,FALSE),""))</f>
        <v/>
      </c>
      <c r="Z421" s="17">
        <f>IF(OR(Y421="",P421=""),"",ROUND(P421/Y421,2))</f>
        <v/>
      </c>
      <c r="AA421" s="13">
        <f>IF(Z421="","",ROUND(Z421*SMMLV!$E$4,0))</f>
        <v/>
      </c>
      <c r="AB421" s="13">
        <f>IF(AND(M421="En ejecución",P421&lt;&gt;"",Q421&lt;&gt;""),MAX(P421-Q421,0),"")</f>
        <v/>
      </c>
      <c r="AC421" s="12">
        <f>IF(A421="","",IF(B421="","Falta número de contrato; ","")&amp;IF(C421="","Falta entidad; ","")&amp;IF(E421="","Falta objeto; ","")&amp;IF(F421="","Falta especialidad; ","")&amp;IF(K421="","Falta fecha de inicio (recomendada); ","")&amp;IF(AND(M421&lt;&gt;"En ejecución",L421=""),"Falta fecha de terminación; ","")&amp;IF(AND(K421&lt;&gt;"",L421&lt;&gt;"",L421&lt;K421),"Terminación anterior al inicio; ","")&amp;IF(M421="","Falta estado; ","")&amp;IF(OR(P421="",P421&lt;=0),"Falta valor del contrato; ","")&amp;IF(AND(M421="En ejecución",Q421=""),"En ejecución sin valor ejecutado; ","")&amp;IF(AND(M421="En ejecución",L421&lt;&gt;"",L421&lt;TODAY()),"Dice en ejecución pero su terminación ya pasó; ","")&amp;IF(M421="En ejecución","En ejecución: no acredita experiencia; ","")&amp;IF(AND(M421&lt;&gt;"En ejecución",L421&lt;&gt;"",X421&lt;&gt;"",Y421=""),"El año no está en la hoja SMMLV; ","")&amp;IF(AND(B421&lt;&gt;"",COUNTIFS($B$2:$B$601,B421,$C$2:$C$601,C421)&gt;1),"Posible duplicado (mismo número y entidad); ","")&amp;IF(COUNTIF(PARTICIPACIONES!$A$2:$A$601,A421)=0,"Sin participaciones; ","")&amp;IF(SUMIFS(PARTICIPACIONES!$E$2:$E$601,PARTICIPACIONES!$A$2:$A$601,A421)&gt;1.0001,"Las participaciones suman más de 100 %; ",""))</f>
        <v/>
      </c>
    </row>
    <row r="422">
      <c r="J422" s="15" t="n"/>
      <c r="K422" s="15" t="n"/>
      <c r="L422" s="15" t="n"/>
      <c r="N422" s="15" t="n"/>
      <c r="O422" s="16" t="n"/>
      <c r="P422" s="16" t="n"/>
      <c r="Q422" s="16" t="n"/>
      <c r="W422" s="12">
        <f>IF(AND(K422&lt;&gt;"",L422&lt;&gt;""),ROUND((L422-K422)/30.4375,1),"")</f>
        <v/>
      </c>
      <c r="X422" s="12">
        <f>IF(OR(A422="",M422="En ejecución",L422=""),"",YEAR(L422))</f>
        <v/>
      </c>
      <c r="Y422" s="13">
        <f>IF(X422="","",IFERROR(VLOOKUP(X422,SMMLV!$A$2:$B$38,2,FALSE),""))</f>
        <v/>
      </c>
      <c r="Z422" s="17">
        <f>IF(OR(Y422="",P422=""),"",ROUND(P422/Y422,2))</f>
        <v/>
      </c>
      <c r="AA422" s="13">
        <f>IF(Z422="","",ROUND(Z422*SMMLV!$E$4,0))</f>
        <v/>
      </c>
      <c r="AB422" s="13">
        <f>IF(AND(M422="En ejecución",P422&lt;&gt;"",Q422&lt;&gt;""),MAX(P422-Q422,0),"")</f>
        <v/>
      </c>
      <c r="AC422" s="12">
        <f>IF(A422="","",IF(B422="","Falta número de contrato; ","")&amp;IF(C422="","Falta entidad; ","")&amp;IF(E422="","Falta objeto; ","")&amp;IF(F422="","Falta especialidad; ","")&amp;IF(K422="","Falta fecha de inicio (recomendada); ","")&amp;IF(AND(M422&lt;&gt;"En ejecución",L422=""),"Falta fecha de terminación; ","")&amp;IF(AND(K422&lt;&gt;"",L422&lt;&gt;"",L422&lt;K422),"Terminación anterior al inicio; ","")&amp;IF(M422="","Falta estado; ","")&amp;IF(OR(P422="",P422&lt;=0),"Falta valor del contrato; ","")&amp;IF(AND(M422="En ejecución",Q422=""),"En ejecución sin valor ejecutado; ","")&amp;IF(AND(M422="En ejecución",L422&lt;&gt;"",L422&lt;TODAY()),"Dice en ejecución pero su terminación ya pasó; ","")&amp;IF(M422="En ejecución","En ejecución: no acredita experiencia; ","")&amp;IF(AND(M422&lt;&gt;"En ejecución",L422&lt;&gt;"",X422&lt;&gt;"",Y422=""),"El año no está en la hoja SMMLV; ","")&amp;IF(AND(B422&lt;&gt;"",COUNTIFS($B$2:$B$601,B422,$C$2:$C$601,C422)&gt;1),"Posible duplicado (mismo número y entidad); ","")&amp;IF(COUNTIF(PARTICIPACIONES!$A$2:$A$601,A422)=0,"Sin participaciones; ","")&amp;IF(SUMIFS(PARTICIPACIONES!$E$2:$E$601,PARTICIPACIONES!$A$2:$A$601,A422)&gt;1.0001,"Las participaciones suman más de 100 %; ",""))</f>
        <v/>
      </c>
    </row>
    <row r="423">
      <c r="J423" s="15" t="n"/>
      <c r="K423" s="15" t="n"/>
      <c r="L423" s="15" t="n"/>
      <c r="N423" s="15" t="n"/>
      <c r="O423" s="16" t="n"/>
      <c r="P423" s="16" t="n"/>
      <c r="Q423" s="16" t="n"/>
      <c r="W423" s="12">
        <f>IF(AND(K423&lt;&gt;"",L423&lt;&gt;""),ROUND((L423-K423)/30.4375,1),"")</f>
        <v/>
      </c>
      <c r="X423" s="12">
        <f>IF(OR(A423="",M423="En ejecución",L423=""),"",YEAR(L423))</f>
        <v/>
      </c>
      <c r="Y423" s="13">
        <f>IF(X423="","",IFERROR(VLOOKUP(X423,SMMLV!$A$2:$B$38,2,FALSE),""))</f>
        <v/>
      </c>
      <c r="Z423" s="17">
        <f>IF(OR(Y423="",P423=""),"",ROUND(P423/Y423,2))</f>
        <v/>
      </c>
      <c r="AA423" s="13">
        <f>IF(Z423="","",ROUND(Z423*SMMLV!$E$4,0))</f>
        <v/>
      </c>
      <c r="AB423" s="13">
        <f>IF(AND(M423="En ejecución",P423&lt;&gt;"",Q423&lt;&gt;""),MAX(P423-Q423,0),"")</f>
        <v/>
      </c>
      <c r="AC423" s="12">
        <f>IF(A423="","",IF(B423="","Falta número de contrato; ","")&amp;IF(C423="","Falta entidad; ","")&amp;IF(E423="","Falta objeto; ","")&amp;IF(F423="","Falta especialidad; ","")&amp;IF(K423="","Falta fecha de inicio (recomendada); ","")&amp;IF(AND(M423&lt;&gt;"En ejecución",L423=""),"Falta fecha de terminación; ","")&amp;IF(AND(K423&lt;&gt;"",L423&lt;&gt;"",L423&lt;K423),"Terminación anterior al inicio; ","")&amp;IF(M423="","Falta estado; ","")&amp;IF(OR(P423="",P423&lt;=0),"Falta valor del contrato; ","")&amp;IF(AND(M423="En ejecución",Q423=""),"En ejecución sin valor ejecutado; ","")&amp;IF(AND(M423="En ejecución",L423&lt;&gt;"",L423&lt;TODAY()),"Dice en ejecución pero su terminación ya pasó; ","")&amp;IF(M423="En ejecución","En ejecución: no acredita experiencia; ","")&amp;IF(AND(M423&lt;&gt;"En ejecución",L423&lt;&gt;"",X423&lt;&gt;"",Y423=""),"El año no está en la hoja SMMLV; ","")&amp;IF(AND(B423&lt;&gt;"",COUNTIFS($B$2:$B$601,B423,$C$2:$C$601,C423)&gt;1),"Posible duplicado (mismo número y entidad); ","")&amp;IF(COUNTIF(PARTICIPACIONES!$A$2:$A$601,A423)=0,"Sin participaciones; ","")&amp;IF(SUMIFS(PARTICIPACIONES!$E$2:$E$601,PARTICIPACIONES!$A$2:$A$601,A423)&gt;1.0001,"Las participaciones suman más de 100 %; ",""))</f>
        <v/>
      </c>
    </row>
    <row r="424">
      <c r="J424" s="15" t="n"/>
      <c r="K424" s="15" t="n"/>
      <c r="L424" s="15" t="n"/>
      <c r="N424" s="15" t="n"/>
      <c r="O424" s="16" t="n"/>
      <c r="P424" s="16" t="n"/>
      <c r="Q424" s="16" t="n"/>
      <c r="W424" s="12">
        <f>IF(AND(K424&lt;&gt;"",L424&lt;&gt;""),ROUND((L424-K424)/30.4375,1),"")</f>
        <v/>
      </c>
      <c r="X424" s="12">
        <f>IF(OR(A424="",M424="En ejecución",L424=""),"",YEAR(L424))</f>
        <v/>
      </c>
      <c r="Y424" s="13">
        <f>IF(X424="","",IFERROR(VLOOKUP(X424,SMMLV!$A$2:$B$38,2,FALSE),""))</f>
        <v/>
      </c>
      <c r="Z424" s="17">
        <f>IF(OR(Y424="",P424=""),"",ROUND(P424/Y424,2))</f>
        <v/>
      </c>
      <c r="AA424" s="13">
        <f>IF(Z424="","",ROUND(Z424*SMMLV!$E$4,0))</f>
        <v/>
      </c>
      <c r="AB424" s="13">
        <f>IF(AND(M424="En ejecución",P424&lt;&gt;"",Q424&lt;&gt;""),MAX(P424-Q424,0),"")</f>
        <v/>
      </c>
      <c r="AC424" s="12">
        <f>IF(A424="","",IF(B424="","Falta número de contrato; ","")&amp;IF(C424="","Falta entidad; ","")&amp;IF(E424="","Falta objeto; ","")&amp;IF(F424="","Falta especialidad; ","")&amp;IF(K424="","Falta fecha de inicio (recomendada); ","")&amp;IF(AND(M424&lt;&gt;"En ejecución",L424=""),"Falta fecha de terminación; ","")&amp;IF(AND(K424&lt;&gt;"",L424&lt;&gt;"",L424&lt;K424),"Terminación anterior al inicio; ","")&amp;IF(M424="","Falta estado; ","")&amp;IF(OR(P424="",P424&lt;=0),"Falta valor del contrato; ","")&amp;IF(AND(M424="En ejecución",Q424=""),"En ejecución sin valor ejecutado; ","")&amp;IF(AND(M424="En ejecución",L424&lt;&gt;"",L424&lt;TODAY()),"Dice en ejecución pero su terminación ya pasó; ","")&amp;IF(M424="En ejecución","En ejecución: no acredita experiencia; ","")&amp;IF(AND(M424&lt;&gt;"En ejecución",L424&lt;&gt;"",X424&lt;&gt;"",Y424=""),"El año no está en la hoja SMMLV; ","")&amp;IF(AND(B424&lt;&gt;"",COUNTIFS($B$2:$B$601,B424,$C$2:$C$601,C424)&gt;1),"Posible duplicado (mismo número y entidad); ","")&amp;IF(COUNTIF(PARTICIPACIONES!$A$2:$A$601,A424)=0,"Sin participaciones; ","")&amp;IF(SUMIFS(PARTICIPACIONES!$E$2:$E$601,PARTICIPACIONES!$A$2:$A$601,A424)&gt;1.0001,"Las participaciones suman más de 100 %; ",""))</f>
        <v/>
      </c>
    </row>
    <row r="425">
      <c r="J425" s="15" t="n"/>
      <c r="K425" s="15" t="n"/>
      <c r="L425" s="15" t="n"/>
      <c r="N425" s="15" t="n"/>
      <c r="O425" s="16" t="n"/>
      <c r="P425" s="16" t="n"/>
      <c r="Q425" s="16" t="n"/>
      <c r="W425" s="12">
        <f>IF(AND(K425&lt;&gt;"",L425&lt;&gt;""),ROUND((L425-K425)/30.4375,1),"")</f>
        <v/>
      </c>
      <c r="X425" s="12">
        <f>IF(OR(A425="",M425="En ejecución",L425=""),"",YEAR(L425))</f>
        <v/>
      </c>
      <c r="Y425" s="13">
        <f>IF(X425="","",IFERROR(VLOOKUP(X425,SMMLV!$A$2:$B$38,2,FALSE),""))</f>
        <v/>
      </c>
      <c r="Z425" s="17">
        <f>IF(OR(Y425="",P425=""),"",ROUND(P425/Y425,2))</f>
        <v/>
      </c>
      <c r="AA425" s="13">
        <f>IF(Z425="","",ROUND(Z425*SMMLV!$E$4,0))</f>
        <v/>
      </c>
      <c r="AB425" s="13">
        <f>IF(AND(M425="En ejecución",P425&lt;&gt;"",Q425&lt;&gt;""),MAX(P425-Q425,0),"")</f>
        <v/>
      </c>
      <c r="AC425" s="12">
        <f>IF(A425="","",IF(B425="","Falta número de contrato; ","")&amp;IF(C425="","Falta entidad; ","")&amp;IF(E425="","Falta objeto; ","")&amp;IF(F425="","Falta especialidad; ","")&amp;IF(K425="","Falta fecha de inicio (recomendada); ","")&amp;IF(AND(M425&lt;&gt;"En ejecución",L425=""),"Falta fecha de terminación; ","")&amp;IF(AND(K425&lt;&gt;"",L425&lt;&gt;"",L425&lt;K425),"Terminación anterior al inicio; ","")&amp;IF(M425="","Falta estado; ","")&amp;IF(OR(P425="",P425&lt;=0),"Falta valor del contrato; ","")&amp;IF(AND(M425="En ejecución",Q425=""),"En ejecución sin valor ejecutado; ","")&amp;IF(AND(M425="En ejecución",L425&lt;&gt;"",L425&lt;TODAY()),"Dice en ejecución pero su terminación ya pasó; ","")&amp;IF(M425="En ejecución","En ejecución: no acredita experiencia; ","")&amp;IF(AND(M425&lt;&gt;"En ejecución",L425&lt;&gt;"",X425&lt;&gt;"",Y425=""),"El año no está en la hoja SMMLV; ","")&amp;IF(AND(B425&lt;&gt;"",COUNTIFS($B$2:$B$601,B425,$C$2:$C$601,C425)&gt;1),"Posible duplicado (mismo número y entidad); ","")&amp;IF(COUNTIF(PARTICIPACIONES!$A$2:$A$601,A425)=0,"Sin participaciones; ","")&amp;IF(SUMIFS(PARTICIPACIONES!$E$2:$E$601,PARTICIPACIONES!$A$2:$A$601,A425)&gt;1.0001,"Las participaciones suman más de 100 %; ",""))</f>
        <v/>
      </c>
    </row>
    <row r="426">
      <c r="J426" s="15" t="n"/>
      <c r="K426" s="15" t="n"/>
      <c r="L426" s="15" t="n"/>
      <c r="N426" s="15" t="n"/>
      <c r="O426" s="16" t="n"/>
      <c r="P426" s="16" t="n"/>
      <c r="Q426" s="16" t="n"/>
      <c r="W426" s="12">
        <f>IF(AND(K426&lt;&gt;"",L426&lt;&gt;""),ROUND((L426-K426)/30.4375,1),"")</f>
        <v/>
      </c>
      <c r="X426" s="12">
        <f>IF(OR(A426="",M426="En ejecución",L426=""),"",YEAR(L426))</f>
        <v/>
      </c>
      <c r="Y426" s="13">
        <f>IF(X426="","",IFERROR(VLOOKUP(X426,SMMLV!$A$2:$B$38,2,FALSE),""))</f>
        <v/>
      </c>
      <c r="Z426" s="17">
        <f>IF(OR(Y426="",P426=""),"",ROUND(P426/Y426,2))</f>
        <v/>
      </c>
      <c r="AA426" s="13">
        <f>IF(Z426="","",ROUND(Z426*SMMLV!$E$4,0))</f>
        <v/>
      </c>
      <c r="AB426" s="13">
        <f>IF(AND(M426="En ejecución",P426&lt;&gt;"",Q426&lt;&gt;""),MAX(P426-Q426,0),"")</f>
        <v/>
      </c>
      <c r="AC426" s="12">
        <f>IF(A426="","",IF(B426="","Falta número de contrato; ","")&amp;IF(C426="","Falta entidad; ","")&amp;IF(E426="","Falta objeto; ","")&amp;IF(F426="","Falta especialidad; ","")&amp;IF(K426="","Falta fecha de inicio (recomendada); ","")&amp;IF(AND(M426&lt;&gt;"En ejecución",L426=""),"Falta fecha de terminación; ","")&amp;IF(AND(K426&lt;&gt;"",L426&lt;&gt;"",L426&lt;K426),"Terminación anterior al inicio; ","")&amp;IF(M426="","Falta estado; ","")&amp;IF(OR(P426="",P426&lt;=0),"Falta valor del contrato; ","")&amp;IF(AND(M426="En ejecución",Q426=""),"En ejecución sin valor ejecutado; ","")&amp;IF(AND(M426="En ejecución",L426&lt;&gt;"",L426&lt;TODAY()),"Dice en ejecución pero su terminación ya pasó; ","")&amp;IF(M426="En ejecución","En ejecución: no acredita experiencia; ","")&amp;IF(AND(M426&lt;&gt;"En ejecución",L426&lt;&gt;"",X426&lt;&gt;"",Y426=""),"El año no está en la hoja SMMLV; ","")&amp;IF(AND(B426&lt;&gt;"",COUNTIFS($B$2:$B$601,B426,$C$2:$C$601,C426)&gt;1),"Posible duplicado (mismo número y entidad); ","")&amp;IF(COUNTIF(PARTICIPACIONES!$A$2:$A$601,A426)=0,"Sin participaciones; ","")&amp;IF(SUMIFS(PARTICIPACIONES!$E$2:$E$601,PARTICIPACIONES!$A$2:$A$601,A426)&gt;1.0001,"Las participaciones suman más de 100 %; ",""))</f>
        <v/>
      </c>
    </row>
    <row r="427">
      <c r="J427" s="15" t="n"/>
      <c r="K427" s="15" t="n"/>
      <c r="L427" s="15" t="n"/>
      <c r="N427" s="15" t="n"/>
      <c r="O427" s="16" t="n"/>
      <c r="P427" s="16" t="n"/>
      <c r="Q427" s="16" t="n"/>
      <c r="W427" s="12">
        <f>IF(AND(K427&lt;&gt;"",L427&lt;&gt;""),ROUND((L427-K427)/30.4375,1),"")</f>
        <v/>
      </c>
      <c r="X427" s="12">
        <f>IF(OR(A427="",M427="En ejecución",L427=""),"",YEAR(L427))</f>
        <v/>
      </c>
      <c r="Y427" s="13">
        <f>IF(X427="","",IFERROR(VLOOKUP(X427,SMMLV!$A$2:$B$38,2,FALSE),""))</f>
        <v/>
      </c>
      <c r="Z427" s="17">
        <f>IF(OR(Y427="",P427=""),"",ROUND(P427/Y427,2))</f>
        <v/>
      </c>
      <c r="AA427" s="13">
        <f>IF(Z427="","",ROUND(Z427*SMMLV!$E$4,0))</f>
        <v/>
      </c>
      <c r="AB427" s="13">
        <f>IF(AND(M427="En ejecución",P427&lt;&gt;"",Q427&lt;&gt;""),MAX(P427-Q427,0),"")</f>
        <v/>
      </c>
      <c r="AC427" s="12">
        <f>IF(A427="","",IF(B427="","Falta número de contrato; ","")&amp;IF(C427="","Falta entidad; ","")&amp;IF(E427="","Falta objeto; ","")&amp;IF(F427="","Falta especialidad; ","")&amp;IF(K427="","Falta fecha de inicio (recomendada); ","")&amp;IF(AND(M427&lt;&gt;"En ejecución",L427=""),"Falta fecha de terminación; ","")&amp;IF(AND(K427&lt;&gt;"",L427&lt;&gt;"",L427&lt;K427),"Terminación anterior al inicio; ","")&amp;IF(M427="","Falta estado; ","")&amp;IF(OR(P427="",P427&lt;=0),"Falta valor del contrato; ","")&amp;IF(AND(M427="En ejecución",Q427=""),"En ejecución sin valor ejecutado; ","")&amp;IF(AND(M427="En ejecución",L427&lt;&gt;"",L427&lt;TODAY()),"Dice en ejecución pero su terminación ya pasó; ","")&amp;IF(M427="En ejecución","En ejecución: no acredita experiencia; ","")&amp;IF(AND(M427&lt;&gt;"En ejecución",L427&lt;&gt;"",X427&lt;&gt;"",Y427=""),"El año no está en la hoja SMMLV; ","")&amp;IF(AND(B427&lt;&gt;"",COUNTIFS($B$2:$B$601,B427,$C$2:$C$601,C427)&gt;1),"Posible duplicado (mismo número y entidad); ","")&amp;IF(COUNTIF(PARTICIPACIONES!$A$2:$A$601,A427)=0,"Sin participaciones; ","")&amp;IF(SUMIFS(PARTICIPACIONES!$E$2:$E$601,PARTICIPACIONES!$A$2:$A$601,A427)&gt;1.0001,"Las participaciones suman más de 100 %; ",""))</f>
        <v/>
      </c>
    </row>
    <row r="428">
      <c r="J428" s="15" t="n"/>
      <c r="K428" s="15" t="n"/>
      <c r="L428" s="15" t="n"/>
      <c r="N428" s="15" t="n"/>
      <c r="O428" s="16" t="n"/>
      <c r="P428" s="16" t="n"/>
      <c r="Q428" s="16" t="n"/>
      <c r="W428" s="12">
        <f>IF(AND(K428&lt;&gt;"",L428&lt;&gt;""),ROUND((L428-K428)/30.4375,1),"")</f>
        <v/>
      </c>
      <c r="X428" s="12">
        <f>IF(OR(A428="",M428="En ejecución",L428=""),"",YEAR(L428))</f>
        <v/>
      </c>
      <c r="Y428" s="13">
        <f>IF(X428="","",IFERROR(VLOOKUP(X428,SMMLV!$A$2:$B$38,2,FALSE),""))</f>
        <v/>
      </c>
      <c r="Z428" s="17">
        <f>IF(OR(Y428="",P428=""),"",ROUND(P428/Y428,2))</f>
        <v/>
      </c>
      <c r="AA428" s="13">
        <f>IF(Z428="","",ROUND(Z428*SMMLV!$E$4,0))</f>
        <v/>
      </c>
      <c r="AB428" s="13">
        <f>IF(AND(M428="En ejecución",P428&lt;&gt;"",Q428&lt;&gt;""),MAX(P428-Q428,0),"")</f>
        <v/>
      </c>
      <c r="AC428" s="12">
        <f>IF(A428="","",IF(B428="","Falta número de contrato; ","")&amp;IF(C428="","Falta entidad; ","")&amp;IF(E428="","Falta objeto; ","")&amp;IF(F428="","Falta especialidad; ","")&amp;IF(K428="","Falta fecha de inicio (recomendada); ","")&amp;IF(AND(M428&lt;&gt;"En ejecución",L428=""),"Falta fecha de terminación; ","")&amp;IF(AND(K428&lt;&gt;"",L428&lt;&gt;"",L428&lt;K428),"Terminación anterior al inicio; ","")&amp;IF(M428="","Falta estado; ","")&amp;IF(OR(P428="",P428&lt;=0),"Falta valor del contrato; ","")&amp;IF(AND(M428="En ejecución",Q428=""),"En ejecución sin valor ejecutado; ","")&amp;IF(AND(M428="En ejecución",L428&lt;&gt;"",L428&lt;TODAY()),"Dice en ejecución pero su terminación ya pasó; ","")&amp;IF(M428="En ejecución","En ejecución: no acredita experiencia; ","")&amp;IF(AND(M428&lt;&gt;"En ejecución",L428&lt;&gt;"",X428&lt;&gt;"",Y428=""),"El año no está en la hoja SMMLV; ","")&amp;IF(AND(B428&lt;&gt;"",COUNTIFS($B$2:$B$601,B428,$C$2:$C$601,C428)&gt;1),"Posible duplicado (mismo número y entidad); ","")&amp;IF(COUNTIF(PARTICIPACIONES!$A$2:$A$601,A428)=0,"Sin participaciones; ","")&amp;IF(SUMIFS(PARTICIPACIONES!$E$2:$E$601,PARTICIPACIONES!$A$2:$A$601,A428)&gt;1.0001,"Las participaciones suman más de 100 %; ",""))</f>
        <v/>
      </c>
    </row>
    <row r="429">
      <c r="J429" s="15" t="n"/>
      <c r="K429" s="15" t="n"/>
      <c r="L429" s="15" t="n"/>
      <c r="N429" s="15" t="n"/>
      <c r="O429" s="16" t="n"/>
      <c r="P429" s="16" t="n"/>
      <c r="Q429" s="16" t="n"/>
      <c r="W429" s="12">
        <f>IF(AND(K429&lt;&gt;"",L429&lt;&gt;""),ROUND((L429-K429)/30.4375,1),"")</f>
        <v/>
      </c>
      <c r="X429" s="12">
        <f>IF(OR(A429="",M429="En ejecución",L429=""),"",YEAR(L429))</f>
        <v/>
      </c>
      <c r="Y429" s="13">
        <f>IF(X429="","",IFERROR(VLOOKUP(X429,SMMLV!$A$2:$B$38,2,FALSE),""))</f>
        <v/>
      </c>
      <c r="Z429" s="17">
        <f>IF(OR(Y429="",P429=""),"",ROUND(P429/Y429,2))</f>
        <v/>
      </c>
      <c r="AA429" s="13">
        <f>IF(Z429="","",ROUND(Z429*SMMLV!$E$4,0))</f>
        <v/>
      </c>
      <c r="AB429" s="13">
        <f>IF(AND(M429="En ejecución",P429&lt;&gt;"",Q429&lt;&gt;""),MAX(P429-Q429,0),"")</f>
        <v/>
      </c>
      <c r="AC429" s="12">
        <f>IF(A429="","",IF(B429="","Falta número de contrato; ","")&amp;IF(C429="","Falta entidad; ","")&amp;IF(E429="","Falta objeto; ","")&amp;IF(F429="","Falta especialidad; ","")&amp;IF(K429="","Falta fecha de inicio (recomendada); ","")&amp;IF(AND(M429&lt;&gt;"En ejecución",L429=""),"Falta fecha de terminación; ","")&amp;IF(AND(K429&lt;&gt;"",L429&lt;&gt;"",L429&lt;K429),"Terminación anterior al inicio; ","")&amp;IF(M429="","Falta estado; ","")&amp;IF(OR(P429="",P429&lt;=0),"Falta valor del contrato; ","")&amp;IF(AND(M429="En ejecución",Q429=""),"En ejecución sin valor ejecutado; ","")&amp;IF(AND(M429="En ejecución",L429&lt;&gt;"",L429&lt;TODAY()),"Dice en ejecución pero su terminación ya pasó; ","")&amp;IF(M429="En ejecución","En ejecución: no acredita experiencia; ","")&amp;IF(AND(M429&lt;&gt;"En ejecución",L429&lt;&gt;"",X429&lt;&gt;"",Y429=""),"El año no está en la hoja SMMLV; ","")&amp;IF(AND(B429&lt;&gt;"",COUNTIFS($B$2:$B$601,B429,$C$2:$C$601,C429)&gt;1),"Posible duplicado (mismo número y entidad); ","")&amp;IF(COUNTIF(PARTICIPACIONES!$A$2:$A$601,A429)=0,"Sin participaciones; ","")&amp;IF(SUMIFS(PARTICIPACIONES!$E$2:$E$601,PARTICIPACIONES!$A$2:$A$601,A429)&gt;1.0001,"Las participaciones suman más de 100 %; ",""))</f>
        <v/>
      </c>
    </row>
    <row r="430">
      <c r="J430" s="15" t="n"/>
      <c r="K430" s="15" t="n"/>
      <c r="L430" s="15" t="n"/>
      <c r="N430" s="15" t="n"/>
      <c r="O430" s="16" t="n"/>
      <c r="P430" s="16" t="n"/>
      <c r="Q430" s="16" t="n"/>
      <c r="W430" s="12">
        <f>IF(AND(K430&lt;&gt;"",L430&lt;&gt;""),ROUND((L430-K430)/30.4375,1),"")</f>
        <v/>
      </c>
      <c r="X430" s="12">
        <f>IF(OR(A430="",M430="En ejecución",L430=""),"",YEAR(L430))</f>
        <v/>
      </c>
      <c r="Y430" s="13">
        <f>IF(X430="","",IFERROR(VLOOKUP(X430,SMMLV!$A$2:$B$38,2,FALSE),""))</f>
        <v/>
      </c>
      <c r="Z430" s="17">
        <f>IF(OR(Y430="",P430=""),"",ROUND(P430/Y430,2))</f>
        <v/>
      </c>
      <c r="AA430" s="13">
        <f>IF(Z430="","",ROUND(Z430*SMMLV!$E$4,0))</f>
        <v/>
      </c>
      <c r="AB430" s="13">
        <f>IF(AND(M430="En ejecución",P430&lt;&gt;"",Q430&lt;&gt;""),MAX(P430-Q430,0),"")</f>
        <v/>
      </c>
      <c r="AC430" s="12">
        <f>IF(A430="","",IF(B430="","Falta número de contrato; ","")&amp;IF(C430="","Falta entidad; ","")&amp;IF(E430="","Falta objeto; ","")&amp;IF(F430="","Falta especialidad; ","")&amp;IF(K430="","Falta fecha de inicio (recomendada); ","")&amp;IF(AND(M430&lt;&gt;"En ejecución",L430=""),"Falta fecha de terminación; ","")&amp;IF(AND(K430&lt;&gt;"",L430&lt;&gt;"",L430&lt;K430),"Terminación anterior al inicio; ","")&amp;IF(M430="","Falta estado; ","")&amp;IF(OR(P430="",P430&lt;=0),"Falta valor del contrato; ","")&amp;IF(AND(M430="En ejecución",Q430=""),"En ejecución sin valor ejecutado; ","")&amp;IF(AND(M430="En ejecución",L430&lt;&gt;"",L430&lt;TODAY()),"Dice en ejecución pero su terminación ya pasó; ","")&amp;IF(M430="En ejecución","En ejecución: no acredita experiencia; ","")&amp;IF(AND(M430&lt;&gt;"En ejecución",L430&lt;&gt;"",X430&lt;&gt;"",Y430=""),"El año no está en la hoja SMMLV; ","")&amp;IF(AND(B430&lt;&gt;"",COUNTIFS($B$2:$B$601,B430,$C$2:$C$601,C430)&gt;1),"Posible duplicado (mismo número y entidad); ","")&amp;IF(COUNTIF(PARTICIPACIONES!$A$2:$A$601,A430)=0,"Sin participaciones; ","")&amp;IF(SUMIFS(PARTICIPACIONES!$E$2:$E$601,PARTICIPACIONES!$A$2:$A$601,A430)&gt;1.0001,"Las participaciones suman más de 100 %; ",""))</f>
        <v/>
      </c>
    </row>
    <row r="431">
      <c r="J431" s="15" t="n"/>
      <c r="K431" s="15" t="n"/>
      <c r="L431" s="15" t="n"/>
      <c r="N431" s="15" t="n"/>
      <c r="O431" s="16" t="n"/>
      <c r="P431" s="16" t="n"/>
      <c r="Q431" s="16" t="n"/>
      <c r="W431" s="12">
        <f>IF(AND(K431&lt;&gt;"",L431&lt;&gt;""),ROUND((L431-K431)/30.4375,1),"")</f>
        <v/>
      </c>
      <c r="X431" s="12">
        <f>IF(OR(A431="",M431="En ejecución",L431=""),"",YEAR(L431))</f>
        <v/>
      </c>
      <c r="Y431" s="13">
        <f>IF(X431="","",IFERROR(VLOOKUP(X431,SMMLV!$A$2:$B$38,2,FALSE),""))</f>
        <v/>
      </c>
      <c r="Z431" s="17">
        <f>IF(OR(Y431="",P431=""),"",ROUND(P431/Y431,2))</f>
        <v/>
      </c>
      <c r="AA431" s="13">
        <f>IF(Z431="","",ROUND(Z431*SMMLV!$E$4,0))</f>
        <v/>
      </c>
      <c r="AB431" s="13">
        <f>IF(AND(M431="En ejecución",P431&lt;&gt;"",Q431&lt;&gt;""),MAX(P431-Q431,0),"")</f>
        <v/>
      </c>
      <c r="AC431" s="12">
        <f>IF(A431="","",IF(B431="","Falta número de contrato; ","")&amp;IF(C431="","Falta entidad; ","")&amp;IF(E431="","Falta objeto; ","")&amp;IF(F431="","Falta especialidad; ","")&amp;IF(K431="","Falta fecha de inicio (recomendada); ","")&amp;IF(AND(M431&lt;&gt;"En ejecución",L431=""),"Falta fecha de terminación; ","")&amp;IF(AND(K431&lt;&gt;"",L431&lt;&gt;"",L431&lt;K431),"Terminación anterior al inicio; ","")&amp;IF(M431="","Falta estado; ","")&amp;IF(OR(P431="",P431&lt;=0),"Falta valor del contrato; ","")&amp;IF(AND(M431="En ejecución",Q431=""),"En ejecución sin valor ejecutado; ","")&amp;IF(AND(M431="En ejecución",L431&lt;&gt;"",L431&lt;TODAY()),"Dice en ejecución pero su terminación ya pasó; ","")&amp;IF(M431="En ejecución","En ejecución: no acredita experiencia; ","")&amp;IF(AND(M431&lt;&gt;"En ejecución",L431&lt;&gt;"",X431&lt;&gt;"",Y431=""),"El año no está en la hoja SMMLV; ","")&amp;IF(AND(B431&lt;&gt;"",COUNTIFS($B$2:$B$601,B431,$C$2:$C$601,C431)&gt;1),"Posible duplicado (mismo número y entidad); ","")&amp;IF(COUNTIF(PARTICIPACIONES!$A$2:$A$601,A431)=0,"Sin participaciones; ","")&amp;IF(SUMIFS(PARTICIPACIONES!$E$2:$E$601,PARTICIPACIONES!$A$2:$A$601,A431)&gt;1.0001,"Las participaciones suman más de 100 %; ",""))</f>
        <v/>
      </c>
    </row>
    <row r="432">
      <c r="J432" s="15" t="n"/>
      <c r="K432" s="15" t="n"/>
      <c r="L432" s="15" t="n"/>
      <c r="N432" s="15" t="n"/>
      <c r="O432" s="16" t="n"/>
      <c r="P432" s="16" t="n"/>
      <c r="Q432" s="16" t="n"/>
      <c r="W432" s="12">
        <f>IF(AND(K432&lt;&gt;"",L432&lt;&gt;""),ROUND((L432-K432)/30.4375,1),"")</f>
        <v/>
      </c>
      <c r="X432" s="12">
        <f>IF(OR(A432="",M432="En ejecución",L432=""),"",YEAR(L432))</f>
        <v/>
      </c>
      <c r="Y432" s="13">
        <f>IF(X432="","",IFERROR(VLOOKUP(X432,SMMLV!$A$2:$B$38,2,FALSE),""))</f>
        <v/>
      </c>
      <c r="Z432" s="17">
        <f>IF(OR(Y432="",P432=""),"",ROUND(P432/Y432,2))</f>
        <v/>
      </c>
      <c r="AA432" s="13">
        <f>IF(Z432="","",ROUND(Z432*SMMLV!$E$4,0))</f>
        <v/>
      </c>
      <c r="AB432" s="13">
        <f>IF(AND(M432="En ejecución",P432&lt;&gt;"",Q432&lt;&gt;""),MAX(P432-Q432,0),"")</f>
        <v/>
      </c>
      <c r="AC432" s="12">
        <f>IF(A432="","",IF(B432="","Falta número de contrato; ","")&amp;IF(C432="","Falta entidad; ","")&amp;IF(E432="","Falta objeto; ","")&amp;IF(F432="","Falta especialidad; ","")&amp;IF(K432="","Falta fecha de inicio (recomendada); ","")&amp;IF(AND(M432&lt;&gt;"En ejecución",L432=""),"Falta fecha de terminación; ","")&amp;IF(AND(K432&lt;&gt;"",L432&lt;&gt;"",L432&lt;K432),"Terminación anterior al inicio; ","")&amp;IF(M432="","Falta estado; ","")&amp;IF(OR(P432="",P432&lt;=0),"Falta valor del contrato; ","")&amp;IF(AND(M432="En ejecución",Q432=""),"En ejecución sin valor ejecutado; ","")&amp;IF(AND(M432="En ejecución",L432&lt;&gt;"",L432&lt;TODAY()),"Dice en ejecución pero su terminación ya pasó; ","")&amp;IF(M432="En ejecución","En ejecución: no acredita experiencia; ","")&amp;IF(AND(M432&lt;&gt;"En ejecución",L432&lt;&gt;"",X432&lt;&gt;"",Y432=""),"El año no está en la hoja SMMLV; ","")&amp;IF(AND(B432&lt;&gt;"",COUNTIFS($B$2:$B$601,B432,$C$2:$C$601,C432)&gt;1),"Posible duplicado (mismo número y entidad); ","")&amp;IF(COUNTIF(PARTICIPACIONES!$A$2:$A$601,A432)=0,"Sin participaciones; ","")&amp;IF(SUMIFS(PARTICIPACIONES!$E$2:$E$601,PARTICIPACIONES!$A$2:$A$601,A432)&gt;1.0001,"Las participaciones suman más de 100 %; ",""))</f>
        <v/>
      </c>
    </row>
    <row r="433">
      <c r="J433" s="15" t="n"/>
      <c r="K433" s="15" t="n"/>
      <c r="L433" s="15" t="n"/>
      <c r="N433" s="15" t="n"/>
      <c r="O433" s="16" t="n"/>
      <c r="P433" s="16" t="n"/>
      <c r="Q433" s="16" t="n"/>
      <c r="W433" s="12">
        <f>IF(AND(K433&lt;&gt;"",L433&lt;&gt;""),ROUND((L433-K433)/30.4375,1),"")</f>
        <v/>
      </c>
      <c r="X433" s="12">
        <f>IF(OR(A433="",M433="En ejecución",L433=""),"",YEAR(L433))</f>
        <v/>
      </c>
      <c r="Y433" s="13">
        <f>IF(X433="","",IFERROR(VLOOKUP(X433,SMMLV!$A$2:$B$38,2,FALSE),""))</f>
        <v/>
      </c>
      <c r="Z433" s="17">
        <f>IF(OR(Y433="",P433=""),"",ROUND(P433/Y433,2))</f>
        <v/>
      </c>
      <c r="AA433" s="13">
        <f>IF(Z433="","",ROUND(Z433*SMMLV!$E$4,0))</f>
        <v/>
      </c>
      <c r="AB433" s="13">
        <f>IF(AND(M433="En ejecución",P433&lt;&gt;"",Q433&lt;&gt;""),MAX(P433-Q433,0),"")</f>
        <v/>
      </c>
      <c r="AC433" s="12">
        <f>IF(A433="","",IF(B433="","Falta número de contrato; ","")&amp;IF(C433="","Falta entidad; ","")&amp;IF(E433="","Falta objeto; ","")&amp;IF(F433="","Falta especialidad; ","")&amp;IF(K433="","Falta fecha de inicio (recomendada); ","")&amp;IF(AND(M433&lt;&gt;"En ejecución",L433=""),"Falta fecha de terminación; ","")&amp;IF(AND(K433&lt;&gt;"",L433&lt;&gt;"",L433&lt;K433),"Terminación anterior al inicio; ","")&amp;IF(M433="","Falta estado; ","")&amp;IF(OR(P433="",P433&lt;=0),"Falta valor del contrato; ","")&amp;IF(AND(M433="En ejecución",Q433=""),"En ejecución sin valor ejecutado; ","")&amp;IF(AND(M433="En ejecución",L433&lt;&gt;"",L433&lt;TODAY()),"Dice en ejecución pero su terminación ya pasó; ","")&amp;IF(M433="En ejecución","En ejecución: no acredita experiencia; ","")&amp;IF(AND(M433&lt;&gt;"En ejecución",L433&lt;&gt;"",X433&lt;&gt;"",Y433=""),"El año no está en la hoja SMMLV; ","")&amp;IF(AND(B433&lt;&gt;"",COUNTIFS($B$2:$B$601,B433,$C$2:$C$601,C433)&gt;1),"Posible duplicado (mismo número y entidad); ","")&amp;IF(COUNTIF(PARTICIPACIONES!$A$2:$A$601,A433)=0,"Sin participaciones; ","")&amp;IF(SUMIFS(PARTICIPACIONES!$E$2:$E$601,PARTICIPACIONES!$A$2:$A$601,A433)&gt;1.0001,"Las participaciones suman más de 100 %; ",""))</f>
        <v/>
      </c>
    </row>
    <row r="434">
      <c r="J434" s="15" t="n"/>
      <c r="K434" s="15" t="n"/>
      <c r="L434" s="15" t="n"/>
      <c r="N434" s="15" t="n"/>
      <c r="O434" s="16" t="n"/>
      <c r="P434" s="16" t="n"/>
      <c r="Q434" s="16" t="n"/>
      <c r="W434" s="12">
        <f>IF(AND(K434&lt;&gt;"",L434&lt;&gt;""),ROUND((L434-K434)/30.4375,1),"")</f>
        <v/>
      </c>
      <c r="X434" s="12">
        <f>IF(OR(A434="",M434="En ejecución",L434=""),"",YEAR(L434))</f>
        <v/>
      </c>
      <c r="Y434" s="13">
        <f>IF(X434="","",IFERROR(VLOOKUP(X434,SMMLV!$A$2:$B$38,2,FALSE),""))</f>
        <v/>
      </c>
      <c r="Z434" s="17">
        <f>IF(OR(Y434="",P434=""),"",ROUND(P434/Y434,2))</f>
        <v/>
      </c>
      <c r="AA434" s="13">
        <f>IF(Z434="","",ROUND(Z434*SMMLV!$E$4,0))</f>
        <v/>
      </c>
      <c r="AB434" s="13">
        <f>IF(AND(M434="En ejecución",P434&lt;&gt;"",Q434&lt;&gt;""),MAX(P434-Q434,0),"")</f>
        <v/>
      </c>
      <c r="AC434" s="12">
        <f>IF(A434="","",IF(B434="","Falta número de contrato; ","")&amp;IF(C434="","Falta entidad; ","")&amp;IF(E434="","Falta objeto; ","")&amp;IF(F434="","Falta especialidad; ","")&amp;IF(K434="","Falta fecha de inicio (recomendada); ","")&amp;IF(AND(M434&lt;&gt;"En ejecución",L434=""),"Falta fecha de terminación; ","")&amp;IF(AND(K434&lt;&gt;"",L434&lt;&gt;"",L434&lt;K434),"Terminación anterior al inicio; ","")&amp;IF(M434="","Falta estado; ","")&amp;IF(OR(P434="",P434&lt;=0),"Falta valor del contrato; ","")&amp;IF(AND(M434="En ejecución",Q434=""),"En ejecución sin valor ejecutado; ","")&amp;IF(AND(M434="En ejecución",L434&lt;&gt;"",L434&lt;TODAY()),"Dice en ejecución pero su terminación ya pasó; ","")&amp;IF(M434="En ejecución","En ejecución: no acredita experiencia; ","")&amp;IF(AND(M434&lt;&gt;"En ejecución",L434&lt;&gt;"",X434&lt;&gt;"",Y434=""),"El año no está en la hoja SMMLV; ","")&amp;IF(AND(B434&lt;&gt;"",COUNTIFS($B$2:$B$601,B434,$C$2:$C$601,C434)&gt;1),"Posible duplicado (mismo número y entidad); ","")&amp;IF(COUNTIF(PARTICIPACIONES!$A$2:$A$601,A434)=0,"Sin participaciones; ","")&amp;IF(SUMIFS(PARTICIPACIONES!$E$2:$E$601,PARTICIPACIONES!$A$2:$A$601,A434)&gt;1.0001,"Las participaciones suman más de 100 %; ",""))</f>
        <v/>
      </c>
    </row>
    <row r="435">
      <c r="J435" s="15" t="n"/>
      <c r="K435" s="15" t="n"/>
      <c r="L435" s="15" t="n"/>
      <c r="N435" s="15" t="n"/>
      <c r="O435" s="16" t="n"/>
      <c r="P435" s="16" t="n"/>
      <c r="Q435" s="16" t="n"/>
      <c r="W435" s="12">
        <f>IF(AND(K435&lt;&gt;"",L435&lt;&gt;""),ROUND((L435-K435)/30.4375,1),"")</f>
        <v/>
      </c>
      <c r="X435" s="12">
        <f>IF(OR(A435="",M435="En ejecución",L435=""),"",YEAR(L435))</f>
        <v/>
      </c>
      <c r="Y435" s="13">
        <f>IF(X435="","",IFERROR(VLOOKUP(X435,SMMLV!$A$2:$B$38,2,FALSE),""))</f>
        <v/>
      </c>
      <c r="Z435" s="17">
        <f>IF(OR(Y435="",P435=""),"",ROUND(P435/Y435,2))</f>
        <v/>
      </c>
      <c r="AA435" s="13">
        <f>IF(Z435="","",ROUND(Z435*SMMLV!$E$4,0))</f>
        <v/>
      </c>
      <c r="AB435" s="13">
        <f>IF(AND(M435="En ejecución",P435&lt;&gt;"",Q435&lt;&gt;""),MAX(P435-Q435,0),"")</f>
        <v/>
      </c>
      <c r="AC435" s="12">
        <f>IF(A435="","",IF(B435="","Falta número de contrato; ","")&amp;IF(C435="","Falta entidad; ","")&amp;IF(E435="","Falta objeto; ","")&amp;IF(F435="","Falta especialidad; ","")&amp;IF(K435="","Falta fecha de inicio (recomendada); ","")&amp;IF(AND(M435&lt;&gt;"En ejecución",L435=""),"Falta fecha de terminación; ","")&amp;IF(AND(K435&lt;&gt;"",L435&lt;&gt;"",L435&lt;K435),"Terminación anterior al inicio; ","")&amp;IF(M435="","Falta estado; ","")&amp;IF(OR(P435="",P435&lt;=0),"Falta valor del contrato; ","")&amp;IF(AND(M435="En ejecución",Q435=""),"En ejecución sin valor ejecutado; ","")&amp;IF(AND(M435="En ejecución",L435&lt;&gt;"",L435&lt;TODAY()),"Dice en ejecución pero su terminación ya pasó; ","")&amp;IF(M435="En ejecución","En ejecución: no acredita experiencia; ","")&amp;IF(AND(M435&lt;&gt;"En ejecución",L435&lt;&gt;"",X435&lt;&gt;"",Y435=""),"El año no está en la hoja SMMLV; ","")&amp;IF(AND(B435&lt;&gt;"",COUNTIFS($B$2:$B$601,B435,$C$2:$C$601,C435)&gt;1),"Posible duplicado (mismo número y entidad); ","")&amp;IF(COUNTIF(PARTICIPACIONES!$A$2:$A$601,A435)=0,"Sin participaciones; ","")&amp;IF(SUMIFS(PARTICIPACIONES!$E$2:$E$601,PARTICIPACIONES!$A$2:$A$601,A435)&gt;1.0001,"Las participaciones suman más de 100 %; ",""))</f>
        <v/>
      </c>
    </row>
    <row r="436">
      <c r="J436" s="15" t="n"/>
      <c r="K436" s="15" t="n"/>
      <c r="L436" s="15" t="n"/>
      <c r="N436" s="15" t="n"/>
      <c r="O436" s="16" t="n"/>
      <c r="P436" s="16" t="n"/>
      <c r="Q436" s="16" t="n"/>
      <c r="W436" s="12">
        <f>IF(AND(K436&lt;&gt;"",L436&lt;&gt;""),ROUND((L436-K436)/30.4375,1),"")</f>
        <v/>
      </c>
      <c r="X436" s="12">
        <f>IF(OR(A436="",M436="En ejecución",L436=""),"",YEAR(L436))</f>
        <v/>
      </c>
      <c r="Y436" s="13">
        <f>IF(X436="","",IFERROR(VLOOKUP(X436,SMMLV!$A$2:$B$38,2,FALSE),""))</f>
        <v/>
      </c>
      <c r="Z436" s="17">
        <f>IF(OR(Y436="",P436=""),"",ROUND(P436/Y436,2))</f>
        <v/>
      </c>
      <c r="AA436" s="13">
        <f>IF(Z436="","",ROUND(Z436*SMMLV!$E$4,0))</f>
        <v/>
      </c>
      <c r="AB436" s="13">
        <f>IF(AND(M436="En ejecución",P436&lt;&gt;"",Q436&lt;&gt;""),MAX(P436-Q436,0),"")</f>
        <v/>
      </c>
      <c r="AC436" s="12">
        <f>IF(A436="","",IF(B436="","Falta número de contrato; ","")&amp;IF(C436="","Falta entidad; ","")&amp;IF(E436="","Falta objeto; ","")&amp;IF(F436="","Falta especialidad; ","")&amp;IF(K436="","Falta fecha de inicio (recomendada); ","")&amp;IF(AND(M436&lt;&gt;"En ejecución",L436=""),"Falta fecha de terminación; ","")&amp;IF(AND(K436&lt;&gt;"",L436&lt;&gt;"",L436&lt;K436),"Terminación anterior al inicio; ","")&amp;IF(M436="","Falta estado; ","")&amp;IF(OR(P436="",P436&lt;=0),"Falta valor del contrato; ","")&amp;IF(AND(M436="En ejecución",Q436=""),"En ejecución sin valor ejecutado; ","")&amp;IF(AND(M436="En ejecución",L436&lt;&gt;"",L436&lt;TODAY()),"Dice en ejecución pero su terminación ya pasó; ","")&amp;IF(M436="En ejecución","En ejecución: no acredita experiencia; ","")&amp;IF(AND(M436&lt;&gt;"En ejecución",L436&lt;&gt;"",X436&lt;&gt;"",Y436=""),"El año no está en la hoja SMMLV; ","")&amp;IF(AND(B436&lt;&gt;"",COUNTIFS($B$2:$B$601,B436,$C$2:$C$601,C436)&gt;1),"Posible duplicado (mismo número y entidad); ","")&amp;IF(COUNTIF(PARTICIPACIONES!$A$2:$A$601,A436)=0,"Sin participaciones; ","")&amp;IF(SUMIFS(PARTICIPACIONES!$E$2:$E$601,PARTICIPACIONES!$A$2:$A$601,A436)&gt;1.0001,"Las participaciones suman más de 100 %; ",""))</f>
        <v/>
      </c>
    </row>
    <row r="437">
      <c r="J437" s="15" t="n"/>
      <c r="K437" s="15" t="n"/>
      <c r="L437" s="15" t="n"/>
      <c r="N437" s="15" t="n"/>
      <c r="O437" s="16" t="n"/>
      <c r="P437" s="16" t="n"/>
      <c r="Q437" s="16" t="n"/>
      <c r="W437" s="12">
        <f>IF(AND(K437&lt;&gt;"",L437&lt;&gt;""),ROUND((L437-K437)/30.4375,1),"")</f>
        <v/>
      </c>
      <c r="X437" s="12">
        <f>IF(OR(A437="",M437="En ejecución",L437=""),"",YEAR(L437))</f>
        <v/>
      </c>
      <c r="Y437" s="13">
        <f>IF(X437="","",IFERROR(VLOOKUP(X437,SMMLV!$A$2:$B$38,2,FALSE),""))</f>
        <v/>
      </c>
      <c r="Z437" s="17">
        <f>IF(OR(Y437="",P437=""),"",ROUND(P437/Y437,2))</f>
        <v/>
      </c>
      <c r="AA437" s="13">
        <f>IF(Z437="","",ROUND(Z437*SMMLV!$E$4,0))</f>
        <v/>
      </c>
      <c r="AB437" s="13">
        <f>IF(AND(M437="En ejecución",P437&lt;&gt;"",Q437&lt;&gt;""),MAX(P437-Q437,0),"")</f>
        <v/>
      </c>
      <c r="AC437" s="12">
        <f>IF(A437="","",IF(B437="","Falta número de contrato; ","")&amp;IF(C437="","Falta entidad; ","")&amp;IF(E437="","Falta objeto; ","")&amp;IF(F437="","Falta especialidad; ","")&amp;IF(K437="","Falta fecha de inicio (recomendada); ","")&amp;IF(AND(M437&lt;&gt;"En ejecución",L437=""),"Falta fecha de terminación; ","")&amp;IF(AND(K437&lt;&gt;"",L437&lt;&gt;"",L437&lt;K437),"Terminación anterior al inicio; ","")&amp;IF(M437="","Falta estado; ","")&amp;IF(OR(P437="",P437&lt;=0),"Falta valor del contrato; ","")&amp;IF(AND(M437="En ejecución",Q437=""),"En ejecución sin valor ejecutado; ","")&amp;IF(AND(M437="En ejecución",L437&lt;&gt;"",L437&lt;TODAY()),"Dice en ejecución pero su terminación ya pasó; ","")&amp;IF(M437="En ejecución","En ejecución: no acredita experiencia; ","")&amp;IF(AND(M437&lt;&gt;"En ejecución",L437&lt;&gt;"",X437&lt;&gt;"",Y437=""),"El año no está en la hoja SMMLV; ","")&amp;IF(AND(B437&lt;&gt;"",COUNTIFS($B$2:$B$601,B437,$C$2:$C$601,C437)&gt;1),"Posible duplicado (mismo número y entidad); ","")&amp;IF(COUNTIF(PARTICIPACIONES!$A$2:$A$601,A437)=0,"Sin participaciones; ","")&amp;IF(SUMIFS(PARTICIPACIONES!$E$2:$E$601,PARTICIPACIONES!$A$2:$A$601,A437)&gt;1.0001,"Las participaciones suman más de 100 %; ",""))</f>
        <v/>
      </c>
    </row>
    <row r="438">
      <c r="J438" s="15" t="n"/>
      <c r="K438" s="15" t="n"/>
      <c r="L438" s="15" t="n"/>
      <c r="N438" s="15" t="n"/>
      <c r="O438" s="16" t="n"/>
      <c r="P438" s="16" t="n"/>
      <c r="Q438" s="16" t="n"/>
      <c r="W438" s="12">
        <f>IF(AND(K438&lt;&gt;"",L438&lt;&gt;""),ROUND((L438-K438)/30.4375,1),"")</f>
        <v/>
      </c>
      <c r="X438" s="12">
        <f>IF(OR(A438="",M438="En ejecución",L438=""),"",YEAR(L438))</f>
        <v/>
      </c>
      <c r="Y438" s="13">
        <f>IF(X438="","",IFERROR(VLOOKUP(X438,SMMLV!$A$2:$B$38,2,FALSE),""))</f>
        <v/>
      </c>
      <c r="Z438" s="17">
        <f>IF(OR(Y438="",P438=""),"",ROUND(P438/Y438,2))</f>
        <v/>
      </c>
      <c r="AA438" s="13">
        <f>IF(Z438="","",ROUND(Z438*SMMLV!$E$4,0))</f>
        <v/>
      </c>
      <c r="AB438" s="13">
        <f>IF(AND(M438="En ejecución",P438&lt;&gt;"",Q438&lt;&gt;""),MAX(P438-Q438,0),"")</f>
        <v/>
      </c>
      <c r="AC438" s="12">
        <f>IF(A438="","",IF(B438="","Falta número de contrato; ","")&amp;IF(C438="","Falta entidad; ","")&amp;IF(E438="","Falta objeto; ","")&amp;IF(F438="","Falta especialidad; ","")&amp;IF(K438="","Falta fecha de inicio (recomendada); ","")&amp;IF(AND(M438&lt;&gt;"En ejecución",L438=""),"Falta fecha de terminación; ","")&amp;IF(AND(K438&lt;&gt;"",L438&lt;&gt;"",L438&lt;K438),"Terminación anterior al inicio; ","")&amp;IF(M438="","Falta estado; ","")&amp;IF(OR(P438="",P438&lt;=0),"Falta valor del contrato; ","")&amp;IF(AND(M438="En ejecución",Q438=""),"En ejecución sin valor ejecutado; ","")&amp;IF(AND(M438="En ejecución",L438&lt;&gt;"",L438&lt;TODAY()),"Dice en ejecución pero su terminación ya pasó; ","")&amp;IF(M438="En ejecución","En ejecución: no acredita experiencia; ","")&amp;IF(AND(M438&lt;&gt;"En ejecución",L438&lt;&gt;"",X438&lt;&gt;"",Y438=""),"El año no está en la hoja SMMLV; ","")&amp;IF(AND(B438&lt;&gt;"",COUNTIFS($B$2:$B$601,B438,$C$2:$C$601,C438)&gt;1),"Posible duplicado (mismo número y entidad); ","")&amp;IF(COUNTIF(PARTICIPACIONES!$A$2:$A$601,A438)=0,"Sin participaciones; ","")&amp;IF(SUMIFS(PARTICIPACIONES!$E$2:$E$601,PARTICIPACIONES!$A$2:$A$601,A438)&gt;1.0001,"Las participaciones suman más de 100 %; ",""))</f>
        <v/>
      </c>
    </row>
    <row r="439">
      <c r="J439" s="15" t="n"/>
      <c r="K439" s="15" t="n"/>
      <c r="L439" s="15" t="n"/>
      <c r="N439" s="15" t="n"/>
      <c r="O439" s="16" t="n"/>
      <c r="P439" s="16" t="n"/>
      <c r="Q439" s="16" t="n"/>
      <c r="W439" s="12">
        <f>IF(AND(K439&lt;&gt;"",L439&lt;&gt;""),ROUND((L439-K439)/30.4375,1),"")</f>
        <v/>
      </c>
      <c r="X439" s="12">
        <f>IF(OR(A439="",M439="En ejecución",L439=""),"",YEAR(L439))</f>
        <v/>
      </c>
      <c r="Y439" s="13">
        <f>IF(X439="","",IFERROR(VLOOKUP(X439,SMMLV!$A$2:$B$38,2,FALSE),""))</f>
        <v/>
      </c>
      <c r="Z439" s="17">
        <f>IF(OR(Y439="",P439=""),"",ROUND(P439/Y439,2))</f>
        <v/>
      </c>
      <c r="AA439" s="13">
        <f>IF(Z439="","",ROUND(Z439*SMMLV!$E$4,0))</f>
        <v/>
      </c>
      <c r="AB439" s="13">
        <f>IF(AND(M439="En ejecución",P439&lt;&gt;"",Q439&lt;&gt;""),MAX(P439-Q439,0),"")</f>
        <v/>
      </c>
      <c r="AC439" s="12">
        <f>IF(A439="","",IF(B439="","Falta número de contrato; ","")&amp;IF(C439="","Falta entidad; ","")&amp;IF(E439="","Falta objeto; ","")&amp;IF(F439="","Falta especialidad; ","")&amp;IF(K439="","Falta fecha de inicio (recomendada); ","")&amp;IF(AND(M439&lt;&gt;"En ejecución",L439=""),"Falta fecha de terminación; ","")&amp;IF(AND(K439&lt;&gt;"",L439&lt;&gt;"",L439&lt;K439),"Terminación anterior al inicio; ","")&amp;IF(M439="","Falta estado; ","")&amp;IF(OR(P439="",P439&lt;=0),"Falta valor del contrato; ","")&amp;IF(AND(M439="En ejecución",Q439=""),"En ejecución sin valor ejecutado; ","")&amp;IF(AND(M439="En ejecución",L439&lt;&gt;"",L439&lt;TODAY()),"Dice en ejecución pero su terminación ya pasó; ","")&amp;IF(M439="En ejecución","En ejecución: no acredita experiencia; ","")&amp;IF(AND(M439&lt;&gt;"En ejecución",L439&lt;&gt;"",X439&lt;&gt;"",Y439=""),"El año no está en la hoja SMMLV; ","")&amp;IF(AND(B439&lt;&gt;"",COUNTIFS($B$2:$B$601,B439,$C$2:$C$601,C439)&gt;1),"Posible duplicado (mismo número y entidad); ","")&amp;IF(COUNTIF(PARTICIPACIONES!$A$2:$A$601,A439)=0,"Sin participaciones; ","")&amp;IF(SUMIFS(PARTICIPACIONES!$E$2:$E$601,PARTICIPACIONES!$A$2:$A$601,A439)&gt;1.0001,"Las participaciones suman más de 100 %; ",""))</f>
        <v/>
      </c>
    </row>
    <row r="440">
      <c r="J440" s="15" t="n"/>
      <c r="K440" s="15" t="n"/>
      <c r="L440" s="15" t="n"/>
      <c r="N440" s="15" t="n"/>
      <c r="O440" s="16" t="n"/>
      <c r="P440" s="16" t="n"/>
      <c r="Q440" s="16" t="n"/>
      <c r="W440" s="12">
        <f>IF(AND(K440&lt;&gt;"",L440&lt;&gt;""),ROUND((L440-K440)/30.4375,1),"")</f>
        <v/>
      </c>
      <c r="X440" s="12">
        <f>IF(OR(A440="",M440="En ejecución",L440=""),"",YEAR(L440))</f>
        <v/>
      </c>
      <c r="Y440" s="13">
        <f>IF(X440="","",IFERROR(VLOOKUP(X440,SMMLV!$A$2:$B$38,2,FALSE),""))</f>
        <v/>
      </c>
      <c r="Z440" s="17">
        <f>IF(OR(Y440="",P440=""),"",ROUND(P440/Y440,2))</f>
        <v/>
      </c>
      <c r="AA440" s="13">
        <f>IF(Z440="","",ROUND(Z440*SMMLV!$E$4,0))</f>
        <v/>
      </c>
      <c r="AB440" s="13">
        <f>IF(AND(M440="En ejecución",P440&lt;&gt;"",Q440&lt;&gt;""),MAX(P440-Q440,0),"")</f>
        <v/>
      </c>
      <c r="AC440" s="12">
        <f>IF(A440="","",IF(B440="","Falta número de contrato; ","")&amp;IF(C440="","Falta entidad; ","")&amp;IF(E440="","Falta objeto; ","")&amp;IF(F440="","Falta especialidad; ","")&amp;IF(K440="","Falta fecha de inicio (recomendada); ","")&amp;IF(AND(M440&lt;&gt;"En ejecución",L440=""),"Falta fecha de terminación; ","")&amp;IF(AND(K440&lt;&gt;"",L440&lt;&gt;"",L440&lt;K440),"Terminación anterior al inicio; ","")&amp;IF(M440="","Falta estado; ","")&amp;IF(OR(P440="",P440&lt;=0),"Falta valor del contrato; ","")&amp;IF(AND(M440="En ejecución",Q440=""),"En ejecución sin valor ejecutado; ","")&amp;IF(AND(M440="En ejecución",L440&lt;&gt;"",L440&lt;TODAY()),"Dice en ejecución pero su terminación ya pasó; ","")&amp;IF(M440="En ejecución","En ejecución: no acredita experiencia; ","")&amp;IF(AND(M440&lt;&gt;"En ejecución",L440&lt;&gt;"",X440&lt;&gt;"",Y440=""),"El año no está en la hoja SMMLV; ","")&amp;IF(AND(B440&lt;&gt;"",COUNTIFS($B$2:$B$601,B440,$C$2:$C$601,C440)&gt;1),"Posible duplicado (mismo número y entidad); ","")&amp;IF(COUNTIF(PARTICIPACIONES!$A$2:$A$601,A440)=0,"Sin participaciones; ","")&amp;IF(SUMIFS(PARTICIPACIONES!$E$2:$E$601,PARTICIPACIONES!$A$2:$A$601,A440)&gt;1.0001,"Las participaciones suman más de 100 %; ",""))</f>
        <v/>
      </c>
    </row>
    <row r="441">
      <c r="J441" s="15" t="n"/>
      <c r="K441" s="15" t="n"/>
      <c r="L441" s="15" t="n"/>
      <c r="N441" s="15" t="n"/>
      <c r="O441" s="16" t="n"/>
      <c r="P441" s="16" t="n"/>
      <c r="Q441" s="16" t="n"/>
      <c r="W441" s="12">
        <f>IF(AND(K441&lt;&gt;"",L441&lt;&gt;""),ROUND((L441-K441)/30.4375,1),"")</f>
        <v/>
      </c>
      <c r="X441" s="12">
        <f>IF(OR(A441="",M441="En ejecución",L441=""),"",YEAR(L441))</f>
        <v/>
      </c>
      <c r="Y441" s="13">
        <f>IF(X441="","",IFERROR(VLOOKUP(X441,SMMLV!$A$2:$B$38,2,FALSE),""))</f>
        <v/>
      </c>
      <c r="Z441" s="17">
        <f>IF(OR(Y441="",P441=""),"",ROUND(P441/Y441,2))</f>
        <v/>
      </c>
      <c r="AA441" s="13">
        <f>IF(Z441="","",ROUND(Z441*SMMLV!$E$4,0))</f>
        <v/>
      </c>
      <c r="AB441" s="13">
        <f>IF(AND(M441="En ejecución",P441&lt;&gt;"",Q441&lt;&gt;""),MAX(P441-Q441,0),"")</f>
        <v/>
      </c>
      <c r="AC441" s="12">
        <f>IF(A441="","",IF(B441="","Falta número de contrato; ","")&amp;IF(C441="","Falta entidad; ","")&amp;IF(E441="","Falta objeto; ","")&amp;IF(F441="","Falta especialidad; ","")&amp;IF(K441="","Falta fecha de inicio (recomendada); ","")&amp;IF(AND(M441&lt;&gt;"En ejecución",L441=""),"Falta fecha de terminación; ","")&amp;IF(AND(K441&lt;&gt;"",L441&lt;&gt;"",L441&lt;K441),"Terminación anterior al inicio; ","")&amp;IF(M441="","Falta estado; ","")&amp;IF(OR(P441="",P441&lt;=0),"Falta valor del contrato; ","")&amp;IF(AND(M441="En ejecución",Q441=""),"En ejecución sin valor ejecutado; ","")&amp;IF(AND(M441="En ejecución",L441&lt;&gt;"",L441&lt;TODAY()),"Dice en ejecución pero su terminación ya pasó; ","")&amp;IF(M441="En ejecución","En ejecución: no acredita experiencia; ","")&amp;IF(AND(M441&lt;&gt;"En ejecución",L441&lt;&gt;"",X441&lt;&gt;"",Y441=""),"El año no está en la hoja SMMLV; ","")&amp;IF(AND(B441&lt;&gt;"",COUNTIFS($B$2:$B$601,B441,$C$2:$C$601,C441)&gt;1),"Posible duplicado (mismo número y entidad); ","")&amp;IF(COUNTIF(PARTICIPACIONES!$A$2:$A$601,A441)=0,"Sin participaciones; ","")&amp;IF(SUMIFS(PARTICIPACIONES!$E$2:$E$601,PARTICIPACIONES!$A$2:$A$601,A441)&gt;1.0001,"Las participaciones suman más de 100 %; ",""))</f>
        <v/>
      </c>
    </row>
    <row r="442">
      <c r="J442" s="15" t="n"/>
      <c r="K442" s="15" t="n"/>
      <c r="L442" s="15" t="n"/>
      <c r="N442" s="15" t="n"/>
      <c r="O442" s="16" t="n"/>
      <c r="P442" s="16" t="n"/>
      <c r="Q442" s="16" t="n"/>
      <c r="W442" s="12">
        <f>IF(AND(K442&lt;&gt;"",L442&lt;&gt;""),ROUND((L442-K442)/30.4375,1),"")</f>
        <v/>
      </c>
      <c r="X442" s="12">
        <f>IF(OR(A442="",M442="En ejecución",L442=""),"",YEAR(L442))</f>
        <v/>
      </c>
      <c r="Y442" s="13">
        <f>IF(X442="","",IFERROR(VLOOKUP(X442,SMMLV!$A$2:$B$38,2,FALSE),""))</f>
        <v/>
      </c>
      <c r="Z442" s="17">
        <f>IF(OR(Y442="",P442=""),"",ROUND(P442/Y442,2))</f>
        <v/>
      </c>
      <c r="AA442" s="13">
        <f>IF(Z442="","",ROUND(Z442*SMMLV!$E$4,0))</f>
        <v/>
      </c>
      <c r="AB442" s="13">
        <f>IF(AND(M442="En ejecución",P442&lt;&gt;"",Q442&lt;&gt;""),MAX(P442-Q442,0),"")</f>
        <v/>
      </c>
      <c r="AC442" s="12">
        <f>IF(A442="","",IF(B442="","Falta número de contrato; ","")&amp;IF(C442="","Falta entidad; ","")&amp;IF(E442="","Falta objeto; ","")&amp;IF(F442="","Falta especialidad; ","")&amp;IF(K442="","Falta fecha de inicio (recomendada); ","")&amp;IF(AND(M442&lt;&gt;"En ejecución",L442=""),"Falta fecha de terminación; ","")&amp;IF(AND(K442&lt;&gt;"",L442&lt;&gt;"",L442&lt;K442),"Terminación anterior al inicio; ","")&amp;IF(M442="","Falta estado; ","")&amp;IF(OR(P442="",P442&lt;=0),"Falta valor del contrato; ","")&amp;IF(AND(M442="En ejecución",Q442=""),"En ejecución sin valor ejecutado; ","")&amp;IF(AND(M442="En ejecución",L442&lt;&gt;"",L442&lt;TODAY()),"Dice en ejecución pero su terminación ya pasó; ","")&amp;IF(M442="En ejecución","En ejecución: no acredita experiencia; ","")&amp;IF(AND(M442&lt;&gt;"En ejecución",L442&lt;&gt;"",X442&lt;&gt;"",Y442=""),"El año no está en la hoja SMMLV; ","")&amp;IF(AND(B442&lt;&gt;"",COUNTIFS($B$2:$B$601,B442,$C$2:$C$601,C442)&gt;1),"Posible duplicado (mismo número y entidad); ","")&amp;IF(COUNTIF(PARTICIPACIONES!$A$2:$A$601,A442)=0,"Sin participaciones; ","")&amp;IF(SUMIFS(PARTICIPACIONES!$E$2:$E$601,PARTICIPACIONES!$A$2:$A$601,A442)&gt;1.0001,"Las participaciones suman más de 100 %; ",""))</f>
        <v/>
      </c>
    </row>
    <row r="443">
      <c r="J443" s="15" t="n"/>
      <c r="K443" s="15" t="n"/>
      <c r="L443" s="15" t="n"/>
      <c r="N443" s="15" t="n"/>
      <c r="O443" s="16" t="n"/>
      <c r="P443" s="16" t="n"/>
      <c r="Q443" s="16" t="n"/>
      <c r="W443" s="12">
        <f>IF(AND(K443&lt;&gt;"",L443&lt;&gt;""),ROUND((L443-K443)/30.4375,1),"")</f>
        <v/>
      </c>
      <c r="X443" s="12">
        <f>IF(OR(A443="",M443="En ejecución",L443=""),"",YEAR(L443))</f>
        <v/>
      </c>
      <c r="Y443" s="13">
        <f>IF(X443="","",IFERROR(VLOOKUP(X443,SMMLV!$A$2:$B$38,2,FALSE),""))</f>
        <v/>
      </c>
      <c r="Z443" s="17">
        <f>IF(OR(Y443="",P443=""),"",ROUND(P443/Y443,2))</f>
        <v/>
      </c>
      <c r="AA443" s="13">
        <f>IF(Z443="","",ROUND(Z443*SMMLV!$E$4,0))</f>
        <v/>
      </c>
      <c r="AB443" s="13">
        <f>IF(AND(M443="En ejecución",P443&lt;&gt;"",Q443&lt;&gt;""),MAX(P443-Q443,0),"")</f>
        <v/>
      </c>
      <c r="AC443" s="12">
        <f>IF(A443="","",IF(B443="","Falta número de contrato; ","")&amp;IF(C443="","Falta entidad; ","")&amp;IF(E443="","Falta objeto; ","")&amp;IF(F443="","Falta especialidad; ","")&amp;IF(K443="","Falta fecha de inicio (recomendada); ","")&amp;IF(AND(M443&lt;&gt;"En ejecución",L443=""),"Falta fecha de terminación; ","")&amp;IF(AND(K443&lt;&gt;"",L443&lt;&gt;"",L443&lt;K443),"Terminación anterior al inicio; ","")&amp;IF(M443="","Falta estado; ","")&amp;IF(OR(P443="",P443&lt;=0),"Falta valor del contrato; ","")&amp;IF(AND(M443="En ejecución",Q443=""),"En ejecución sin valor ejecutado; ","")&amp;IF(AND(M443="En ejecución",L443&lt;&gt;"",L443&lt;TODAY()),"Dice en ejecución pero su terminación ya pasó; ","")&amp;IF(M443="En ejecución","En ejecución: no acredita experiencia; ","")&amp;IF(AND(M443&lt;&gt;"En ejecución",L443&lt;&gt;"",X443&lt;&gt;"",Y443=""),"El año no está en la hoja SMMLV; ","")&amp;IF(AND(B443&lt;&gt;"",COUNTIFS($B$2:$B$601,B443,$C$2:$C$601,C443)&gt;1),"Posible duplicado (mismo número y entidad); ","")&amp;IF(COUNTIF(PARTICIPACIONES!$A$2:$A$601,A443)=0,"Sin participaciones; ","")&amp;IF(SUMIFS(PARTICIPACIONES!$E$2:$E$601,PARTICIPACIONES!$A$2:$A$601,A443)&gt;1.0001,"Las participaciones suman más de 100 %; ",""))</f>
        <v/>
      </c>
    </row>
    <row r="444">
      <c r="J444" s="15" t="n"/>
      <c r="K444" s="15" t="n"/>
      <c r="L444" s="15" t="n"/>
      <c r="N444" s="15" t="n"/>
      <c r="O444" s="16" t="n"/>
      <c r="P444" s="16" t="n"/>
      <c r="Q444" s="16" t="n"/>
      <c r="W444" s="12">
        <f>IF(AND(K444&lt;&gt;"",L444&lt;&gt;""),ROUND((L444-K444)/30.4375,1),"")</f>
        <v/>
      </c>
      <c r="X444" s="12">
        <f>IF(OR(A444="",M444="En ejecución",L444=""),"",YEAR(L444))</f>
        <v/>
      </c>
      <c r="Y444" s="13">
        <f>IF(X444="","",IFERROR(VLOOKUP(X444,SMMLV!$A$2:$B$38,2,FALSE),""))</f>
        <v/>
      </c>
      <c r="Z444" s="17">
        <f>IF(OR(Y444="",P444=""),"",ROUND(P444/Y444,2))</f>
        <v/>
      </c>
      <c r="AA444" s="13">
        <f>IF(Z444="","",ROUND(Z444*SMMLV!$E$4,0))</f>
        <v/>
      </c>
      <c r="AB444" s="13">
        <f>IF(AND(M444="En ejecución",P444&lt;&gt;"",Q444&lt;&gt;""),MAX(P444-Q444,0),"")</f>
        <v/>
      </c>
      <c r="AC444" s="12">
        <f>IF(A444="","",IF(B444="","Falta número de contrato; ","")&amp;IF(C444="","Falta entidad; ","")&amp;IF(E444="","Falta objeto; ","")&amp;IF(F444="","Falta especialidad; ","")&amp;IF(K444="","Falta fecha de inicio (recomendada); ","")&amp;IF(AND(M444&lt;&gt;"En ejecución",L444=""),"Falta fecha de terminación; ","")&amp;IF(AND(K444&lt;&gt;"",L444&lt;&gt;"",L444&lt;K444),"Terminación anterior al inicio; ","")&amp;IF(M444="","Falta estado; ","")&amp;IF(OR(P444="",P444&lt;=0),"Falta valor del contrato; ","")&amp;IF(AND(M444="En ejecución",Q444=""),"En ejecución sin valor ejecutado; ","")&amp;IF(AND(M444="En ejecución",L444&lt;&gt;"",L444&lt;TODAY()),"Dice en ejecución pero su terminación ya pasó; ","")&amp;IF(M444="En ejecución","En ejecución: no acredita experiencia; ","")&amp;IF(AND(M444&lt;&gt;"En ejecución",L444&lt;&gt;"",X444&lt;&gt;"",Y444=""),"El año no está en la hoja SMMLV; ","")&amp;IF(AND(B444&lt;&gt;"",COUNTIFS($B$2:$B$601,B444,$C$2:$C$601,C444)&gt;1),"Posible duplicado (mismo número y entidad); ","")&amp;IF(COUNTIF(PARTICIPACIONES!$A$2:$A$601,A444)=0,"Sin participaciones; ","")&amp;IF(SUMIFS(PARTICIPACIONES!$E$2:$E$601,PARTICIPACIONES!$A$2:$A$601,A444)&gt;1.0001,"Las participaciones suman más de 100 %; ",""))</f>
        <v/>
      </c>
    </row>
    <row r="445">
      <c r="J445" s="15" t="n"/>
      <c r="K445" s="15" t="n"/>
      <c r="L445" s="15" t="n"/>
      <c r="N445" s="15" t="n"/>
      <c r="O445" s="16" t="n"/>
      <c r="P445" s="16" t="n"/>
      <c r="Q445" s="16" t="n"/>
      <c r="W445" s="12">
        <f>IF(AND(K445&lt;&gt;"",L445&lt;&gt;""),ROUND((L445-K445)/30.4375,1),"")</f>
        <v/>
      </c>
      <c r="X445" s="12">
        <f>IF(OR(A445="",M445="En ejecución",L445=""),"",YEAR(L445))</f>
        <v/>
      </c>
      <c r="Y445" s="13">
        <f>IF(X445="","",IFERROR(VLOOKUP(X445,SMMLV!$A$2:$B$38,2,FALSE),""))</f>
        <v/>
      </c>
      <c r="Z445" s="17">
        <f>IF(OR(Y445="",P445=""),"",ROUND(P445/Y445,2))</f>
        <v/>
      </c>
      <c r="AA445" s="13">
        <f>IF(Z445="","",ROUND(Z445*SMMLV!$E$4,0))</f>
        <v/>
      </c>
      <c r="AB445" s="13">
        <f>IF(AND(M445="En ejecución",P445&lt;&gt;"",Q445&lt;&gt;""),MAX(P445-Q445,0),"")</f>
        <v/>
      </c>
      <c r="AC445" s="12">
        <f>IF(A445="","",IF(B445="","Falta número de contrato; ","")&amp;IF(C445="","Falta entidad; ","")&amp;IF(E445="","Falta objeto; ","")&amp;IF(F445="","Falta especialidad; ","")&amp;IF(K445="","Falta fecha de inicio (recomendada); ","")&amp;IF(AND(M445&lt;&gt;"En ejecución",L445=""),"Falta fecha de terminación; ","")&amp;IF(AND(K445&lt;&gt;"",L445&lt;&gt;"",L445&lt;K445),"Terminación anterior al inicio; ","")&amp;IF(M445="","Falta estado; ","")&amp;IF(OR(P445="",P445&lt;=0),"Falta valor del contrato; ","")&amp;IF(AND(M445="En ejecución",Q445=""),"En ejecución sin valor ejecutado; ","")&amp;IF(AND(M445="En ejecución",L445&lt;&gt;"",L445&lt;TODAY()),"Dice en ejecución pero su terminación ya pasó; ","")&amp;IF(M445="En ejecución","En ejecución: no acredita experiencia; ","")&amp;IF(AND(M445&lt;&gt;"En ejecución",L445&lt;&gt;"",X445&lt;&gt;"",Y445=""),"El año no está en la hoja SMMLV; ","")&amp;IF(AND(B445&lt;&gt;"",COUNTIFS($B$2:$B$601,B445,$C$2:$C$601,C445)&gt;1),"Posible duplicado (mismo número y entidad); ","")&amp;IF(COUNTIF(PARTICIPACIONES!$A$2:$A$601,A445)=0,"Sin participaciones; ","")&amp;IF(SUMIFS(PARTICIPACIONES!$E$2:$E$601,PARTICIPACIONES!$A$2:$A$601,A445)&gt;1.0001,"Las participaciones suman más de 100 %; ",""))</f>
        <v/>
      </c>
    </row>
    <row r="446">
      <c r="J446" s="15" t="n"/>
      <c r="K446" s="15" t="n"/>
      <c r="L446" s="15" t="n"/>
      <c r="N446" s="15" t="n"/>
      <c r="O446" s="16" t="n"/>
      <c r="P446" s="16" t="n"/>
      <c r="Q446" s="16" t="n"/>
      <c r="W446" s="12">
        <f>IF(AND(K446&lt;&gt;"",L446&lt;&gt;""),ROUND((L446-K446)/30.4375,1),"")</f>
        <v/>
      </c>
      <c r="X446" s="12">
        <f>IF(OR(A446="",M446="En ejecución",L446=""),"",YEAR(L446))</f>
        <v/>
      </c>
      <c r="Y446" s="13">
        <f>IF(X446="","",IFERROR(VLOOKUP(X446,SMMLV!$A$2:$B$38,2,FALSE),""))</f>
        <v/>
      </c>
      <c r="Z446" s="17">
        <f>IF(OR(Y446="",P446=""),"",ROUND(P446/Y446,2))</f>
        <v/>
      </c>
      <c r="AA446" s="13">
        <f>IF(Z446="","",ROUND(Z446*SMMLV!$E$4,0))</f>
        <v/>
      </c>
      <c r="AB446" s="13">
        <f>IF(AND(M446="En ejecución",P446&lt;&gt;"",Q446&lt;&gt;""),MAX(P446-Q446,0),"")</f>
        <v/>
      </c>
      <c r="AC446" s="12">
        <f>IF(A446="","",IF(B446="","Falta número de contrato; ","")&amp;IF(C446="","Falta entidad; ","")&amp;IF(E446="","Falta objeto; ","")&amp;IF(F446="","Falta especialidad; ","")&amp;IF(K446="","Falta fecha de inicio (recomendada); ","")&amp;IF(AND(M446&lt;&gt;"En ejecución",L446=""),"Falta fecha de terminación; ","")&amp;IF(AND(K446&lt;&gt;"",L446&lt;&gt;"",L446&lt;K446),"Terminación anterior al inicio; ","")&amp;IF(M446="","Falta estado; ","")&amp;IF(OR(P446="",P446&lt;=0),"Falta valor del contrato; ","")&amp;IF(AND(M446="En ejecución",Q446=""),"En ejecución sin valor ejecutado; ","")&amp;IF(AND(M446="En ejecución",L446&lt;&gt;"",L446&lt;TODAY()),"Dice en ejecución pero su terminación ya pasó; ","")&amp;IF(M446="En ejecución","En ejecución: no acredita experiencia; ","")&amp;IF(AND(M446&lt;&gt;"En ejecución",L446&lt;&gt;"",X446&lt;&gt;"",Y446=""),"El año no está en la hoja SMMLV; ","")&amp;IF(AND(B446&lt;&gt;"",COUNTIFS($B$2:$B$601,B446,$C$2:$C$601,C446)&gt;1),"Posible duplicado (mismo número y entidad); ","")&amp;IF(COUNTIF(PARTICIPACIONES!$A$2:$A$601,A446)=0,"Sin participaciones; ","")&amp;IF(SUMIFS(PARTICIPACIONES!$E$2:$E$601,PARTICIPACIONES!$A$2:$A$601,A446)&gt;1.0001,"Las participaciones suman más de 100 %; ",""))</f>
        <v/>
      </c>
    </row>
    <row r="447">
      <c r="J447" s="15" t="n"/>
      <c r="K447" s="15" t="n"/>
      <c r="L447" s="15" t="n"/>
      <c r="N447" s="15" t="n"/>
      <c r="O447" s="16" t="n"/>
      <c r="P447" s="16" t="n"/>
      <c r="Q447" s="16" t="n"/>
      <c r="W447" s="12">
        <f>IF(AND(K447&lt;&gt;"",L447&lt;&gt;""),ROUND((L447-K447)/30.4375,1),"")</f>
        <v/>
      </c>
      <c r="X447" s="12">
        <f>IF(OR(A447="",M447="En ejecución",L447=""),"",YEAR(L447))</f>
        <v/>
      </c>
      <c r="Y447" s="13">
        <f>IF(X447="","",IFERROR(VLOOKUP(X447,SMMLV!$A$2:$B$38,2,FALSE),""))</f>
        <v/>
      </c>
      <c r="Z447" s="17">
        <f>IF(OR(Y447="",P447=""),"",ROUND(P447/Y447,2))</f>
        <v/>
      </c>
      <c r="AA447" s="13">
        <f>IF(Z447="","",ROUND(Z447*SMMLV!$E$4,0))</f>
        <v/>
      </c>
      <c r="AB447" s="13">
        <f>IF(AND(M447="En ejecución",P447&lt;&gt;"",Q447&lt;&gt;""),MAX(P447-Q447,0),"")</f>
        <v/>
      </c>
      <c r="AC447" s="12">
        <f>IF(A447="","",IF(B447="","Falta número de contrato; ","")&amp;IF(C447="","Falta entidad; ","")&amp;IF(E447="","Falta objeto; ","")&amp;IF(F447="","Falta especialidad; ","")&amp;IF(K447="","Falta fecha de inicio (recomendada); ","")&amp;IF(AND(M447&lt;&gt;"En ejecución",L447=""),"Falta fecha de terminación; ","")&amp;IF(AND(K447&lt;&gt;"",L447&lt;&gt;"",L447&lt;K447),"Terminación anterior al inicio; ","")&amp;IF(M447="","Falta estado; ","")&amp;IF(OR(P447="",P447&lt;=0),"Falta valor del contrato; ","")&amp;IF(AND(M447="En ejecución",Q447=""),"En ejecución sin valor ejecutado; ","")&amp;IF(AND(M447="En ejecución",L447&lt;&gt;"",L447&lt;TODAY()),"Dice en ejecución pero su terminación ya pasó; ","")&amp;IF(M447="En ejecución","En ejecución: no acredita experiencia; ","")&amp;IF(AND(M447&lt;&gt;"En ejecución",L447&lt;&gt;"",X447&lt;&gt;"",Y447=""),"El año no está en la hoja SMMLV; ","")&amp;IF(AND(B447&lt;&gt;"",COUNTIFS($B$2:$B$601,B447,$C$2:$C$601,C447)&gt;1),"Posible duplicado (mismo número y entidad); ","")&amp;IF(COUNTIF(PARTICIPACIONES!$A$2:$A$601,A447)=0,"Sin participaciones; ","")&amp;IF(SUMIFS(PARTICIPACIONES!$E$2:$E$601,PARTICIPACIONES!$A$2:$A$601,A447)&gt;1.0001,"Las participaciones suman más de 100 %; ",""))</f>
        <v/>
      </c>
    </row>
    <row r="448">
      <c r="J448" s="15" t="n"/>
      <c r="K448" s="15" t="n"/>
      <c r="L448" s="15" t="n"/>
      <c r="N448" s="15" t="n"/>
      <c r="O448" s="16" t="n"/>
      <c r="P448" s="16" t="n"/>
      <c r="Q448" s="16" t="n"/>
      <c r="W448" s="12">
        <f>IF(AND(K448&lt;&gt;"",L448&lt;&gt;""),ROUND((L448-K448)/30.4375,1),"")</f>
        <v/>
      </c>
      <c r="X448" s="12">
        <f>IF(OR(A448="",M448="En ejecución",L448=""),"",YEAR(L448))</f>
        <v/>
      </c>
      <c r="Y448" s="13">
        <f>IF(X448="","",IFERROR(VLOOKUP(X448,SMMLV!$A$2:$B$38,2,FALSE),""))</f>
        <v/>
      </c>
      <c r="Z448" s="17">
        <f>IF(OR(Y448="",P448=""),"",ROUND(P448/Y448,2))</f>
        <v/>
      </c>
      <c r="AA448" s="13">
        <f>IF(Z448="","",ROUND(Z448*SMMLV!$E$4,0))</f>
        <v/>
      </c>
      <c r="AB448" s="13">
        <f>IF(AND(M448="En ejecución",P448&lt;&gt;"",Q448&lt;&gt;""),MAX(P448-Q448,0),"")</f>
        <v/>
      </c>
      <c r="AC448" s="12">
        <f>IF(A448="","",IF(B448="","Falta número de contrato; ","")&amp;IF(C448="","Falta entidad; ","")&amp;IF(E448="","Falta objeto; ","")&amp;IF(F448="","Falta especialidad; ","")&amp;IF(K448="","Falta fecha de inicio (recomendada); ","")&amp;IF(AND(M448&lt;&gt;"En ejecución",L448=""),"Falta fecha de terminación; ","")&amp;IF(AND(K448&lt;&gt;"",L448&lt;&gt;"",L448&lt;K448),"Terminación anterior al inicio; ","")&amp;IF(M448="","Falta estado; ","")&amp;IF(OR(P448="",P448&lt;=0),"Falta valor del contrato; ","")&amp;IF(AND(M448="En ejecución",Q448=""),"En ejecución sin valor ejecutado; ","")&amp;IF(AND(M448="En ejecución",L448&lt;&gt;"",L448&lt;TODAY()),"Dice en ejecución pero su terminación ya pasó; ","")&amp;IF(M448="En ejecución","En ejecución: no acredita experiencia; ","")&amp;IF(AND(M448&lt;&gt;"En ejecución",L448&lt;&gt;"",X448&lt;&gt;"",Y448=""),"El año no está en la hoja SMMLV; ","")&amp;IF(AND(B448&lt;&gt;"",COUNTIFS($B$2:$B$601,B448,$C$2:$C$601,C448)&gt;1),"Posible duplicado (mismo número y entidad); ","")&amp;IF(COUNTIF(PARTICIPACIONES!$A$2:$A$601,A448)=0,"Sin participaciones; ","")&amp;IF(SUMIFS(PARTICIPACIONES!$E$2:$E$601,PARTICIPACIONES!$A$2:$A$601,A448)&gt;1.0001,"Las participaciones suman más de 100 %; ",""))</f>
        <v/>
      </c>
    </row>
    <row r="449">
      <c r="J449" s="15" t="n"/>
      <c r="K449" s="15" t="n"/>
      <c r="L449" s="15" t="n"/>
      <c r="N449" s="15" t="n"/>
      <c r="O449" s="16" t="n"/>
      <c r="P449" s="16" t="n"/>
      <c r="Q449" s="16" t="n"/>
      <c r="W449" s="12">
        <f>IF(AND(K449&lt;&gt;"",L449&lt;&gt;""),ROUND((L449-K449)/30.4375,1),"")</f>
        <v/>
      </c>
      <c r="X449" s="12">
        <f>IF(OR(A449="",M449="En ejecución",L449=""),"",YEAR(L449))</f>
        <v/>
      </c>
      <c r="Y449" s="13">
        <f>IF(X449="","",IFERROR(VLOOKUP(X449,SMMLV!$A$2:$B$38,2,FALSE),""))</f>
        <v/>
      </c>
      <c r="Z449" s="17">
        <f>IF(OR(Y449="",P449=""),"",ROUND(P449/Y449,2))</f>
        <v/>
      </c>
      <c r="AA449" s="13">
        <f>IF(Z449="","",ROUND(Z449*SMMLV!$E$4,0))</f>
        <v/>
      </c>
      <c r="AB449" s="13">
        <f>IF(AND(M449="En ejecución",P449&lt;&gt;"",Q449&lt;&gt;""),MAX(P449-Q449,0),"")</f>
        <v/>
      </c>
      <c r="AC449" s="12">
        <f>IF(A449="","",IF(B449="","Falta número de contrato; ","")&amp;IF(C449="","Falta entidad; ","")&amp;IF(E449="","Falta objeto; ","")&amp;IF(F449="","Falta especialidad; ","")&amp;IF(K449="","Falta fecha de inicio (recomendada); ","")&amp;IF(AND(M449&lt;&gt;"En ejecución",L449=""),"Falta fecha de terminación; ","")&amp;IF(AND(K449&lt;&gt;"",L449&lt;&gt;"",L449&lt;K449),"Terminación anterior al inicio; ","")&amp;IF(M449="","Falta estado; ","")&amp;IF(OR(P449="",P449&lt;=0),"Falta valor del contrato; ","")&amp;IF(AND(M449="En ejecución",Q449=""),"En ejecución sin valor ejecutado; ","")&amp;IF(AND(M449="En ejecución",L449&lt;&gt;"",L449&lt;TODAY()),"Dice en ejecución pero su terminación ya pasó; ","")&amp;IF(M449="En ejecución","En ejecución: no acredita experiencia; ","")&amp;IF(AND(M449&lt;&gt;"En ejecución",L449&lt;&gt;"",X449&lt;&gt;"",Y449=""),"El año no está en la hoja SMMLV; ","")&amp;IF(AND(B449&lt;&gt;"",COUNTIFS($B$2:$B$601,B449,$C$2:$C$601,C449)&gt;1),"Posible duplicado (mismo número y entidad); ","")&amp;IF(COUNTIF(PARTICIPACIONES!$A$2:$A$601,A449)=0,"Sin participaciones; ","")&amp;IF(SUMIFS(PARTICIPACIONES!$E$2:$E$601,PARTICIPACIONES!$A$2:$A$601,A449)&gt;1.0001,"Las participaciones suman más de 100 %; ",""))</f>
        <v/>
      </c>
    </row>
    <row r="450">
      <c r="J450" s="15" t="n"/>
      <c r="K450" s="15" t="n"/>
      <c r="L450" s="15" t="n"/>
      <c r="N450" s="15" t="n"/>
      <c r="O450" s="16" t="n"/>
      <c r="P450" s="16" t="n"/>
      <c r="Q450" s="16" t="n"/>
      <c r="W450" s="12">
        <f>IF(AND(K450&lt;&gt;"",L450&lt;&gt;""),ROUND((L450-K450)/30.4375,1),"")</f>
        <v/>
      </c>
      <c r="X450" s="12">
        <f>IF(OR(A450="",M450="En ejecución",L450=""),"",YEAR(L450))</f>
        <v/>
      </c>
      <c r="Y450" s="13">
        <f>IF(X450="","",IFERROR(VLOOKUP(X450,SMMLV!$A$2:$B$38,2,FALSE),""))</f>
        <v/>
      </c>
      <c r="Z450" s="17">
        <f>IF(OR(Y450="",P450=""),"",ROUND(P450/Y450,2))</f>
        <v/>
      </c>
      <c r="AA450" s="13">
        <f>IF(Z450="","",ROUND(Z450*SMMLV!$E$4,0))</f>
        <v/>
      </c>
      <c r="AB450" s="13">
        <f>IF(AND(M450="En ejecución",P450&lt;&gt;"",Q450&lt;&gt;""),MAX(P450-Q450,0),"")</f>
        <v/>
      </c>
      <c r="AC450" s="12">
        <f>IF(A450="","",IF(B450="","Falta número de contrato; ","")&amp;IF(C450="","Falta entidad; ","")&amp;IF(E450="","Falta objeto; ","")&amp;IF(F450="","Falta especialidad; ","")&amp;IF(K450="","Falta fecha de inicio (recomendada); ","")&amp;IF(AND(M450&lt;&gt;"En ejecución",L450=""),"Falta fecha de terminación; ","")&amp;IF(AND(K450&lt;&gt;"",L450&lt;&gt;"",L450&lt;K450),"Terminación anterior al inicio; ","")&amp;IF(M450="","Falta estado; ","")&amp;IF(OR(P450="",P450&lt;=0),"Falta valor del contrato; ","")&amp;IF(AND(M450="En ejecución",Q450=""),"En ejecución sin valor ejecutado; ","")&amp;IF(AND(M450="En ejecución",L450&lt;&gt;"",L450&lt;TODAY()),"Dice en ejecución pero su terminación ya pasó; ","")&amp;IF(M450="En ejecución","En ejecución: no acredita experiencia; ","")&amp;IF(AND(M450&lt;&gt;"En ejecución",L450&lt;&gt;"",X450&lt;&gt;"",Y450=""),"El año no está en la hoja SMMLV; ","")&amp;IF(AND(B450&lt;&gt;"",COUNTIFS($B$2:$B$601,B450,$C$2:$C$601,C450)&gt;1),"Posible duplicado (mismo número y entidad); ","")&amp;IF(COUNTIF(PARTICIPACIONES!$A$2:$A$601,A450)=0,"Sin participaciones; ","")&amp;IF(SUMIFS(PARTICIPACIONES!$E$2:$E$601,PARTICIPACIONES!$A$2:$A$601,A450)&gt;1.0001,"Las participaciones suman más de 100 %; ",""))</f>
        <v/>
      </c>
    </row>
    <row r="451">
      <c r="J451" s="15" t="n"/>
      <c r="K451" s="15" t="n"/>
      <c r="L451" s="15" t="n"/>
      <c r="N451" s="15" t="n"/>
      <c r="O451" s="16" t="n"/>
      <c r="P451" s="16" t="n"/>
      <c r="Q451" s="16" t="n"/>
      <c r="W451" s="12">
        <f>IF(AND(K451&lt;&gt;"",L451&lt;&gt;""),ROUND((L451-K451)/30.4375,1),"")</f>
        <v/>
      </c>
      <c r="X451" s="12">
        <f>IF(OR(A451="",M451="En ejecución",L451=""),"",YEAR(L451))</f>
        <v/>
      </c>
      <c r="Y451" s="13">
        <f>IF(X451="","",IFERROR(VLOOKUP(X451,SMMLV!$A$2:$B$38,2,FALSE),""))</f>
        <v/>
      </c>
      <c r="Z451" s="17">
        <f>IF(OR(Y451="",P451=""),"",ROUND(P451/Y451,2))</f>
        <v/>
      </c>
      <c r="AA451" s="13">
        <f>IF(Z451="","",ROUND(Z451*SMMLV!$E$4,0))</f>
        <v/>
      </c>
      <c r="AB451" s="13">
        <f>IF(AND(M451="En ejecución",P451&lt;&gt;"",Q451&lt;&gt;""),MAX(P451-Q451,0),"")</f>
        <v/>
      </c>
      <c r="AC451" s="12">
        <f>IF(A451="","",IF(B451="","Falta número de contrato; ","")&amp;IF(C451="","Falta entidad; ","")&amp;IF(E451="","Falta objeto; ","")&amp;IF(F451="","Falta especialidad; ","")&amp;IF(K451="","Falta fecha de inicio (recomendada); ","")&amp;IF(AND(M451&lt;&gt;"En ejecución",L451=""),"Falta fecha de terminación; ","")&amp;IF(AND(K451&lt;&gt;"",L451&lt;&gt;"",L451&lt;K451),"Terminación anterior al inicio; ","")&amp;IF(M451="","Falta estado; ","")&amp;IF(OR(P451="",P451&lt;=0),"Falta valor del contrato; ","")&amp;IF(AND(M451="En ejecución",Q451=""),"En ejecución sin valor ejecutado; ","")&amp;IF(AND(M451="En ejecución",L451&lt;&gt;"",L451&lt;TODAY()),"Dice en ejecución pero su terminación ya pasó; ","")&amp;IF(M451="En ejecución","En ejecución: no acredita experiencia; ","")&amp;IF(AND(M451&lt;&gt;"En ejecución",L451&lt;&gt;"",X451&lt;&gt;"",Y451=""),"El año no está en la hoja SMMLV; ","")&amp;IF(AND(B451&lt;&gt;"",COUNTIFS($B$2:$B$601,B451,$C$2:$C$601,C451)&gt;1),"Posible duplicado (mismo número y entidad); ","")&amp;IF(COUNTIF(PARTICIPACIONES!$A$2:$A$601,A451)=0,"Sin participaciones; ","")&amp;IF(SUMIFS(PARTICIPACIONES!$E$2:$E$601,PARTICIPACIONES!$A$2:$A$601,A451)&gt;1.0001,"Las participaciones suman más de 100 %; ",""))</f>
        <v/>
      </c>
    </row>
    <row r="452">
      <c r="J452" s="15" t="n"/>
      <c r="K452" s="15" t="n"/>
      <c r="L452" s="15" t="n"/>
      <c r="N452" s="15" t="n"/>
      <c r="O452" s="16" t="n"/>
      <c r="P452" s="16" t="n"/>
      <c r="Q452" s="16" t="n"/>
      <c r="W452" s="12">
        <f>IF(AND(K452&lt;&gt;"",L452&lt;&gt;""),ROUND((L452-K452)/30.4375,1),"")</f>
        <v/>
      </c>
      <c r="X452" s="12">
        <f>IF(OR(A452="",M452="En ejecución",L452=""),"",YEAR(L452))</f>
        <v/>
      </c>
      <c r="Y452" s="13">
        <f>IF(X452="","",IFERROR(VLOOKUP(X452,SMMLV!$A$2:$B$38,2,FALSE),""))</f>
        <v/>
      </c>
      <c r="Z452" s="17">
        <f>IF(OR(Y452="",P452=""),"",ROUND(P452/Y452,2))</f>
        <v/>
      </c>
      <c r="AA452" s="13">
        <f>IF(Z452="","",ROUND(Z452*SMMLV!$E$4,0))</f>
        <v/>
      </c>
      <c r="AB452" s="13">
        <f>IF(AND(M452="En ejecución",P452&lt;&gt;"",Q452&lt;&gt;""),MAX(P452-Q452,0),"")</f>
        <v/>
      </c>
      <c r="AC452" s="12">
        <f>IF(A452="","",IF(B452="","Falta número de contrato; ","")&amp;IF(C452="","Falta entidad; ","")&amp;IF(E452="","Falta objeto; ","")&amp;IF(F452="","Falta especialidad; ","")&amp;IF(K452="","Falta fecha de inicio (recomendada); ","")&amp;IF(AND(M452&lt;&gt;"En ejecución",L452=""),"Falta fecha de terminación; ","")&amp;IF(AND(K452&lt;&gt;"",L452&lt;&gt;"",L452&lt;K452),"Terminación anterior al inicio; ","")&amp;IF(M452="","Falta estado; ","")&amp;IF(OR(P452="",P452&lt;=0),"Falta valor del contrato; ","")&amp;IF(AND(M452="En ejecución",Q452=""),"En ejecución sin valor ejecutado; ","")&amp;IF(AND(M452="En ejecución",L452&lt;&gt;"",L452&lt;TODAY()),"Dice en ejecución pero su terminación ya pasó; ","")&amp;IF(M452="En ejecución","En ejecución: no acredita experiencia; ","")&amp;IF(AND(M452&lt;&gt;"En ejecución",L452&lt;&gt;"",X452&lt;&gt;"",Y452=""),"El año no está en la hoja SMMLV; ","")&amp;IF(AND(B452&lt;&gt;"",COUNTIFS($B$2:$B$601,B452,$C$2:$C$601,C452)&gt;1),"Posible duplicado (mismo número y entidad); ","")&amp;IF(COUNTIF(PARTICIPACIONES!$A$2:$A$601,A452)=0,"Sin participaciones; ","")&amp;IF(SUMIFS(PARTICIPACIONES!$E$2:$E$601,PARTICIPACIONES!$A$2:$A$601,A452)&gt;1.0001,"Las participaciones suman más de 100 %; ",""))</f>
        <v/>
      </c>
    </row>
    <row r="453">
      <c r="J453" s="15" t="n"/>
      <c r="K453" s="15" t="n"/>
      <c r="L453" s="15" t="n"/>
      <c r="N453" s="15" t="n"/>
      <c r="O453" s="16" t="n"/>
      <c r="P453" s="16" t="n"/>
      <c r="Q453" s="16" t="n"/>
      <c r="W453" s="12">
        <f>IF(AND(K453&lt;&gt;"",L453&lt;&gt;""),ROUND((L453-K453)/30.4375,1),"")</f>
        <v/>
      </c>
      <c r="X453" s="12">
        <f>IF(OR(A453="",M453="En ejecución",L453=""),"",YEAR(L453))</f>
        <v/>
      </c>
      <c r="Y453" s="13">
        <f>IF(X453="","",IFERROR(VLOOKUP(X453,SMMLV!$A$2:$B$38,2,FALSE),""))</f>
        <v/>
      </c>
      <c r="Z453" s="17">
        <f>IF(OR(Y453="",P453=""),"",ROUND(P453/Y453,2))</f>
        <v/>
      </c>
      <c r="AA453" s="13">
        <f>IF(Z453="","",ROUND(Z453*SMMLV!$E$4,0))</f>
        <v/>
      </c>
      <c r="AB453" s="13">
        <f>IF(AND(M453="En ejecución",P453&lt;&gt;"",Q453&lt;&gt;""),MAX(P453-Q453,0),"")</f>
        <v/>
      </c>
      <c r="AC453" s="12">
        <f>IF(A453="","",IF(B453="","Falta número de contrato; ","")&amp;IF(C453="","Falta entidad; ","")&amp;IF(E453="","Falta objeto; ","")&amp;IF(F453="","Falta especialidad; ","")&amp;IF(K453="","Falta fecha de inicio (recomendada); ","")&amp;IF(AND(M453&lt;&gt;"En ejecución",L453=""),"Falta fecha de terminación; ","")&amp;IF(AND(K453&lt;&gt;"",L453&lt;&gt;"",L453&lt;K453),"Terminación anterior al inicio; ","")&amp;IF(M453="","Falta estado; ","")&amp;IF(OR(P453="",P453&lt;=0),"Falta valor del contrato; ","")&amp;IF(AND(M453="En ejecución",Q453=""),"En ejecución sin valor ejecutado; ","")&amp;IF(AND(M453="En ejecución",L453&lt;&gt;"",L453&lt;TODAY()),"Dice en ejecución pero su terminación ya pasó; ","")&amp;IF(M453="En ejecución","En ejecución: no acredita experiencia; ","")&amp;IF(AND(M453&lt;&gt;"En ejecución",L453&lt;&gt;"",X453&lt;&gt;"",Y453=""),"El año no está en la hoja SMMLV; ","")&amp;IF(AND(B453&lt;&gt;"",COUNTIFS($B$2:$B$601,B453,$C$2:$C$601,C453)&gt;1),"Posible duplicado (mismo número y entidad); ","")&amp;IF(COUNTIF(PARTICIPACIONES!$A$2:$A$601,A453)=0,"Sin participaciones; ","")&amp;IF(SUMIFS(PARTICIPACIONES!$E$2:$E$601,PARTICIPACIONES!$A$2:$A$601,A453)&gt;1.0001,"Las participaciones suman más de 100 %; ",""))</f>
        <v/>
      </c>
    </row>
    <row r="454">
      <c r="J454" s="15" t="n"/>
      <c r="K454" s="15" t="n"/>
      <c r="L454" s="15" t="n"/>
      <c r="N454" s="15" t="n"/>
      <c r="O454" s="16" t="n"/>
      <c r="P454" s="16" t="n"/>
      <c r="Q454" s="16" t="n"/>
      <c r="W454" s="12">
        <f>IF(AND(K454&lt;&gt;"",L454&lt;&gt;""),ROUND((L454-K454)/30.4375,1),"")</f>
        <v/>
      </c>
      <c r="X454" s="12">
        <f>IF(OR(A454="",M454="En ejecución",L454=""),"",YEAR(L454))</f>
        <v/>
      </c>
      <c r="Y454" s="13">
        <f>IF(X454="","",IFERROR(VLOOKUP(X454,SMMLV!$A$2:$B$38,2,FALSE),""))</f>
        <v/>
      </c>
      <c r="Z454" s="17">
        <f>IF(OR(Y454="",P454=""),"",ROUND(P454/Y454,2))</f>
        <v/>
      </c>
      <c r="AA454" s="13">
        <f>IF(Z454="","",ROUND(Z454*SMMLV!$E$4,0))</f>
        <v/>
      </c>
      <c r="AB454" s="13">
        <f>IF(AND(M454="En ejecución",P454&lt;&gt;"",Q454&lt;&gt;""),MAX(P454-Q454,0),"")</f>
        <v/>
      </c>
      <c r="AC454" s="12">
        <f>IF(A454="","",IF(B454="","Falta número de contrato; ","")&amp;IF(C454="","Falta entidad; ","")&amp;IF(E454="","Falta objeto; ","")&amp;IF(F454="","Falta especialidad; ","")&amp;IF(K454="","Falta fecha de inicio (recomendada); ","")&amp;IF(AND(M454&lt;&gt;"En ejecución",L454=""),"Falta fecha de terminación; ","")&amp;IF(AND(K454&lt;&gt;"",L454&lt;&gt;"",L454&lt;K454),"Terminación anterior al inicio; ","")&amp;IF(M454="","Falta estado; ","")&amp;IF(OR(P454="",P454&lt;=0),"Falta valor del contrato; ","")&amp;IF(AND(M454="En ejecución",Q454=""),"En ejecución sin valor ejecutado; ","")&amp;IF(AND(M454="En ejecución",L454&lt;&gt;"",L454&lt;TODAY()),"Dice en ejecución pero su terminación ya pasó; ","")&amp;IF(M454="En ejecución","En ejecución: no acredita experiencia; ","")&amp;IF(AND(M454&lt;&gt;"En ejecución",L454&lt;&gt;"",X454&lt;&gt;"",Y454=""),"El año no está en la hoja SMMLV; ","")&amp;IF(AND(B454&lt;&gt;"",COUNTIFS($B$2:$B$601,B454,$C$2:$C$601,C454)&gt;1),"Posible duplicado (mismo número y entidad); ","")&amp;IF(COUNTIF(PARTICIPACIONES!$A$2:$A$601,A454)=0,"Sin participaciones; ","")&amp;IF(SUMIFS(PARTICIPACIONES!$E$2:$E$601,PARTICIPACIONES!$A$2:$A$601,A454)&gt;1.0001,"Las participaciones suman más de 100 %; ",""))</f>
        <v/>
      </c>
    </row>
    <row r="455">
      <c r="J455" s="15" t="n"/>
      <c r="K455" s="15" t="n"/>
      <c r="L455" s="15" t="n"/>
      <c r="N455" s="15" t="n"/>
      <c r="O455" s="16" t="n"/>
      <c r="P455" s="16" t="n"/>
      <c r="Q455" s="16" t="n"/>
      <c r="W455" s="12">
        <f>IF(AND(K455&lt;&gt;"",L455&lt;&gt;""),ROUND((L455-K455)/30.4375,1),"")</f>
        <v/>
      </c>
      <c r="X455" s="12">
        <f>IF(OR(A455="",M455="En ejecución",L455=""),"",YEAR(L455))</f>
        <v/>
      </c>
      <c r="Y455" s="13">
        <f>IF(X455="","",IFERROR(VLOOKUP(X455,SMMLV!$A$2:$B$38,2,FALSE),""))</f>
        <v/>
      </c>
      <c r="Z455" s="17">
        <f>IF(OR(Y455="",P455=""),"",ROUND(P455/Y455,2))</f>
        <v/>
      </c>
      <c r="AA455" s="13">
        <f>IF(Z455="","",ROUND(Z455*SMMLV!$E$4,0))</f>
        <v/>
      </c>
      <c r="AB455" s="13">
        <f>IF(AND(M455="En ejecución",P455&lt;&gt;"",Q455&lt;&gt;""),MAX(P455-Q455,0),"")</f>
        <v/>
      </c>
      <c r="AC455" s="12">
        <f>IF(A455="","",IF(B455="","Falta número de contrato; ","")&amp;IF(C455="","Falta entidad; ","")&amp;IF(E455="","Falta objeto; ","")&amp;IF(F455="","Falta especialidad; ","")&amp;IF(K455="","Falta fecha de inicio (recomendada); ","")&amp;IF(AND(M455&lt;&gt;"En ejecución",L455=""),"Falta fecha de terminación; ","")&amp;IF(AND(K455&lt;&gt;"",L455&lt;&gt;"",L455&lt;K455),"Terminación anterior al inicio; ","")&amp;IF(M455="","Falta estado; ","")&amp;IF(OR(P455="",P455&lt;=0),"Falta valor del contrato; ","")&amp;IF(AND(M455="En ejecución",Q455=""),"En ejecución sin valor ejecutado; ","")&amp;IF(AND(M455="En ejecución",L455&lt;&gt;"",L455&lt;TODAY()),"Dice en ejecución pero su terminación ya pasó; ","")&amp;IF(M455="En ejecución","En ejecución: no acredita experiencia; ","")&amp;IF(AND(M455&lt;&gt;"En ejecución",L455&lt;&gt;"",X455&lt;&gt;"",Y455=""),"El año no está en la hoja SMMLV; ","")&amp;IF(AND(B455&lt;&gt;"",COUNTIFS($B$2:$B$601,B455,$C$2:$C$601,C455)&gt;1),"Posible duplicado (mismo número y entidad); ","")&amp;IF(COUNTIF(PARTICIPACIONES!$A$2:$A$601,A455)=0,"Sin participaciones; ","")&amp;IF(SUMIFS(PARTICIPACIONES!$E$2:$E$601,PARTICIPACIONES!$A$2:$A$601,A455)&gt;1.0001,"Las participaciones suman más de 100 %; ",""))</f>
        <v/>
      </c>
    </row>
    <row r="456">
      <c r="J456" s="15" t="n"/>
      <c r="K456" s="15" t="n"/>
      <c r="L456" s="15" t="n"/>
      <c r="N456" s="15" t="n"/>
      <c r="O456" s="16" t="n"/>
      <c r="P456" s="16" t="n"/>
      <c r="Q456" s="16" t="n"/>
      <c r="W456" s="12">
        <f>IF(AND(K456&lt;&gt;"",L456&lt;&gt;""),ROUND((L456-K456)/30.4375,1),"")</f>
        <v/>
      </c>
      <c r="X456" s="12">
        <f>IF(OR(A456="",M456="En ejecución",L456=""),"",YEAR(L456))</f>
        <v/>
      </c>
      <c r="Y456" s="13">
        <f>IF(X456="","",IFERROR(VLOOKUP(X456,SMMLV!$A$2:$B$38,2,FALSE),""))</f>
        <v/>
      </c>
      <c r="Z456" s="17">
        <f>IF(OR(Y456="",P456=""),"",ROUND(P456/Y456,2))</f>
        <v/>
      </c>
      <c r="AA456" s="13">
        <f>IF(Z456="","",ROUND(Z456*SMMLV!$E$4,0))</f>
        <v/>
      </c>
      <c r="AB456" s="13">
        <f>IF(AND(M456="En ejecución",P456&lt;&gt;"",Q456&lt;&gt;""),MAX(P456-Q456,0),"")</f>
        <v/>
      </c>
      <c r="AC456" s="12">
        <f>IF(A456="","",IF(B456="","Falta número de contrato; ","")&amp;IF(C456="","Falta entidad; ","")&amp;IF(E456="","Falta objeto; ","")&amp;IF(F456="","Falta especialidad; ","")&amp;IF(K456="","Falta fecha de inicio (recomendada); ","")&amp;IF(AND(M456&lt;&gt;"En ejecución",L456=""),"Falta fecha de terminación; ","")&amp;IF(AND(K456&lt;&gt;"",L456&lt;&gt;"",L456&lt;K456),"Terminación anterior al inicio; ","")&amp;IF(M456="","Falta estado; ","")&amp;IF(OR(P456="",P456&lt;=0),"Falta valor del contrato; ","")&amp;IF(AND(M456="En ejecución",Q456=""),"En ejecución sin valor ejecutado; ","")&amp;IF(AND(M456="En ejecución",L456&lt;&gt;"",L456&lt;TODAY()),"Dice en ejecución pero su terminación ya pasó; ","")&amp;IF(M456="En ejecución","En ejecución: no acredita experiencia; ","")&amp;IF(AND(M456&lt;&gt;"En ejecución",L456&lt;&gt;"",X456&lt;&gt;"",Y456=""),"El año no está en la hoja SMMLV; ","")&amp;IF(AND(B456&lt;&gt;"",COUNTIFS($B$2:$B$601,B456,$C$2:$C$601,C456)&gt;1),"Posible duplicado (mismo número y entidad); ","")&amp;IF(COUNTIF(PARTICIPACIONES!$A$2:$A$601,A456)=0,"Sin participaciones; ","")&amp;IF(SUMIFS(PARTICIPACIONES!$E$2:$E$601,PARTICIPACIONES!$A$2:$A$601,A456)&gt;1.0001,"Las participaciones suman más de 100 %; ",""))</f>
        <v/>
      </c>
    </row>
    <row r="457">
      <c r="J457" s="15" t="n"/>
      <c r="K457" s="15" t="n"/>
      <c r="L457" s="15" t="n"/>
      <c r="N457" s="15" t="n"/>
      <c r="O457" s="16" t="n"/>
      <c r="P457" s="16" t="n"/>
      <c r="Q457" s="16" t="n"/>
      <c r="W457" s="12">
        <f>IF(AND(K457&lt;&gt;"",L457&lt;&gt;""),ROUND((L457-K457)/30.4375,1),"")</f>
        <v/>
      </c>
      <c r="X457" s="12">
        <f>IF(OR(A457="",M457="En ejecución",L457=""),"",YEAR(L457))</f>
        <v/>
      </c>
      <c r="Y457" s="13">
        <f>IF(X457="","",IFERROR(VLOOKUP(X457,SMMLV!$A$2:$B$38,2,FALSE),""))</f>
        <v/>
      </c>
      <c r="Z457" s="17">
        <f>IF(OR(Y457="",P457=""),"",ROUND(P457/Y457,2))</f>
        <v/>
      </c>
      <c r="AA457" s="13">
        <f>IF(Z457="","",ROUND(Z457*SMMLV!$E$4,0))</f>
        <v/>
      </c>
      <c r="AB457" s="13">
        <f>IF(AND(M457="En ejecución",P457&lt;&gt;"",Q457&lt;&gt;""),MAX(P457-Q457,0),"")</f>
        <v/>
      </c>
      <c r="AC457" s="12">
        <f>IF(A457="","",IF(B457="","Falta número de contrato; ","")&amp;IF(C457="","Falta entidad; ","")&amp;IF(E457="","Falta objeto; ","")&amp;IF(F457="","Falta especialidad; ","")&amp;IF(K457="","Falta fecha de inicio (recomendada); ","")&amp;IF(AND(M457&lt;&gt;"En ejecución",L457=""),"Falta fecha de terminación; ","")&amp;IF(AND(K457&lt;&gt;"",L457&lt;&gt;"",L457&lt;K457),"Terminación anterior al inicio; ","")&amp;IF(M457="","Falta estado; ","")&amp;IF(OR(P457="",P457&lt;=0),"Falta valor del contrato; ","")&amp;IF(AND(M457="En ejecución",Q457=""),"En ejecución sin valor ejecutado; ","")&amp;IF(AND(M457="En ejecución",L457&lt;&gt;"",L457&lt;TODAY()),"Dice en ejecución pero su terminación ya pasó; ","")&amp;IF(M457="En ejecución","En ejecución: no acredita experiencia; ","")&amp;IF(AND(M457&lt;&gt;"En ejecución",L457&lt;&gt;"",X457&lt;&gt;"",Y457=""),"El año no está en la hoja SMMLV; ","")&amp;IF(AND(B457&lt;&gt;"",COUNTIFS($B$2:$B$601,B457,$C$2:$C$601,C457)&gt;1),"Posible duplicado (mismo número y entidad); ","")&amp;IF(COUNTIF(PARTICIPACIONES!$A$2:$A$601,A457)=0,"Sin participaciones; ","")&amp;IF(SUMIFS(PARTICIPACIONES!$E$2:$E$601,PARTICIPACIONES!$A$2:$A$601,A457)&gt;1.0001,"Las participaciones suman más de 100 %; ",""))</f>
        <v/>
      </c>
    </row>
    <row r="458">
      <c r="J458" s="15" t="n"/>
      <c r="K458" s="15" t="n"/>
      <c r="L458" s="15" t="n"/>
      <c r="N458" s="15" t="n"/>
      <c r="O458" s="16" t="n"/>
      <c r="P458" s="16" t="n"/>
      <c r="Q458" s="16" t="n"/>
      <c r="W458" s="12">
        <f>IF(AND(K458&lt;&gt;"",L458&lt;&gt;""),ROUND((L458-K458)/30.4375,1),"")</f>
        <v/>
      </c>
      <c r="X458" s="12">
        <f>IF(OR(A458="",M458="En ejecución",L458=""),"",YEAR(L458))</f>
        <v/>
      </c>
      <c r="Y458" s="13">
        <f>IF(X458="","",IFERROR(VLOOKUP(X458,SMMLV!$A$2:$B$38,2,FALSE),""))</f>
        <v/>
      </c>
      <c r="Z458" s="17">
        <f>IF(OR(Y458="",P458=""),"",ROUND(P458/Y458,2))</f>
        <v/>
      </c>
      <c r="AA458" s="13">
        <f>IF(Z458="","",ROUND(Z458*SMMLV!$E$4,0))</f>
        <v/>
      </c>
      <c r="AB458" s="13">
        <f>IF(AND(M458="En ejecución",P458&lt;&gt;"",Q458&lt;&gt;""),MAX(P458-Q458,0),"")</f>
        <v/>
      </c>
      <c r="AC458" s="12">
        <f>IF(A458="","",IF(B458="","Falta número de contrato; ","")&amp;IF(C458="","Falta entidad; ","")&amp;IF(E458="","Falta objeto; ","")&amp;IF(F458="","Falta especialidad; ","")&amp;IF(K458="","Falta fecha de inicio (recomendada); ","")&amp;IF(AND(M458&lt;&gt;"En ejecución",L458=""),"Falta fecha de terminación; ","")&amp;IF(AND(K458&lt;&gt;"",L458&lt;&gt;"",L458&lt;K458),"Terminación anterior al inicio; ","")&amp;IF(M458="","Falta estado; ","")&amp;IF(OR(P458="",P458&lt;=0),"Falta valor del contrato; ","")&amp;IF(AND(M458="En ejecución",Q458=""),"En ejecución sin valor ejecutado; ","")&amp;IF(AND(M458="En ejecución",L458&lt;&gt;"",L458&lt;TODAY()),"Dice en ejecución pero su terminación ya pasó; ","")&amp;IF(M458="En ejecución","En ejecución: no acredita experiencia; ","")&amp;IF(AND(M458&lt;&gt;"En ejecución",L458&lt;&gt;"",X458&lt;&gt;"",Y458=""),"El año no está en la hoja SMMLV; ","")&amp;IF(AND(B458&lt;&gt;"",COUNTIFS($B$2:$B$601,B458,$C$2:$C$601,C458)&gt;1),"Posible duplicado (mismo número y entidad); ","")&amp;IF(COUNTIF(PARTICIPACIONES!$A$2:$A$601,A458)=0,"Sin participaciones; ","")&amp;IF(SUMIFS(PARTICIPACIONES!$E$2:$E$601,PARTICIPACIONES!$A$2:$A$601,A458)&gt;1.0001,"Las participaciones suman más de 100 %; ",""))</f>
        <v/>
      </c>
    </row>
    <row r="459">
      <c r="J459" s="15" t="n"/>
      <c r="K459" s="15" t="n"/>
      <c r="L459" s="15" t="n"/>
      <c r="N459" s="15" t="n"/>
      <c r="O459" s="16" t="n"/>
      <c r="P459" s="16" t="n"/>
      <c r="Q459" s="16" t="n"/>
      <c r="W459" s="12">
        <f>IF(AND(K459&lt;&gt;"",L459&lt;&gt;""),ROUND((L459-K459)/30.4375,1),"")</f>
        <v/>
      </c>
      <c r="X459" s="12">
        <f>IF(OR(A459="",M459="En ejecución",L459=""),"",YEAR(L459))</f>
        <v/>
      </c>
      <c r="Y459" s="13">
        <f>IF(X459="","",IFERROR(VLOOKUP(X459,SMMLV!$A$2:$B$38,2,FALSE),""))</f>
        <v/>
      </c>
      <c r="Z459" s="17">
        <f>IF(OR(Y459="",P459=""),"",ROUND(P459/Y459,2))</f>
        <v/>
      </c>
      <c r="AA459" s="13">
        <f>IF(Z459="","",ROUND(Z459*SMMLV!$E$4,0))</f>
        <v/>
      </c>
      <c r="AB459" s="13">
        <f>IF(AND(M459="En ejecución",P459&lt;&gt;"",Q459&lt;&gt;""),MAX(P459-Q459,0),"")</f>
        <v/>
      </c>
      <c r="AC459" s="12">
        <f>IF(A459="","",IF(B459="","Falta número de contrato; ","")&amp;IF(C459="","Falta entidad; ","")&amp;IF(E459="","Falta objeto; ","")&amp;IF(F459="","Falta especialidad; ","")&amp;IF(K459="","Falta fecha de inicio (recomendada); ","")&amp;IF(AND(M459&lt;&gt;"En ejecución",L459=""),"Falta fecha de terminación; ","")&amp;IF(AND(K459&lt;&gt;"",L459&lt;&gt;"",L459&lt;K459),"Terminación anterior al inicio; ","")&amp;IF(M459="","Falta estado; ","")&amp;IF(OR(P459="",P459&lt;=0),"Falta valor del contrato; ","")&amp;IF(AND(M459="En ejecución",Q459=""),"En ejecución sin valor ejecutado; ","")&amp;IF(AND(M459="En ejecución",L459&lt;&gt;"",L459&lt;TODAY()),"Dice en ejecución pero su terminación ya pasó; ","")&amp;IF(M459="En ejecución","En ejecución: no acredita experiencia; ","")&amp;IF(AND(M459&lt;&gt;"En ejecución",L459&lt;&gt;"",X459&lt;&gt;"",Y459=""),"El año no está en la hoja SMMLV; ","")&amp;IF(AND(B459&lt;&gt;"",COUNTIFS($B$2:$B$601,B459,$C$2:$C$601,C459)&gt;1),"Posible duplicado (mismo número y entidad); ","")&amp;IF(COUNTIF(PARTICIPACIONES!$A$2:$A$601,A459)=0,"Sin participaciones; ","")&amp;IF(SUMIFS(PARTICIPACIONES!$E$2:$E$601,PARTICIPACIONES!$A$2:$A$601,A459)&gt;1.0001,"Las participaciones suman más de 100 %; ",""))</f>
        <v/>
      </c>
    </row>
    <row r="460">
      <c r="J460" s="15" t="n"/>
      <c r="K460" s="15" t="n"/>
      <c r="L460" s="15" t="n"/>
      <c r="N460" s="15" t="n"/>
      <c r="O460" s="16" t="n"/>
      <c r="P460" s="16" t="n"/>
      <c r="Q460" s="16" t="n"/>
      <c r="W460" s="12">
        <f>IF(AND(K460&lt;&gt;"",L460&lt;&gt;""),ROUND((L460-K460)/30.4375,1),"")</f>
        <v/>
      </c>
      <c r="X460" s="12">
        <f>IF(OR(A460="",M460="En ejecución",L460=""),"",YEAR(L460))</f>
        <v/>
      </c>
      <c r="Y460" s="13">
        <f>IF(X460="","",IFERROR(VLOOKUP(X460,SMMLV!$A$2:$B$38,2,FALSE),""))</f>
        <v/>
      </c>
      <c r="Z460" s="17">
        <f>IF(OR(Y460="",P460=""),"",ROUND(P460/Y460,2))</f>
        <v/>
      </c>
      <c r="AA460" s="13">
        <f>IF(Z460="","",ROUND(Z460*SMMLV!$E$4,0))</f>
        <v/>
      </c>
      <c r="AB460" s="13">
        <f>IF(AND(M460="En ejecución",P460&lt;&gt;"",Q460&lt;&gt;""),MAX(P460-Q460,0),"")</f>
        <v/>
      </c>
      <c r="AC460" s="12">
        <f>IF(A460="","",IF(B460="","Falta número de contrato; ","")&amp;IF(C460="","Falta entidad; ","")&amp;IF(E460="","Falta objeto; ","")&amp;IF(F460="","Falta especialidad; ","")&amp;IF(K460="","Falta fecha de inicio (recomendada); ","")&amp;IF(AND(M460&lt;&gt;"En ejecución",L460=""),"Falta fecha de terminación; ","")&amp;IF(AND(K460&lt;&gt;"",L460&lt;&gt;"",L460&lt;K460),"Terminación anterior al inicio; ","")&amp;IF(M460="","Falta estado; ","")&amp;IF(OR(P460="",P460&lt;=0),"Falta valor del contrato; ","")&amp;IF(AND(M460="En ejecución",Q460=""),"En ejecución sin valor ejecutado; ","")&amp;IF(AND(M460="En ejecución",L460&lt;&gt;"",L460&lt;TODAY()),"Dice en ejecución pero su terminación ya pasó; ","")&amp;IF(M460="En ejecución","En ejecución: no acredita experiencia; ","")&amp;IF(AND(M460&lt;&gt;"En ejecución",L460&lt;&gt;"",X460&lt;&gt;"",Y460=""),"El año no está en la hoja SMMLV; ","")&amp;IF(AND(B460&lt;&gt;"",COUNTIFS($B$2:$B$601,B460,$C$2:$C$601,C460)&gt;1),"Posible duplicado (mismo número y entidad); ","")&amp;IF(COUNTIF(PARTICIPACIONES!$A$2:$A$601,A460)=0,"Sin participaciones; ","")&amp;IF(SUMIFS(PARTICIPACIONES!$E$2:$E$601,PARTICIPACIONES!$A$2:$A$601,A460)&gt;1.0001,"Las participaciones suman más de 100 %; ",""))</f>
        <v/>
      </c>
    </row>
    <row r="461">
      <c r="J461" s="15" t="n"/>
      <c r="K461" s="15" t="n"/>
      <c r="L461" s="15" t="n"/>
      <c r="N461" s="15" t="n"/>
      <c r="O461" s="16" t="n"/>
      <c r="P461" s="16" t="n"/>
      <c r="Q461" s="16" t="n"/>
      <c r="W461" s="12">
        <f>IF(AND(K461&lt;&gt;"",L461&lt;&gt;""),ROUND((L461-K461)/30.4375,1),"")</f>
        <v/>
      </c>
      <c r="X461" s="12">
        <f>IF(OR(A461="",M461="En ejecución",L461=""),"",YEAR(L461))</f>
        <v/>
      </c>
      <c r="Y461" s="13">
        <f>IF(X461="","",IFERROR(VLOOKUP(X461,SMMLV!$A$2:$B$38,2,FALSE),""))</f>
        <v/>
      </c>
      <c r="Z461" s="17">
        <f>IF(OR(Y461="",P461=""),"",ROUND(P461/Y461,2))</f>
        <v/>
      </c>
      <c r="AA461" s="13">
        <f>IF(Z461="","",ROUND(Z461*SMMLV!$E$4,0))</f>
        <v/>
      </c>
      <c r="AB461" s="13">
        <f>IF(AND(M461="En ejecución",P461&lt;&gt;"",Q461&lt;&gt;""),MAX(P461-Q461,0),"")</f>
        <v/>
      </c>
      <c r="AC461" s="12">
        <f>IF(A461="","",IF(B461="","Falta número de contrato; ","")&amp;IF(C461="","Falta entidad; ","")&amp;IF(E461="","Falta objeto; ","")&amp;IF(F461="","Falta especialidad; ","")&amp;IF(K461="","Falta fecha de inicio (recomendada); ","")&amp;IF(AND(M461&lt;&gt;"En ejecución",L461=""),"Falta fecha de terminación; ","")&amp;IF(AND(K461&lt;&gt;"",L461&lt;&gt;"",L461&lt;K461),"Terminación anterior al inicio; ","")&amp;IF(M461="","Falta estado; ","")&amp;IF(OR(P461="",P461&lt;=0),"Falta valor del contrato; ","")&amp;IF(AND(M461="En ejecución",Q461=""),"En ejecución sin valor ejecutado; ","")&amp;IF(AND(M461="En ejecución",L461&lt;&gt;"",L461&lt;TODAY()),"Dice en ejecución pero su terminación ya pasó; ","")&amp;IF(M461="En ejecución","En ejecución: no acredita experiencia; ","")&amp;IF(AND(M461&lt;&gt;"En ejecución",L461&lt;&gt;"",X461&lt;&gt;"",Y461=""),"El año no está en la hoja SMMLV; ","")&amp;IF(AND(B461&lt;&gt;"",COUNTIFS($B$2:$B$601,B461,$C$2:$C$601,C461)&gt;1),"Posible duplicado (mismo número y entidad); ","")&amp;IF(COUNTIF(PARTICIPACIONES!$A$2:$A$601,A461)=0,"Sin participaciones; ","")&amp;IF(SUMIFS(PARTICIPACIONES!$E$2:$E$601,PARTICIPACIONES!$A$2:$A$601,A461)&gt;1.0001,"Las participaciones suman más de 100 %; ",""))</f>
        <v/>
      </c>
    </row>
    <row r="462">
      <c r="J462" s="15" t="n"/>
      <c r="K462" s="15" t="n"/>
      <c r="L462" s="15" t="n"/>
      <c r="N462" s="15" t="n"/>
      <c r="O462" s="16" t="n"/>
      <c r="P462" s="16" t="n"/>
      <c r="Q462" s="16" t="n"/>
      <c r="W462" s="12">
        <f>IF(AND(K462&lt;&gt;"",L462&lt;&gt;""),ROUND((L462-K462)/30.4375,1),"")</f>
        <v/>
      </c>
      <c r="X462" s="12">
        <f>IF(OR(A462="",M462="En ejecución",L462=""),"",YEAR(L462))</f>
        <v/>
      </c>
      <c r="Y462" s="13">
        <f>IF(X462="","",IFERROR(VLOOKUP(X462,SMMLV!$A$2:$B$38,2,FALSE),""))</f>
        <v/>
      </c>
      <c r="Z462" s="17">
        <f>IF(OR(Y462="",P462=""),"",ROUND(P462/Y462,2))</f>
        <v/>
      </c>
      <c r="AA462" s="13">
        <f>IF(Z462="","",ROUND(Z462*SMMLV!$E$4,0))</f>
        <v/>
      </c>
      <c r="AB462" s="13">
        <f>IF(AND(M462="En ejecución",P462&lt;&gt;"",Q462&lt;&gt;""),MAX(P462-Q462,0),"")</f>
        <v/>
      </c>
      <c r="AC462" s="12">
        <f>IF(A462="","",IF(B462="","Falta número de contrato; ","")&amp;IF(C462="","Falta entidad; ","")&amp;IF(E462="","Falta objeto; ","")&amp;IF(F462="","Falta especialidad; ","")&amp;IF(K462="","Falta fecha de inicio (recomendada); ","")&amp;IF(AND(M462&lt;&gt;"En ejecución",L462=""),"Falta fecha de terminación; ","")&amp;IF(AND(K462&lt;&gt;"",L462&lt;&gt;"",L462&lt;K462),"Terminación anterior al inicio; ","")&amp;IF(M462="","Falta estado; ","")&amp;IF(OR(P462="",P462&lt;=0),"Falta valor del contrato; ","")&amp;IF(AND(M462="En ejecución",Q462=""),"En ejecución sin valor ejecutado; ","")&amp;IF(AND(M462="En ejecución",L462&lt;&gt;"",L462&lt;TODAY()),"Dice en ejecución pero su terminación ya pasó; ","")&amp;IF(M462="En ejecución","En ejecución: no acredita experiencia; ","")&amp;IF(AND(M462&lt;&gt;"En ejecución",L462&lt;&gt;"",X462&lt;&gt;"",Y462=""),"El año no está en la hoja SMMLV; ","")&amp;IF(AND(B462&lt;&gt;"",COUNTIFS($B$2:$B$601,B462,$C$2:$C$601,C462)&gt;1),"Posible duplicado (mismo número y entidad); ","")&amp;IF(COUNTIF(PARTICIPACIONES!$A$2:$A$601,A462)=0,"Sin participaciones; ","")&amp;IF(SUMIFS(PARTICIPACIONES!$E$2:$E$601,PARTICIPACIONES!$A$2:$A$601,A462)&gt;1.0001,"Las participaciones suman más de 100 %; ",""))</f>
        <v/>
      </c>
    </row>
    <row r="463">
      <c r="J463" s="15" t="n"/>
      <c r="K463" s="15" t="n"/>
      <c r="L463" s="15" t="n"/>
      <c r="N463" s="15" t="n"/>
      <c r="O463" s="16" t="n"/>
      <c r="P463" s="16" t="n"/>
      <c r="Q463" s="16" t="n"/>
      <c r="W463" s="12">
        <f>IF(AND(K463&lt;&gt;"",L463&lt;&gt;""),ROUND((L463-K463)/30.4375,1),"")</f>
        <v/>
      </c>
      <c r="X463" s="12">
        <f>IF(OR(A463="",M463="En ejecución",L463=""),"",YEAR(L463))</f>
        <v/>
      </c>
      <c r="Y463" s="13">
        <f>IF(X463="","",IFERROR(VLOOKUP(X463,SMMLV!$A$2:$B$38,2,FALSE),""))</f>
        <v/>
      </c>
      <c r="Z463" s="17">
        <f>IF(OR(Y463="",P463=""),"",ROUND(P463/Y463,2))</f>
        <v/>
      </c>
      <c r="AA463" s="13">
        <f>IF(Z463="","",ROUND(Z463*SMMLV!$E$4,0))</f>
        <v/>
      </c>
      <c r="AB463" s="13">
        <f>IF(AND(M463="En ejecución",P463&lt;&gt;"",Q463&lt;&gt;""),MAX(P463-Q463,0),"")</f>
        <v/>
      </c>
      <c r="AC463" s="12">
        <f>IF(A463="","",IF(B463="","Falta número de contrato; ","")&amp;IF(C463="","Falta entidad; ","")&amp;IF(E463="","Falta objeto; ","")&amp;IF(F463="","Falta especialidad; ","")&amp;IF(K463="","Falta fecha de inicio (recomendada); ","")&amp;IF(AND(M463&lt;&gt;"En ejecución",L463=""),"Falta fecha de terminación; ","")&amp;IF(AND(K463&lt;&gt;"",L463&lt;&gt;"",L463&lt;K463),"Terminación anterior al inicio; ","")&amp;IF(M463="","Falta estado; ","")&amp;IF(OR(P463="",P463&lt;=0),"Falta valor del contrato; ","")&amp;IF(AND(M463="En ejecución",Q463=""),"En ejecución sin valor ejecutado; ","")&amp;IF(AND(M463="En ejecución",L463&lt;&gt;"",L463&lt;TODAY()),"Dice en ejecución pero su terminación ya pasó; ","")&amp;IF(M463="En ejecución","En ejecución: no acredita experiencia; ","")&amp;IF(AND(M463&lt;&gt;"En ejecución",L463&lt;&gt;"",X463&lt;&gt;"",Y463=""),"El año no está en la hoja SMMLV; ","")&amp;IF(AND(B463&lt;&gt;"",COUNTIFS($B$2:$B$601,B463,$C$2:$C$601,C463)&gt;1),"Posible duplicado (mismo número y entidad); ","")&amp;IF(COUNTIF(PARTICIPACIONES!$A$2:$A$601,A463)=0,"Sin participaciones; ","")&amp;IF(SUMIFS(PARTICIPACIONES!$E$2:$E$601,PARTICIPACIONES!$A$2:$A$601,A463)&gt;1.0001,"Las participaciones suman más de 100 %; ",""))</f>
        <v/>
      </c>
    </row>
    <row r="464">
      <c r="J464" s="15" t="n"/>
      <c r="K464" s="15" t="n"/>
      <c r="L464" s="15" t="n"/>
      <c r="N464" s="15" t="n"/>
      <c r="O464" s="16" t="n"/>
      <c r="P464" s="16" t="n"/>
      <c r="Q464" s="16" t="n"/>
      <c r="W464" s="12">
        <f>IF(AND(K464&lt;&gt;"",L464&lt;&gt;""),ROUND((L464-K464)/30.4375,1),"")</f>
        <v/>
      </c>
      <c r="X464" s="12">
        <f>IF(OR(A464="",M464="En ejecución",L464=""),"",YEAR(L464))</f>
        <v/>
      </c>
      <c r="Y464" s="13">
        <f>IF(X464="","",IFERROR(VLOOKUP(X464,SMMLV!$A$2:$B$38,2,FALSE),""))</f>
        <v/>
      </c>
      <c r="Z464" s="17">
        <f>IF(OR(Y464="",P464=""),"",ROUND(P464/Y464,2))</f>
        <v/>
      </c>
      <c r="AA464" s="13">
        <f>IF(Z464="","",ROUND(Z464*SMMLV!$E$4,0))</f>
        <v/>
      </c>
      <c r="AB464" s="13">
        <f>IF(AND(M464="En ejecución",P464&lt;&gt;"",Q464&lt;&gt;""),MAX(P464-Q464,0),"")</f>
        <v/>
      </c>
      <c r="AC464" s="12">
        <f>IF(A464="","",IF(B464="","Falta número de contrato; ","")&amp;IF(C464="","Falta entidad; ","")&amp;IF(E464="","Falta objeto; ","")&amp;IF(F464="","Falta especialidad; ","")&amp;IF(K464="","Falta fecha de inicio (recomendada); ","")&amp;IF(AND(M464&lt;&gt;"En ejecución",L464=""),"Falta fecha de terminación; ","")&amp;IF(AND(K464&lt;&gt;"",L464&lt;&gt;"",L464&lt;K464),"Terminación anterior al inicio; ","")&amp;IF(M464="","Falta estado; ","")&amp;IF(OR(P464="",P464&lt;=0),"Falta valor del contrato; ","")&amp;IF(AND(M464="En ejecución",Q464=""),"En ejecución sin valor ejecutado; ","")&amp;IF(AND(M464="En ejecución",L464&lt;&gt;"",L464&lt;TODAY()),"Dice en ejecución pero su terminación ya pasó; ","")&amp;IF(M464="En ejecución","En ejecución: no acredita experiencia; ","")&amp;IF(AND(M464&lt;&gt;"En ejecución",L464&lt;&gt;"",X464&lt;&gt;"",Y464=""),"El año no está en la hoja SMMLV; ","")&amp;IF(AND(B464&lt;&gt;"",COUNTIFS($B$2:$B$601,B464,$C$2:$C$601,C464)&gt;1),"Posible duplicado (mismo número y entidad); ","")&amp;IF(COUNTIF(PARTICIPACIONES!$A$2:$A$601,A464)=0,"Sin participaciones; ","")&amp;IF(SUMIFS(PARTICIPACIONES!$E$2:$E$601,PARTICIPACIONES!$A$2:$A$601,A464)&gt;1.0001,"Las participaciones suman más de 100 %; ",""))</f>
        <v/>
      </c>
    </row>
    <row r="465">
      <c r="J465" s="15" t="n"/>
      <c r="K465" s="15" t="n"/>
      <c r="L465" s="15" t="n"/>
      <c r="N465" s="15" t="n"/>
      <c r="O465" s="16" t="n"/>
      <c r="P465" s="16" t="n"/>
      <c r="Q465" s="16" t="n"/>
      <c r="W465" s="12">
        <f>IF(AND(K465&lt;&gt;"",L465&lt;&gt;""),ROUND((L465-K465)/30.4375,1),"")</f>
        <v/>
      </c>
      <c r="X465" s="12">
        <f>IF(OR(A465="",M465="En ejecución",L465=""),"",YEAR(L465))</f>
        <v/>
      </c>
      <c r="Y465" s="13">
        <f>IF(X465="","",IFERROR(VLOOKUP(X465,SMMLV!$A$2:$B$38,2,FALSE),""))</f>
        <v/>
      </c>
      <c r="Z465" s="17">
        <f>IF(OR(Y465="",P465=""),"",ROUND(P465/Y465,2))</f>
        <v/>
      </c>
      <c r="AA465" s="13">
        <f>IF(Z465="","",ROUND(Z465*SMMLV!$E$4,0))</f>
        <v/>
      </c>
      <c r="AB465" s="13">
        <f>IF(AND(M465="En ejecución",P465&lt;&gt;"",Q465&lt;&gt;""),MAX(P465-Q465,0),"")</f>
        <v/>
      </c>
      <c r="AC465" s="12">
        <f>IF(A465="","",IF(B465="","Falta número de contrato; ","")&amp;IF(C465="","Falta entidad; ","")&amp;IF(E465="","Falta objeto; ","")&amp;IF(F465="","Falta especialidad; ","")&amp;IF(K465="","Falta fecha de inicio (recomendada); ","")&amp;IF(AND(M465&lt;&gt;"En ejecución",L465=""),"Falta fecha de terminación; ","")&amp;IF(AND(K465&lt;&gt;"",L465&lt;&gt;"",L465&lt;K465),"Terminación anterior al inicio; ","")&amp;IF(M465="","Falta estado; ","")&amp;IF(OR(P465="",P465&lt;=0),"Falta valor del contrato; ","")&amp;IF(AND(M465="En ejecución",Q465=""),"En ejecución sin valor ejecutado; ","")&amp;IF(AND(M465="En ejecución",L465&lt;&gt;"",L465&lt;TODAY()),"Dice en ejecución pero su terminación ya pasó; ","")&amp;IF(M465="En ejecución","En ejecución: no acredita experiencia; ","")&amp;IF(AND(M465&lt;&gt;"En ejecución",L465&lt;&gt;"",X465&lt;&gt;"",Y465=""),"El año no está en la hoja SMMLV; ","")&amp;IF(AND(B465&lt;&gt;"",COUNTIFS($B$2:$B$601,B465,$C$2:$C$601,C465)&gt;1),"Posible duplicado (mismo número y entidad); ","")&amp;IF(COUNTIF(PARTICIPACIONES!$A$2:$A$601,A465)=0,"Sin participaciones; ","")&amp;IF(SUMIFS(PARTICIPACIONES!$E$2:$E$601,PARTICIPACIONES!$A$2:$A$601,A465)&gt;1.0001,"Las participaciones suman más de 100 %; ",""))</f>
        <v/>
      </c>
    </row>
    <row r="466">
      <c r="J466" s="15" t="n"/>
      <c r="K466" s="15" t="n"/>
      <c r="L466" s="15" t="n"/>
      <c r="N466" s="15" t="n"/>
      <c r="O466" s="16" t="n"/>
      <c r="P466" s="16" t="n"/>
      <c r="Q466" s="16" t="n"/>
      <c r="W466" s="12">
        <f>IF(AND(K466&lt;&gt;"",L466&lt;&gt;""),ROUND((L466-K466)/30.4375,1),"")</f>
        <v/>
      </c>
      <c r="X466" s="12">
        <f>IF(OR(A466="",M466="En ejecución",L466=""),"",YEAR(L466))</f>
        <v/>
      </c>
      <c r="Y466" s="13">
        <f>IF(X466="","",IFERROR(VLOOKUP(X466,SMMLV!$A$2:$B$38,2,FALSE),""))</f>
        <v/>
      </c>
      <c r="Z466" s="17">
        <f>IF(OR(Y466="",P466=""),"",ROUND(P466/Y466,2))</f>
        <v/>
      </c>
      <c r="AA466" s="13">
        <f>IF(Z466="","",ROUND(Z466*SMMLV!$E$4,0))</f>
        <v/>
      </c>
      <c r="AB466" s="13">
        <f>IF(AND(M466="En ejecución",P466&lt;&gt;"",Q466&lt;&gt;""),MAX(P466-Q466,0),"")</f>
        <v/>
      </c>
      <c r="AC466" s="12">
        <f>IF(A466="","",IF(B466="","Falta número de contrato; ","")&amp;IF(C466="","Falta entidad; ","")&amp;IF(E466="","Falta objeto; ","")&amp;IF(F466="","Falta especialidad; ","")&amp;IF(K466="","Falta fecha de inicio (recomendada); ","")&amp;IF(AND(M466&lt;&gt;"En ejecución",L466=""),"Falta fecha de terminación; ","")&amp;IF(AND(K466&lt;&gt;"",L466&lt;&gt;"",L466&lt;K466),"Terminación anterior al inicio; ","")&amp;IF(M466="","Falta estado; ","")&amp;IF(OR(P466="",P466&lt;=0),"Falta valor del contrato; ","")&amp;IF(AND(M466="En ejecución",Q466=""),"En ejecución sin valor ejecutado; ","")&amp;IF(AND(M466="En ejecución",L466&lt;&gt;"",L466&lt;TODAY()),"Dice en ejecución pero su terminación ya pasó; ","")&amp;IF(M466="En ejecución","En ejecución: no acredita experiencia; ","")&amp;IF(AND(M466&lt;&gt;"En ejecución",L466&lt;&gt;"",X466&lt;&gt;"",Y466=""),"El año no está en la hoja SMMLV; ","")&amp;IF(AND(B466&lt;&gt;"",COUNTIFS($B$2:$B$601,B466,$C$2:$C$601,C466)&gt;1),"Posible duplicado (mismo número y entidad); ","")&amp;IF(COUNTIF(PARTICIPACIONES!$A$2:$A$601,A466)=0,"Sin participaciones; ","")&amp;IF(SUMIFS(PARTICIPACIONES!$E$2:$E$601,PARTICIPACIONES!$A$2:$A$601,A466)&gt;1.0001,"Las participaciones suman más de 100 %; ",""))</f>
        <v/>
      </c>
    </row>
    <row r="467">
      <c r="J467" s="15" t="n"/>
      <c r="K467" s="15" t="n"/>
      <c r="L467" s="15" t="n"/>
      <c r="N467" s="15" t="n"/>
      <c r="O467" s="16" t="n"/>
      <c r="P467" s="16" t="n"/>
      <c r="Q467" s="16" t="n"/>
      <c r="W467" s="12">
        <f>IF(AND(K467&lt;&gt;"",L467&lt;&gt;""),ROUND((L467-K467)/30.4375,1),"")</f>
        <v/>
      </c>
      <c r="X467" s="12">
        <f>IF(OR(A467="",M467="En ejecución",L467=""),"",YEAR(L467))</f>
        <v/>
      </c>
      <c r="Y467" s="13">
        <f>IF(X467="","",IFERROR(VLOOKUP(X467,SMMLV!$A$2:$B$38,2,FALSE),""))</f>
        <v/>
      </c>
      <c r="Z467" s="17">
        <f>IF(OR(Y467="",P467=""),"",ROUND(P467/Y467,2))</f>
        <v/>
      </c>
      <c r="AA467" s="13">
        <f>IF(Z467="","",ROUND(Z467*SMMLV!$E$4,0))</f>
        <v/>
      </c>
      <c r="AB467" s="13">
        <f>IF(AND(M467="En ejecución",P467&lt;&gt;"",Q467&lt;&gt;""),MAX(P467-Q467,0),"")</f>
        <v/>
      </c>
      <c r="AC467" s="12">
        <f>IF(A467="","",IF(B467="","Falta número de contrato; ","")&amp;IF(C467="","Falta entidad; ","")&amp;IF(E467="","Falta objeto; ","")&amp;IF(F467="","Falta especialidad; ","")&amp;IF(K467="","Falta fecha de inicio (recomendada); ","")&amp;IF(AND(M467&lt;&gt;"En ejecución",L467=""),"Falta fecha de terminación; ","")&amp;IF(AND(K467&lt;&gt;"",L467&lt;&gt;"",L467&lt;K467),"Terminación anterior al inicio; ","")&amp;IF(M467="","Falta estado; ","")&amp;IF(OR(P467="",P467&lt;=0),"Falta valor del contrato; ","")&amp;IF(AND(M467="En ejecución",Q467=""),"En ejecución sin valor ejecutado; ","")&amp;IF(AND(M467="En ejecución",L467&lt;&gt;"",L467&lt;TODAY()),"Dice en ejecución pero su terminación ya pasó; ","")&amp;IF(M467="En ejecución","En ejecución: no acredita experiencia; ","")&amp;IF(AND(M467&lt;&gt;"En ejecución",L467&lt;&gt;"",X467&lt;&gt;"",Y467=""),"El año no está en la hoja SMMLV; ","")&amp;IF(AND(B467&lt;&gt;"",COUNTIFS($B$2:$B$601,B467,$C$2:$C$601,C467)&gt;1),"Posible duplicado (mismo número y entidad); ","")&amp;IF(COUNTIF(PARTICIPACIONES!$A$2:$A$601,A467)=0,"Sin participaciones; ","")&amp;IF(SUMIFS(PARTICIPACIONES!$E$2:$E$601,PARTICIPACIONES!$A$2:$A$601,A467)&gt;1.0001,"Las participaciones suman más de 100 %; ",""))</f>
        <v/>
      </c>
    </row>
    <row r="468">
      <c r="J468" s="15" t="n"/>
      <c r="K468" s="15" t="n"/>
      <c r="L468" s="15" t="n"/>
      <c r="N468" s="15" t="n"/>
      <c r="O468" s="16" t="n"/>
      <c r="P468" s="16" t="n"/>
      <c r="Q468" s="16" t="n"/>
      <c r="W468" s="12">
        <f>IF(AND(K468&lt;&gt;"",L468&lt;&gt;""),ROUND((L468-K468)/30.4375,1),"")</f>
        <v/>
      </c>
      <c r="X468" s="12">
        <f>IF(OR(A468="",M468="En ejecución",L468=""),"",YEAR(L468))</f>
        <v/>
      </c>
      <c r="Y468" s="13">
        <f>IF(X468="","",IFERROR(VLOOKUP(X468,SMMLV!$A$2:$B$38,2,FALSE),""))</f>
        <v/>
      </c>
      <c r="Z468" s="17">
        <f>IF(OR(Y468="",P468=""),"",ROUND(P468/Y468,2))</f>
        <v/>
      </c>
      <c r="AA468" s="13">
        <f>IF(Z468="","",ROUND(Z468*SMMLV!$E$4,0))</f>
        <v/>
      </c>
      <c r="AB468" s="13">
        <f>IF(AND(M468="En ejecución",P468&lt;&gt;"",Q468&lt;&gt;""),MAX(P468-Q468,0),"")</f>
        <v/>
      </c>
      <c r="AC468" s="12">
        <f>IF(A468="","",IF(B468="","Falta número de contrato; ","")&amp;IF(C468="","Falta entidad; ","")&amp;IF(E468="","Falta objeto; ","")&amp;IF(F468="","Falta especialidad; ","")&amp;IF(K468="","Falta fecha de inicio (recomendada); ","")&amp;IF(AND(M468&lt;&gt;"En ejecución",L468=""),"Falta fecha de terminación; ","")&amp;IF(AND(K468&lt;&gt;"",L468&lt;&gt;"",L468&lt;K468),"Terminación anterior al inicio; ","")&amp;IF(M468="","Falta estado; ","")&amp;IF(OR(P468="",P468&lt;=0),"Falta valor del contrato; ","")&amp;IF(AND(M468="En ejecución",Q468=""),"En ejecución sin valor ejecutado; ","")&amp;IF(AND(M468="En ejecución",L468&lt;&gt;"",L468&lt;TODAY()),"Dice en ejecución pero su terminación ya pasó; ","")&amp;IF(M468="En ejecución","En ejecución: no acredita experiencia; ","")&amp;IF(AND(M468&lt;&gt;"En ejecución",L468&lt;&gt;"",X468&lt;&gt;"",Y468=""),"El año no está en la hoja SMMLV; ","")&amp;IF(AND(B468&lt;&gt;"",COUNTIFS($B$2:$B$601,B468,$C$2:$C$601,C468)&gt;1),"Posible duplicado (mismo número y entidad); ","")&amp;IF(COUNTIF(PARTICIPACIONES!$A$2:$A$601,A468)=0,"Sin participaciones; ","")&amp;IF(SUMIFS(PARTICIPACIONES!$E$2:$E$601,PARTICIPACIONES!$A$2:$A$601,A468)&gt;1.0001,"Las participaciones suman más de 100 %; ",""))</f>
        <v/>
      </c>
    </row>
    <row r="469">
      <c r="J469" s="15" t="n"/>
      <c r="K469" s="15" t="n"/>
      <c r="L469" s="15" t="n"/>
      <c r="N469" s="15" t="n"/>
      <c r="O469" s="16" t="n"/>
      <c r="P469" s="16" t="n"/>
      <c r="Q469" s="16" t="n"/>
      <c r="W469" s="12">
        <f>IF(AND(K469&lt;&gt;"",L469&lt;&gt;""),ROUND((L469-K469)/30.4375,1),"")</f>
        <v/>
      </c>
      <c r="X469" s="12">
        <f>IF(OR(A469="",M469="En ejecución",L469=""),"",YEAR(L469))</f>
        <v/>
      </c>
      <c r="Y469" s="13">
        <f>IF(X469="","",IFERROR(VLOOKUP(X469,SMMLV!$A$2:$B$38,2,FALSE),""))</f>
        <v/>
      </c>
      <c r="Z469" s="17">
        <f>IF(OR(Y469="",P469=""),"",ROUND(P469/Y469,2))</f>
        <v/>
      </c>
      <c r="AA469" s="13">
        <f>IF(Z469="","",ROUND(Z469*SMMLV!$E$4,0))</f>
        <v/>
      </c>
      <c r="AB469" s="13">
        <f>IF(AND(M469="En ejecución",P469&lt;&gt;"",Q469&lt;&gt;""),MAX(P469-Q469,0),"")</f>
        <v/>
      </c>
      <c r="AC469" s="12">
        <f>IF(A469="","",IF(B469="","Falta número de contrato; ","")&amp;IF(C469="","Falta entidad; ","")&amp;IF(E469="","Falta objeto; ","")&amp;IF(F469="","Falta especialidad; ","")&amp;IF(K469="","Falta fecha de inicio (recomendada); ","")&amp;IF(AND(M469&lt;&gt;"En ejecución",L469=""),"Falta fecha de terminación; ","")&amp;IF(AND(K469&lt;&gt;"",L469&lt;&gt;"",L469&lt;K469),"Terminación anterior al inicio; ","")&amp;IF(M469="","Falta estado; ","")&amp;IF(OR(P469="",P469&lt;=0),"Falta valor del contrato; ","")&amp;IF(AND(M469="En ejecución",Q469=""),"En ejecución sin valor ejecutado; ","")&amp;IF(AND(M469="En ejecución",L469&lt;&gt;"",L469&lt;TODAY()),"Dice en ejecución pero su terminación ya pasó; ","")&amp;IF(M469="En ejecución","En ejecución: no acredita experiencia; ","")&amp;IF(AND(M469&lt;&gt;"En ejecución",L469&lt;&gt;"",X469&lt;&gt;"",Y469=""),"El año no está en la hoja SMMLV; ","")&amp;IF(AND(B469&lt;&gt;"",COUNTIFS($B$2:$B$601,B469,$C$2:$C$601,C469)&gt;1),"Posible duplicado (mismo número y entidad); ","")&amp;IF(COUNTIF(PARTICIPACIONES!$A$2:$A$601,A469)=0,"Sin participaciones; ","")&amp;IF(SUMIFS(PARTICIPACIONES!$E$2:$E$601,PARTICIPACIONES!$A$2:$A$601,A469)&gt;1.0001,"Las participaciones suman más de 100 %; ",""))</f>
        <v/>
      </c>
    </row>
    <row r="470">
      <c r="J470" s="15" t="n"/>
      <c r="K470" s="15" t="n"/>
      <c r="L470" s="15" t="n"/>
      <c r="N470" s="15" t="n"/>
      <c r="O470" s="16" t="n"/>
      <c r="P470" s="16" t="n"/>
      <c r="Q470" s="16" t="n"/>
      <c r="W470" s="12">
        <f>IF(AND(K470&lt;&gt;"",L470&lt;&gt;""),ROUND((L470-K470)/30.4375,1),"")</f>
        <v/>
      </c>
      <c r="X470" s="12">
        <f>IF(OR(A470="",M470="En ejecución",L470=""),"",YEAR(L470))</f>
        <v/>
      </c>
      <c r="Y470" s="13">
        <f>IF(X470="","",IFERROR(VLOOKUP(X470,SMMLV!$A$2:$B$38,2,FALSE),""))</f>
        <v/>
      </c>
      <c r="Z470" s="17">
        <f>IF(OR(Y470="",P470=""),"",ROUND(P470/Y470,2))</f>
        <v/>
      </c>
      <c r="AA470" s="13">
        <f>IF(Z470="","",ROUND(Z470*SMMLV!$E$4,0))</f>
        <v/>
      </c>
      <c r="AB470" s="13">
        <f>IF(AND(M470="En ejecución",P470&lt;&gt;"",Q470&lt;&gt;""),MAX(P470-Q470,0),"")</f>
        <v/>
      </c>
      <c r="AC470" s="12">
        <f>IF(A470="","",IF(B470="","Falta número de contrato; ","")&amp;IF(C470="","Falta entidad; ","")&amp;IF(E470="","Falta objeto; ","")&amp;IF(F470="","Falta especialidad; ","")&amp;IF(K470="","Falta fecha de inicio (recomendada); ","")&amp;IF(AND(M470&lt;&gt;"En ejecución",L470=""),"Falta fecha de terminación; ","")&amp;IF(AND(K470&lt;&gt;"",L470&lt;&gt;"",L470&lt;K470),"Terminación anterior al inicio; ","")&amp;IF(M470="","Falta estado; ","")&amp;IF(OR(P470="",P470&lt;=0),"Falta valor del contrato; ","")&amp;IF(AND(M470="En ejecución",Q470=""),"En ejecución sin valor ejecutado; ","")&amp;IF(AND(M470="En ejecución",L470&lt;&gt;"",L470&lt;TODAY()),"Dice en ejecución pero su terminación ya pasó; ","")&amp;IF(M470="En ejecución","En ejecución: no acredita experiencia; ","")&amp;IF(AND(M470&lt;&gt;"En ejecución",L470&lt;&gt;"",X470&lt;&gt;"",Y470=""),"El año no está en la hoja SMMLV; ","")&amp;IF(AND(B470&lt;&gt;"",COUNTIFS($B$2:$B$601,B470,$C$2:$C$601,C470)&gt;1),"Posible duplicado (mismo número y entidad); ","")&amp;IF(COUNTIF(PARTICIPACIONES!$A$2:$A$601,A470)=0,"Sin participaciones; ","")&amp;IF(SUMIFS(PARTICIPACIONES!$E$2:$E$601,PARTICIPACIONES!$A$2:$A$601,A470)&gt;1.0001,"Las participaciones suman más de 100 %; ",""))</f>
        <v/>
      </c>
    </row>
    <row r="471">
      <c r="J471" s="15" t="n"/>
      <c r="K471" s="15" t="n"/>
      <c r="L471" s="15" t="n"/>
      <c r="N471" s="15" t="n"/>
      <c r="O471" s="16" t="n"/>
      <c r="P471" s="16" t="n"/>
      <c r="Q471" s="16" t="n"/>
      <c r="W471" s="12">
        <f>IF(AND(K471&lt;&gt;"",L471&lt;&gt;""),ROUND((L471-K471)/30.4375,1),"")</f>
        <v/>
      </c>
      <c r="X471" s="12">
        <f>IF(OR(A471="",M471="En ejecución",L471=""),"",YEAR(L471))</f>
        <v/>
      </c>
      <c r="Y471" s="13">
        <f>IF(X471="","",IFERROR(VLOOKUP(X471,SMMLV!$A$2:$B$38,2,FALSE),""))</f>
        <v/>
      </c>
      <c r="Z471" s="17">
        <f>IF(OR(Y471="",P471=""),"",ROUND(P471/Y471,2))</f>
        <v/>
      </c>
      <c r="AA471" s="13">
        <f>IF(Z471="","",ROUND(Z471*SMMLV!$E$4,0))</f>
        <v/>
      </c>
      <c r="AB471" s="13">
        <f>IF(AND(M471="En ejecución",P471&lt;&gt;"",Q471&lt;&gt;""),MAX(P471-Q471,0),"")</f>
        <v/>
      </c>
      <c r="AC471" s="12">
        <f>IF(A471="","",IF(B471="","Falta número de contrato; ","")&amp;IF(C471="","Falta entidad; ","")&amp;IF(E471="","Falta objeto; ","")&amp;IF(F471="","Falta especialidad; ","")&amp;IF(K471="","Falta fecha de inicio (recomendada); ","")&amp;IF(AND(M471&lt;&gt;"En ejecución",L471=""),"Falta fecha de terminación; ","")&amp;IF(AND(K471&lt;&gt;"",L471&lt;&gt;"",L471&lt;K471),"Terminación anterior al inicio; ","")&amp;IF(M471="","Falta estado; ","")&amp;IF(OR(P471="",P471&lt;=0),"Falta valor del contrato; ","")&amp;IF(AND(M471="En ejecución",Q471=""),"En ejecución sin valor ejecutado; ","")&amp;IF(AND(M471="En ejecución",L471&lt;&gt;"",L471&lt;TODAY()),"Dice en ejecución pero su terminación ya pasó; ","")&amp;IF(M471="En ejecución","En ejecución: no acredita experiencia; ","")&amp;IF(AND(M471&lt;&gt;"En ejecución",L471&lt;&gt;"",X471&lt;&gt;"",Y471=""),"El año no está en la hoja SMMLV; ","")&amp;IF(AND(B471&lt;&gt;"",COUNTIFS($B$2:$B$601,B471,$C$2:$C$601,C471)&gt;1),"Posible duplicado (mismo número y entidad); ","")&amp;IF(COUNTIF(PARTICIPACIONES!$A$2:$A$601,A471)=0,"Sin participaciones; ","")&amp;IF(SUMIFS(PARTICIPACIONES!$E$2:$E$601,PARTICIPACIONES!$A$2:$A$601,A471)&gt;1.0001,"Las participaciones suman más de 100 %; ",""))</f>
        <v/>
      </c>
    </row>
    <row r="472">
      <c r="J472" s="15" t="n"/>
      <c r="K472" s="15" t="n"/>
      <c r="L472" s="15" t="n"/>
      <c r="N472" s="15" t="n"/>
      <c r="O472" s="16" t="n"/>
      <c r="P472" s="16" t="n"/>
      <c r="Q472" s="16" t="n"/>
      <c r="W472" s="12">
        <f>IF(AND(K472&lt;&gt;"",L472&lt;&gt;""),ROUND((L472-K472)/30.4375,1),"")</f>
        <v/>
      </c>
      <c r="X472" s="12">
        <f>IF(OR(A472="",M472="En ejecución",L472=""),"",YEAR(L472))</f>
        <v/>
      </c>
      <c r="Y472" s="13">
        <f>IF(X472="","",IFERROR(VLOOKUP(X472,SMMLV!$A$2:$B$38,2,FALSE),""))</f>
        <v/>
      </c>
      <c r="Z472" s="17">
        <f>IF(OR(Y472="",P472=""),"",ROUND(P472/Y472,2))</f>
        <v/>
      </c>
      <c r="AA472" s="13">
        <f>IF(Z472="","",ROUND(Z472*SMMLV!$E$4,0))</f>
        <v/>
      </c>
      <c r="AB472" s="13">
        <f>IF(AND(M472="En ejecución",P472&lt;&gt;"",Q472&lt;&gt;""),MAX(P472-Q472,0),"")</f>
        <v/>
      </c>
      <c r="AC472" s="12">
        <f>IF(A472="","",IF(B472="","Falta número de contrato; ","")&amp;IF(C472="","Falta entidad; ","")&amp;IF(E472="","Falta objeto; ","")&amp;IF(F472="","Falta especialidad; ","")&amp;IF(K472="","Falta fecha de inicio (recomendada); ","")&amp;IF(AND(M472&lt;&gt;"En ejecución",L472=""),"Falta fecha de terminación; ","")&amp;IF(AND(K472&lt;&gt;"",L472&lt;&gt;"",L472&lt;K472),"Terminación anterior al inicio; ","")&amp;IF(M472="","Falta estado; ","")&amp;IF(OR(P472="",P472&lt;=0),"Falta valor del contrato; ","")&amp;IF(AND(M472="En ejecución",Q472=""),"En ejecución sin valor ejecutado; ","")&amp;IF(AND(M472="En ejecución",L472&lt;&gt;"",L472&lt;TODAY()),"Dice en ejecución pero su terminación ya pasó; ","")&amp;IF(M472="En ejecución","En ejecución: no acredita experiencia; ","")&amp;IF(AND(M472&lt;&gt;"En ejecución",L472&lt;&gt;"",X472&lt;&gt;"",Y472=""),"El año no está en la hoja SMMLV; ","")&amp;IF(AND(B472&lt;&gt;"",COUNTIFS($B$2:$B$601,B472,$C$2:$C$601,C472)&gt;1),"Posible duplicado (mismo número y entidad); ","")&amp;IF(COUNTIF(PARTICIPACIONES!$A$2:$A$601,A472)=0,"Sin participaciones; ","")&amp;IF(SUMIFS(PARTICIPACIONES!$E$2:$E$601,PARTICIPACIONES!$A$2:$A$601,A472)&gt;1.0001,"Las participaciones suman más de 100 %; ",""))</f>
        <v/>
      </c>
    </row>
    <row r="473">
      <c r="J473" s="15" t="n"/>
      <c r="K473" s="15" t="n"/>
      <c r="L473" s="15" t="n"/>
      <c r="N473" s="15" t="n"/>
      <c r="O473" s="16" t="n"/>
      <c r="P473" s="16" t="n"/>
      <c r="Q473" s="16" t="n"/>
      <c r="W473" s="12">
        <f>IF(AND(K473&lt;&gt;"",L473&lt;&gt;""),ROUND((L473-K473)/30.4375,1),"")</f>
        <v/>
      </c>
      <c r="X473" s="12">
        <f>IF(OR(A473="",M473="En ejecución",L473=""),"",YEAR(L473))</f>
        <v/>
      </c>
      <c r="Y473" s="13">
        <f>IF(X473="","",IFERROR(VLOOKUP(X473,SMMLV!$A$2:$B$38,2,FALSE),""))</f>
        <v/>
      </c>
      <c r="Z473" s="17">
        <f>IF(OR(Y473="",P473=""),"",ROUND(P473/Y473,2))</f>
        <v/>
      </c>
      <c r="AA473" s="13">
        <f>IF(Z473="","",ROUND(Z473*SMMLV!$E$4,0))</f>
        <v/>
      </c>
      <c r="AB473" s="13">
        <f>IF(AND(M473="En ejecución",P473&lt;&gt;"",Q473&lt;&gt;""),MAX(P473-Q473,0),"")</f>
        <v/>
      </c>
      <c r="AC473" s="12">
        <f>IF(A473="","",IF(B473="","Falta número de contrato; ","")&amp;IF(C473="","Falta entidad; ","")&amp;IF(E473="","Falta objeto; ","")&amp;IF(F473="","Falta especialidad; ","")&amp;IF(K473="","Falta fecha de inicio (recomendada); ","")&amp;IF(AND(M473&lt;&gt;"En ejecución",L473=""),"Falta fecha de terminación; ","")&amp;IF(AND(K473&lt;&gt;"",L473&lt;&gt;"",L473&lt;K473),"Terminación anterior al inicio; ","")&amp;IF(M473="","Falta estado; ","")&amp;IF(OR(P473="",P473&lt;=0),"Falta valor del contrato; ","")&amp;IF(AND(M473="En ejecución",Q473=""),"En ejecución sin valor ejecutado; ","")&amp;IF(AND(M473="En ejecución",L473&lt;&gt;"",L473&lt;TODAY()),"Dice en ejecución pero su terminación ya pasó; ","")&amp;IF(M473="En ejecución","En ejecución: no acredita experiencia; ","")&amp;IF(AND(M473&lt;&gt;"En ejecución",L473&lt;&gt;"",X473&lt;&gt;"",Y473=""),"El año no está en la hoja SMMLV; ","")&amp;IF(AND(B473&lt;&gt;"",COUNTIFS($B$2:$B$601,B473,$C$2:$C$601,C473)&gt;1),"Posible duplicado (mismo número y entidad); ","")&amp;IF(COUNTIF(PARTICIPACIONES!$A$2:$A$601,A473)=0,"Sin participaciones; ","")&amp;IF(SUMIFS(PARTICIPACIONES!$E$2:$E$601,PARTICIPACIONES!$A$2:$A$601,A473)&gt;1.0001,"Las participaciones suman más de 100 %; ",""))</f>
        <v/>
      </c>
    </row>
    <row r="474">
      <c r="J474" s="15" t="n"/>
      <c r="K474" s="15" t="n"/>
      <c r="L474" s="15" t="n"/>
      <c r="N474" s="15" t="n"/>
      <c r="O474" s="16" t="n"/>
      <c r="P474" s="16" t="n"/>
      <c r="Q474" s="16" t="n"/>
      <c r="W474" s="12">
        <f>IF(AND(K474&lt;&gt;"",L474&lt;&gt;""),ROUND((L474-K474)/30.4375,1),"")</f>
        <v/>
      </c>
      <c r="X474" s="12">
        <f>IF(OR(A474="",M474="En ejecución",L474=""),"",YEAR(L474))</f>
        <v/>
      </c>
      <c r="Y474" s="13">
        <f>IF(X474="","",IFERROR(VLOOKUP(X474,SMMLV!$A$2:$B$38,2,FALSE),""))</f>
        <v/>
      </c>
      <c r="Z474" s="17">
        <f>IF(OR(Y474="",P474=""),"",ROUND(P474/Y474,2))</f>
        <v/>
      </c>
      <c r="AA474" s="13">
        <f>IF(Z474="","",ROUND(Z474*SMMLV!$E$4,0))</f>
        <v/>
      </c>
      <c r="AB474" s="13">
        <f>IF(AND(M474="En ejecución",P474&lt;&gt;"",Q474&lt;&gt;""),MAX(P474-Q474,0),"")</f>
        <v/>
      </c>
      <c r="AC474" s="12">
        <f>IF(A474="","",IF(B474="","Falta número de contrato; ","")&amp;IF(C474="","Falta entidad; ","")&amp;IF(E474="","Falta objeto; ","")&amp;IF(F474="","Falta especialidad; ","")&amp;IF(K474="","Falta fecha de inicio (recomendada); ","")&amp;IF(AND(M474&lt;&gt;"En ejecución",L474=""),"Falta fecha de terminación; ","")&amp;IF(AND(K474&lt;&gt;"",L474&lt;&gt;"",L474&lt;K474),"Terminación anterior al inicio; ","")&amp;IF(M474="","Falta estado; ","")&amp;IF(OR(P474="",P474&lt;=0),"Falta valor del contrato; ","")&amp;IF(AND(M474="En ejecución",Q474=""),"En ejecución sin valor ejecutado; ","")&amp;IF(AND(M474="En ejecución",L474&lt;&gt;"",L474&lt;TODAY()),"Dice en ejecución pero su terminación ya pasó; ","")&amp;IF(M474="En ejecución","En ejecución: no acredita experiencia; ","")&amp;IF(AND(M474&lt;&gt;"En ejecución",L474&lt;&gt;"",X474&lt;&gt;"",Y474=""),"El año no está en la hoja SMMLV; ","")&amp;IF(AND(B474&lt;&gt;"",COUNTIFS($B$2:$B$601,B474,$C$2:$C$601,C474)&gt;1),"Posible duplicado (mismo número y entidad); ","")&amp;IF(COUNTIF(PARTICIPACIONES!$A$2:$A$601,A474)=0,"Sin participaciones; ","")&amp;IF(SUMIFS(PARTICIPACIONES!$E$2:$E$601,PARTICIPACIONES!$A$2:$A$601,A474)&gt;1.0001,"Las participaciones suman más de 100 %; ",""))</f>
        <v/>
      </c>
    </row>
    <row r="475">
      <c r="J475" s="15" t="n"/>
      <c r="K475" s="15" t="n"/>
      <c r="L475" s="15" t="n"/>
      <c r="N475" s="15" t="n"/>
      <c r="O475" s="16" t="n"/>
      <c r="P475" s="16" t="n"/>
      <c r="Q475" s="16" t="n"/>
      <c r="W475" s="12">
        <f>IF(AND(K475&lt;&gt;"",L475&lt;&gt;""),ROUND((L475-K475)/30.4375,1),"")</f>
        <v/>
      </c>
      <c r="X475" s="12">
        <f>IF(OR(A475="",M475="En ejecución",L475=""),"",YEAR(L475))</f>
        <v/>
      </c>
      <c r="Y475" s="13">
        <f>IF(X475="","",IFERROR(VLOOKUP(X475,SMMLV!$A$2:$B$38,2,FALSE),""))</f>
        <v/>
      </c>
      <c r="Z475" s="17">
        <f>IF(OR(Y475="",P475=""),"",ROUND(P475/Y475,2))</f>
        <v/>
      </c>
      <c r="AA475" s="13">
        <f>IF(Z475="","",ROUND(Z475*SMMLV!$E$4,0))</f>
        <v/>
      </c>
      <c r="AB475" s="13">
        <f>IF(AND(M475="En ejecución",P475&lt;&gt;"",Q475&lt;&gt;""),MAX(P475-Q475,0),"")</f>
        <v/>
      </c>
      <c r="AC475" s="12">
        <f>IF(A475="","",IF(B475="","Falta número de contrato; ","")&amp;IF(C475="","Falta entidad; ","")&amp;IF(E475="","Falta objeto; ","")&amp;IF(F475="","Falta especialidad; ","")&amp;IF(K475="","Falta fecha de inicio (recomendada); ","")&amp;IF(AND(M475&lt;&gt;"En ejecución",L475=""),"Falta fecha de terminación; ","")&amp;IF(AND(K475&lt;&gt;"",L475&lt;&gt;"",L475&lt;K475),"Terminación anterior al inicio; ","")&amp;IF(M475="","Falta estado; ","")&amp;IF(OR(P475="",P475&lt;=0),"Falta valor del contrato; ","")&amp;IF(AND(M475="En ejecución",Q475=""),"En ejecución sin valor ejecutado; ","")&amp;IF(AND(M475="En ejecución",L475&lt;&gt;"",L475&lt;TODAY()),"Dice en ejecución pero su terminación ya pasó; ","")&amp;IF(M475="En ejecución","En ejecución: no acredita experiencia; ","")&amp;IF(AND(M475&lt;&gt;"En ejecución",L475&lt;&gt;"",X475&lt;&gt;"",Y475=""),"El año no está en la hoja SMMLV; ","")&amp;IF(AND(B475&lt;&gt;"",COUNTIFS($B$2:$B$601,B475,$C$2:$C$601,C475)&gt;1),"Posible duplicado (mismo número y entidad); ","")&amp;IF(COUNTIF(PARTICIPACIONES!$A$2:$A$601,A475)=0,"Sin participaciones; ","")&amp;IF(SUMIFS(PARTICIPACIONES!$E$2:$E$601,PARTICIPACIONES!$A$2:$A$601,A475)&gt;1.0001,"Las participaciones suman más de 100 %; ",""))</f>
        <v/>
      </c>
    </row>
    <row r="476">
      <c r="J476" s="15" t="n"/>
      <c r="K476" s="15" t="n"/>
      <c r="L476" s="15" t="n"/>
      <c r="N476" s="15" t="n"/>
      <c r="O476" s="16" t="n"/>
      <c r="P476" s="16" t="n"/>
      <c r="Q476" s="16" t="n"/>
      <c r="W476" s="12">
        <f>IF(AND(K476&lt;&gt;"",L476&lt;&gt;""),ROUND((L476-K476)/30.4375,1),"")</f>
        <v/>
      </c>
      <c r="X476" s="12">
        <f>IF(OR(A476="",M476="En ejecución",L476=""),"",YEAR(L476))</f>
        <v/>
      </c>
      <c r="Y476" s="13">
        <f>IF(X476="","",IFERROR(VLOOKUP(X476,SMMLV!$A$2:$B$38,2,FALSE),""))</f>
        <v/>
      </c>
      <c r="Z476" s="17">
        <f>IF(OR(Y476="",P476=""),"",ROUND(P476/Y476,2))</f>
        <v/>
      </c>
      <c r="AA476" s="13">
        <f>IF(Z476="","",ROUND(Z476*SMMLV!$E$4,0))</f>
        <v/>
      </c>
      <c r="AB476" s="13">
        <f>IF(AND(M476="En ejecución",P476&lt;&gt;"",Q476&lt;&gt;""),MAX(P476-Q476,0),"")</f>
        <v/>
      </c>
      <c r="AC476" s="12">
        <f>IF(A476="","",IF(B476="","Falta número de contrato; ","")&amp;IF(C476="","Falta entidad; ","")&amp;IF(E476="","Falta objeto; ","")&amp;IF(F476="","Falta especialidad; ","")&amp;IF(K476="","Falta fecha de inicio (recomendada); ","")&amp;IF(AND(M476&lt;&gt;"En ejecución",L476=""),"Falta fecha de terminación; ","")&amp;IF(AND(K476&lt;&gt;"",L476&lt;&gt;"",L476&lt;K476),"Terminación anterior al inicio; ","")&amp;IF(M476="","Falta estado; ","")&amp;IF(OR(P476="",P476&lt;=0),"Falta valor del contrato; ","")&amp;IF(AND(M476="En ejecución",Q476=""),"En ejecución sin valor ejecutado; ","")&amp;IF(AND(M476="En ejecución",L476&lt;&gt;"",L476&lt;TODAY()),"Dice en ejecución pero su terminación ya pasó; ","")&amp;IF(M476="En ejecución","En ejecución: no acredita experiencia; ","")&amp;IF(AND(M476&lt;&gt;"En ejecución",L476&lt;&gt;"",X476&lt;&gt;"",Y476=""),"El año no está en la hoja SMMLV; ","")&amp;IF(AND(B476&lt;&gt;"",COUNTIFS($B$2:$B$601,B476,$C$2:$C$601,C476)&gt;1),"Posible duplicado (mismo número y entidad); ","")&amp;IF(COUNTIF(PARTICIPACIONES!$A$2:$A$601,A476)=0,"Sin participaciones; ","")&amp;IF(SUMIFS(PARTICIPACIONES!$E$2:$E$601,PARTICIPACIONES!$A$2:$A$601,A476)&gt;1.0001,"Las participaciones suman más de 100 %; ",""))</f>
        <v/>
      </c>
    </row>
    <row r="477">
      <c r="J477" s="15" t="n"/>
      <c r="K477" s="15" t="n"/>
      <c r="L477" s="15" t="n"/>
      <c r="N477" s="15" t="n"/>
      <c r="O477" s="16" t="n"/>
      <c r="P477" s="16" t="n"/>
      <c r="Q477" s="16" t="n"/>
      <c r="W477" s="12">
        <f>IF(AND(K477&lt;&gt;"",L477&lt;&gt;""),ROUND((L477-K477)/30.4375,1),"")</f>
        <v/>
      </c>
      <c r="X477" s="12">
        <f>IF(OR(A477="",M477="En ejecución",L477=""),"",YEAR(L477))</f>
        <v/>
      </c>
      <c r="Y477" s="13">
        <f>IF(X477="","",IFERROR(VLOOKUP(X477,SMMLV!$A$2:$B$38,2,FALSE),""))</f>
        <v/>
      </c>
      <c r="Z477" s="17">
        <f>IF(OR(Y477="",P477=""),"",ROUND(P477/Y477,2))</f>
        <v/>
      </c>
      <c r="AA477" s="13">
        <f>IF(Z477="","",ROUND(Z477*SMMLV!$E$4,0))</f>
        <v/>
      </c>
      <c r="AB477" s="13">
        <f>IF(AND(M477="En ejecución",P477&lt;&gt;"",Q477&lt;&gt;""),MAX(P477-Q477,0),"")</f>
        <v/>
      </c>
      <c r="AC477" s="12">
        <f>IF(A477="","",IF(B477="","Falta número de contrato; ","")&amp;IF(C477="","Falta entidad; ","")&amp;IF(E477="","Falta objeto; ","")&amp;IF(F477="","Falta especialidad; ","")&amp;IF(K477="","Falta fecha de inicio (recomendada); ","")&amp;IF(AND(M477&lt;&gt;"En ejecución",L477=""),"Falta fecha de terminación; ","")&amp;IF(AND(K477&lt;&gt;"",L477&lt;&gt;"",L477&lt;K477),"Terminación anterior al inicio; ","")&amp;IF(M477="","Falta estado; ","")&amp;IF(OR(P477="",P477&lt;=0),"Falta valor del contrato; ","")&amp;IF(AND(M477="En ejecución",Q477=""),"En ejecución sin valor ejecutado; ","")&amp;IF(AND(M477="En ejecución",L477&lt;&gt;"",L477&lt;TODAY()),"Dice en ejecución pero su terminación ya pasó; ","")&amp;IF(M477="En ejecución","En ejecución: no acredita experiencia; ","")&amp;IF(AND(M477&lt;&gt;"En ejecución",L477&lt;&gt;"",X477&lt;&gt;"",Y477=""),"El año no está en la hoja SMMLV; ","")&amp;IF(AND(B477&lt;&gt;"",COUNTIFS($B$2:$B$601,B477,$C$2:$C$601,C477)&gt;1),"Posible duplicado (mismo número y entidad); ","")&amp;IF(COUNTIF(PARTICIPACIONES!$A$2:$A$601,A477)=0,"Sin participaciones; ","")&amp;IF(SUMIFS(PARTICIPACIONES!$E$2:$E$601,PARTICIPACIONES!$A$2:$A$601,A477)&gt;1.0001,"Las participaciones suman más de 100 %; ",""))</f>
        <v/>
      </c>
    </row>
    <row r="478">
      <c r="J478" s="15" t="n"/>
      <c r="K478" s="15" t="n"/>
      <c r="L478" s="15" t="n"/>
      <c r="N478" s="15" t="n"/>
      <c r="O478" s="16" t="n"/>
      <c r="P478" s="16" t="n"/>
      <c r="Q478" s="16" t="n"/>
      <c r="W478" s="12">
        <f>IF(AND(K478&lt;&gt;"",L478&lt;&gt;""),ROUND((L478-K478)/30.4375,1),"")</f>
        <v/>
      </c>
      <c r="X478" s="12">
        <f>IF(OR(A478="",M478="En ejecución",L478=""),"",YEAR(L478))</f>
        <v/>
      </c>
      <c r="Y478" s="13">
        <f>IF(X478="","",IFERROR(VLOOKUP(X478,SMMLV!$A$2:$B$38,2,FALSE),""))</f>
        <v/>
      </c>
      <c r="Z478" s="17">
        <f>IF(OR(Y478="",P478=""),"",ROUND(P478/Y478,2))</f>
        <v/>
      </c>
      <c r="AA478" s="13">
        <f>IF(Z478="","",ROUND(Z478*SMMLV!$E$4,0))</f>
        <v/>
      </c>
      <c r="AB478" s="13">
        <f>IF(AND(M478="En ejecución",P478&lt;&gt;"",Q478&lt;&gt;""),MAX(P478-Q478,0),"")</f>
        <v/>
      </c>
      <c r="AC478" s="12">
        <f>IF(A478="","",IF(B478="","Falta número de contrato; ","")&amp;IF(C478="","Falta entidad; ","")&amp;IF(E478="","Falta objeto; ","")&amp;IF(F478="","Falta especialidad; ","")&amp;IF(K478="","Falta fecha de inicio (recomendada); ","")&amp;IF(AND(M478&lt;&gt;"En ejecución",L478=""),"Falta fecha de terminación; ","")&amp;IF(AND(K478&lt;&gt;"",L478&lt;&gt;"",L478&lt;K478),"Terminación anterior al inicio; ","")&amp;IF(M478="","Falta estado; ","")&amp;IF(OR(P478="",P478&lt;=0),"Falta valor del contrato; ","")&amp;IF(AND(M478="En ejecución",Q478=""),"En ejecución sin valor ejecutado; ","")&amp;IF(AND(M478="En ejecución",L478&lt;&gt;"",L478&lt;TODAY()),"Dice en ejecución pero su terminación ya pasó; ","")&amp;IF(M478="En ejecución","En ejecución: no acredita experiencia; ","")&amp;IF(AND(M478&lt;&gt;"En ejecución",L478&lt;&gt;"",X478&lt;&gt;"",Y478=""),"El año no está en la hoja SMMLV; ","")&amp;IF(AND(B478&lt;&gt;"",COUNTIFS($B$2:$B$601,B478,$C$2:$C$601,C478)&gt;1),"Posible duplicado (mismo número y entidad); ","")&amp;IF(COUNTIF(PARTICIPACIONES!$A$2:$A$601,A478)=0,"Sin participaciones; ","")&amp;IF(SUMIFS(PARTICIPACIONES!$E$2:$E$601,PARTICIPACIONES!$A$2:$A$601,A478)&gt;1.0001,"Las participaciones suman más de 100 %; ",""))</f>
        <v/>
      </c>
    </row>
    <row r="479">
      <c r="J479" s="15" t="n"/>
      <c r="K479" s="15" t="n"/>
      <c r="L479" s="15" t="n"/>
      <c r="N479" s="15" t="n"/>
      <c r="O479" s="16" t="n"/>
      <c r="P479" s="16" t="n"/>
      <c r="Q479" s="16" t="n"/>
      <c r="W479" s="12">
        <f>IF(AND(K479&lt;&gt;"",L479&lt;&gt;""),ROUND((L479-K479)/30.4375,1),"")</f>
        <v/>
      </c>
      <c r="X479" s="12">
        <f>IF(OR(A479="",M479="En ejecución",L479=""),"",YEAR(L479))</f>
        <v/>
      </c>
      <c r="Y479" s="13">
        <f>IF(X479="","",IFERROR(VLOOKUP(X479,SMMLV!$A$2:$B$38,2,FALSE),""))</f>
        <v/>
      </c>
      <c r="Z479" s="17">
        <f>IF(OR(Y479="",P479=""),"",ROUND(P479/Y479,2))</f>
        <v/>
      </c>
      <c r="AA479" s="13">
        <f>IF(Z479="","",ROUND(Z479*SMMLV!$E$4,0))</f>
        <v/>
      </c>
      <c r="AB479" s="13">
        <f>IF(AND(M479="En ejecución",P479&lt;&gt;"",Q479&lt;&gt;""),MAX(P479-Q479,0),"")</f>
        <v/>
      </c>
      <c r="AC479" s="12">
        <f>IF(A479="","",IF(B479="","Falta número de contrato; ","")&amp;IF(C479="","Falta entidad; ","")&amp;IF(E479="","Falta objeto; ","")&amp;IF(F479="","Falta especialidad; ","")&amp;IF(K479="","Falta fecha de inicio (recomendada); ","")&amp;IF(AND(M479&lt;&gt;"En ejecución",L479=""),"Falta fecha de terminación; ","")&amp;IF(AND(K479&lt;&gt;"",L479&lt;&gt;"",L479&lt;K479),"Terminación anterior al inicio; ","")&amp;IF(M479="","Falta estado; ","")&amp;IF(OR(P479="",P479&lt;=0),"Falta valor del contrato; ","")&amp;IF(AND(M479="En ejecución",Q479=""),"En ejecución sin valor ejecutado; ","")&amp;IF(AND(M479="En ejecución",L479&lt;&gt;"",L479&lt;TODAY()),"Dice en ejecución pero su terminación ya pasó; ","")&amp;IF(M479="En ejecución","En ejecución: no acredita experiencia; ","")&amp;IF(AND(M479&lt;&gt;"En ejecución",L479&lt;&gt;"",X479&lt;&gt;"",Y479=""),"El año no está en la hoja SMMLV; ","")&amp;IF(AND(B479&lt;&gt;"",COUNTIFS($B$2:$B$601,B479,$C$2:$C$601,C479)&gt;1),"Posible duplicado (mismo número y entidad); ","")&amp;IF(COUNTIF(PARTICIPACIONES!$A$2:$A$601,A479)=0,"Sin participaciones; ","")&amp;IF(SUMIFS(PARTICIPACIONES!$E$2:$E$601,PARTICIPACIONES!$A$2:$A$601,A479)&gt;1.0001,"Las participaciones suman más de 100 %; ",""))</f>
        <v/>
      </c>
    </row>
    <row r="480">
      <c r="J480" s="15" t="n"/>
      <c r="K480" s="15" t="n"/>
      <c r="L480" s="15" t="n"/>
      <c r="N480" s="15" t="n"/>
      <c r="O480" s="16" t="n"/>
      <c r="P480" s="16" t="n"/>
      <c r="Q480" s="16" t="n"/>
      <c r="W480" s="12">
        <f>IF(AND(K480&lt;&gt;"",L480&lt;&gt;""),ROUND((L480-K480)/30.4375,1),"")</f>
        <v/>
      </c>
      <c r="X480" s="12">
        <f>IF(OR(A480="",M480="En ejecución",L480=""),"",YEAR(L480))</f>
        <v/>
      </c>
      <c r="Y480" s="13">
        <f>IF(X480="","",IFERROR(VLOOKUP(X480,SMMLV!$A$2:$B$38,2,FALSE),""))</f>
        <v/>
      </c>
      <c r="Z480" s="17">
        <f>IF(OR(Y480="",P480=""),"",ROUND(P480/Y480,2))</f>
        <v/>
      </c>
      <c r="AA480" s="13">
        <f>IF(Z480="","",ROUND(Z480*SMMLV!$E$4,0))</f>
        <v/>
      </c>
      <c r="AB480" s="13">
        <f>IF(AND(M480="En ejecución",P480&lt;&gt;"",Q480&lt;&gt;""),MAX(P480-Q480,0),"")</f>
        <v/>
      </c>
      <c r="AC480" s="12">
        <f>IF(A480="","",IF(B480="","Falta número de contrato; ","")&amp;IF(C480="","Falta entidad; ","")&amp;IF(E480="","Falta objeto; ","")&amp;IF(F480="","Falta especialidad; ","")&amp;IF(K480="","Falta fecha de inicio (recomendada); ","")&amp;IF(AND(M480&lt;&gt;"En ejecución",L480=""),"Falta fecha de terminación; ","")&amp;IF(AND(K480&lt;&gt;"",L480&lt;&gt;"",L480&lt;K480),"Terminación anterior al inicio; ","")&amp;IF(M480="","Falta estado; ","")&amp;IF(OR(P480="",P480&lt;=0),"Falta valor del contrato; ","")&amp;IF(AND(M480="En ejecución",Q480=""),"En ejecución sin valor ejecutado; ","")&amp;IF(AND(M480="En ejecución",L480&lt;&gt;"",L480&lt;TODAY()),"Dice en ejecución pero su terminación ya pasó; ","")&amp;IF(M480="En ejecución","En ejecución: no acredita experiencia; ","")&amp;IF(AND(M480&lt;&gt;"En ejecución",L480&lt;&gt;"",X480&lt;&gt;"",Y480=""),"El año no está en la hoja SMMLV; ","")&amp;IF(AND(B480&lt;&gt;"",COUNTIFS($B$2:$B$601,B480,$C$2:$C$601,C480)&gt;1),"Posible duplicado (mismo número y entidad); ","")&amp;IF(COUNTIF(PARTICIPACIONES!$A$2:$A$601,A480)=0,"Sin participaciones; ","")&amp;IF(SUMIFS(PARTICIPACIONES!$E$2:$E$601,PARTICIPACIONES!$A$2:$A$601,A480)&gt;1.0001,"Las participaciones suman más de 100 %; ",""))</f>
        <v/>
      </c>
    </row>
    <row r="481">
      <c r="J481" s="15" t="n"/>
      <c r="K481" s="15" t="n"/>
      <c r="L481" s="15" t="n"/>
      <c r="N481" s="15" t="n"/>
      <c r="O481" s="16" t="n"/>
      <c r="P481" s="16" t="n"/>
      <c r="Q481" s="16" t="n"/>
      <c r="W481" s="12">
        <f>IF(AND(K481&lt;&gt;"",L481&lt;&gt;""),ROUND((L481-K481)/30.4375,1),"")</f>
        <v/>
      </c>
      <c r="X481" s="12">
        <f>IF(OR(A481="",M481="En ejecución",L481=""),"",YEAR(L481))</f>
        <v/>
      </c>
      <c r="Y481" s="13">
        <f>IF(X481="","",IFERROR(VLOOKUP(X481,SMMLV!$A$2:$B$38,2,FALSE),""))</f>
        <v/>
      </c>
      <c r="Z481" s="17">
        <f>IF(OR(Y481="",P481=""),"",ROUND(P481/Y481,2))</f>
        <v/>
      </c>
      <c r="AA481" s="13">
        <f>IF(Z481="","",ROUND(Z481*SMMLV!$E$4,0))</f>
        <v/>
      </c>
      <c r="AB481" s="13">
        <f>IF(AND(M481="En ejecución",P481&lt;&gt;"",Q481&lt;&gt;""),MAX(P481-Q481,0),"")</f>
        <v/>
      </c>
      <c r="AC481" s="12">
        <f>IF(A481="","",IF(B481="","Falta número de contrato; ","")&amp;IF(C481="","Falta entidad; ","")&amp;IF(E481="","Falta objeto; ","")&amp;IF(F481="","Falta especialidad; ","")&amp;IF(K481="","Falta fecha de inicio (recomendada); ","")&amp;IF(AND(M481&lt;&gt;"En ejecución",L481=""),"Falta fecha de terminación; ","")&amp;IF(AND(K481&lt;&gt;"",L481&lt;&gt;"",L481&lt;K481),"Terminación anterior al inicio; ","")&amp;IF(M481="","Falta estado; ","")&amp;IF(OR(P481="",P481&lt;=0),"Falta valor del contrato; ","")&amp;IF(AND(M481="En ejecución",Q481=""),"En ejecución sin valor ejecutado; ","")&amp;IF(AND(M481="En ejecución",L481&lt;&gt;"",L481&lt;TODAY()),"Dice en ejecución pero su terminación ya pasó; ","")&amp;IF(M481="En ejecución","En ejecución: no acredita experiencia; ","")&amp;IF(AND(M481&lt;&gt;"En ejecución",L481&lt;&gt;"",X481&lt;&gt;"",Y481=""),"El año no está en la hoja SMMLV; ","")&amp;IF(AND(B481&lt;&gt;"",COUNTIFS($B$2:$B$601,B481,$C$2:$C$601,C481)&gt;1),"Posible duplicado (mismo número y entidad); ","")&amp;IF(COUNTIF(PARTICIPACIONES!$A$2:$A$601,A481)=0,"Sin participaciones; ","")&amp;IF(SUMIFS(PARTICIPACIONES!$E$2:$E$601,PARTICIPACIONES!$A$2:$A$601,A481)&gt;1.0001,"Las participaciones suman más de 100 %; ",""))</f>
        <v/>
      </c>
    </row>
    <row r="482">
      <c r="J482" s="15" t="n"/>
      <c r="K482" s="15" t="n"/>
      <c r="L482" s="15" t="n"/>
      <c r="N482" s="15" t="n"/>
      <c r="O482" s="16" t="n"/>
      <c r="P482" s="16" t="n"/>
      <c r="Q482" s="16" t="n"/>
      <c r="W482" s="12">
        <f>IF(AND(K482&lt;&gt;"",L482&lt;&gt;""),ROUND((L482-K482)/30.4375,1),"")</f>
        <v/>
      </c>
      <c r="X482" s="12">
        <f>IF(OR(A482="",M482="En ejecución",L482=""),"",YEAR(L482))</f>
        <v/>
      </c>
      <c r="Y482" s="13">
        <f>IF(X482="","",IFERROR(VLOOKUP(X482,SMMLV!$A$2:$B$38,2,FALSE),""))</f>
        <v/>
      </c>
      <c r="Z482" s="17">
        <f>IF(OR(Y482="",P482=""),"",ROUND(P482/Y482,2))</f>
        <v/>
      </c>
      <c r="AA482" s="13">
        <f>IF(Z482="","",ROUND(Z482*SMMLV!$E$4,0))</f>
        <v/>
      </c>
      <c r="AB482" s="13">
        <f>IF(AND(M482="En ejecución",P482&lt;&gt;"",Q482&lt;&gt;""),MAX(P482-Q482,0),"")</f>
        <v/>
      </c>
      <c r="AC482" s="12">
        <f>IF(A482="","",IF(B482="","Falta número de contrato; ","")&amp;IF(C482="","Falta entidad; ","")&amp;IF(E482="","Falta objeto; ","")&amp;IF(F482="","Falta especialidad; ","")&amp;IF(K482="","Falta fecha de inicio (recomendada); ","")&amp;IF(AND(M482&lt;&gt;"En ejecución",L482=""),"Falta fecha de terminación; ","")&amp;IF(AND(K482&lt;&gt;"",L482&lt;&gt;"",L482&lt;K482),"Terminación anterior al inicio; ","")&amp;IF(M482="","Falta estado; ","")&amp;IF(OR(P482="",P482&lt;=0),"Falta valor del contrato; ","")&amp;IF(AND(M482="En ejecución",Q482=""),"En ejecución sin valor ejecutado; ","")&amp;IF(AND(M482="En ejecución",L482&lt;&gt;"",L482&lt;TODAY()),"Dice en ejecución pero su terminación ya pasó; ","")&amp;IF(M482="En ejecución","En ejecución: no acredita experiencia; ","")&amp;IF(AND(M482&lt;&gt;"En ejecución",L482&lt;&gt;"",X482&lt;&gt;"",Y482=""),"El año no está en la hoja SMMLV; ","")&amp;IF(AND(B482&lt;&gt;"",COUNTIFS($B$2:$B$601,B482,$C$2:$C$601,C482)&gt;1),"Posible duplicado (mismo número y entidad); ","")&amp;IF(COUNTIF(PARTICIPACIONES!$A$2:$A$601,A482)=0,"Sin participaciones; ","")&amp;IF(SUMIFS(PARTICIPACIONES!$E$2:$E$601,PARTICIPACIONES!$A$2:$A$601,A482)&gt;1.0001,"Las participaciones suman más de 100 %; ",""))</f>
        <v/>
      </c>
    </row>
    <row r="483">
      <c r="J483" s="15" t="n"/>
      <c r="K483" s="15" t="n"/>
      <c r="L483" s="15" t="n"/>
      <c r="N483" s="15" t="n"/>
      <c r="O483" s="16" t="n"/>
      <c r="P483" s="16" t="n"/>
      <c r="Q483" s="16" t="n"/>
      <c r="W483" s="12">
        <f>IF(AND(K483&lt;&gt;"",L483&lt;&gt;""),ROUND((L483-K483)/30.4375,1),"")</f>
        <v/>
      </c>
      <c r="X483" s="12">
        <f>IF(OR(A483="",M483="En ejecución",L483=""),"",YEAR(L483))</f>
        <v/>
      </c>
      <c r="Y483" s="13">
        <f>IF(X483="","",IFERROR(VLOOKUP(X483,SMMLV!$A$2:$B$38,2,FALSE),""))</f>
        <v/>
      </c>
      <c r="Z483" s="17">
        <f>IF(OR(Y483="",P483=""),"",ROUND(P483/Y483,2))</f>
        <v/>
      </c>
      <c r="AA483" s="13">
        <f>IF(Z483="","",ROUND(Z483*SMMLV!$E$4,0))</f>
        <v/>
      </c>
      <c r="AB483" s="13">
        <f>IF(AND(M483="En ejecución",P483&lt;&gt;"",Q483&lt;&gt;""),MAX(P483-Q483,0),"")</f>
        <v/>
      </c>
      <c r="AC483" s="12">
        <f>IF(A483="","",IF(B483="","Falta número de contrato; ","")&amp;IF(C483="","Falta entidad; ","")&amp;IF(E483="","Falta objeto; ","")&amp;IF(F483="","Falta especialidad; ","")&amp;IF(K483="","Falta fecha de inicio (recomendada); ","")&amp;IF(AND(M483&lt;&gt;"En ejecución",L483=""),"Falta fecha de terminación; ","")&amp;IF(AND(K483&lt;&gt;"",L483&lt;&gt;"",L483&lt;K483),"Terminación anterior al inicio; ","")&amp;IF(M483="","Falta estado; ","")&amp;IF(OR(P483="",P483&lt;=0),"Falta valor del contrato; ","")&amp;IF(AND(M483="En ejecución",Q483=""),"En ejecución sin valor ejecutado; ","")&amp;IF(AND(M483="En ejecución",L483&lt;&gt;"",L483&lt;TODAY()),"Dice en ejecución pero su terminación ya pasó; ","")&amp;IF(M483="En ejecución","En ejecución: no acredita experiencia; ","")&amp;IF(AND(M483&lt;&gt;"En ejecución",L483&lt;&gt;"",X483&lt;&gt;"",Y483=""),"El año no está en la hoja SMMLV; ","")&amp;IF(AND(B483&lt;&gt;"",COUNTIFS($B$2:$B$601,B483,$C$2:$C$601,C483)&gt;1),"Posible duplicado (mismo número y entidad); ","")&amp;IF(COUNTIF(PARTICIPACIONES!$A$2:$A$601,A483)=0,"Sin participaciones; ","")&amp;IF(SUMIFS(PARTICIPACIONES!$E$2:$E$601,PARTICIPACIONES!$A$2:$A$601,A483)&gt;1.0001,"Las participaciones suman más de 100 %; ",""))</f>
        <v/>
      </c>
    </row>
    <row r="484">
      <c r="J484" s="15" t="n"/>
      <c r="K484" s="15" t="n"/>
      <c r="L484" s="15" t="n"/>
      <c r="N484" s="15" t="n"/>
      <c r="O484" s="16" t="n"/>
      <c r="P484" s="16" t="n"/>
      <c r="Q484" s="16" t="n"/>
      <c r="W484" s="12">
        <f>IF(AND(K484&lt;&gt;"",L484&lt;&gt;""),ROUND((L484-K484)/30.4375,1),"")</f>
        <v/>
      </c>
      <c r="X484" s="12">
        <f>IF(OR(A484="",M484="En ejecución",L484=""),"",YEAR(L484))</f>
        <v/>
      </c>
      <c r="Y484" s="13">
        <f>IF(X484="","",IFERROR(VLOOKUP(X484,SMMLV!$A$2:$B$38,2,FALSE),""))</f>
        <v/>
      </c>
      <c r="Z484" s="17">
        <f>IF(OR(Y484="",P484=""),"",ROUND(P484/Y484,2))</f>
        <v/>
      </c>
      <c r="AA484" s="13">
        <f>IF(Z484="","",ROUND(Z484*SMMLV!$E$4,0))</f>
        <v/>
      </c>
      <c r="AB484" s="13">
        <f>IF(AND(M484="En ejecución",P484&lt;&gt;"",Q484&lt;&gt;""),MAX(P484-Q484,0),"")</f>
        <v/>
      </c>
      <c r="AC484" s="12">
        <f>IF(A484="","",IF(B484="","Falta número de contrato; ","")&amp;IF(C484="","Falta entidad; ","")&amp;IF(E484="","Falta objeto; ","")&amp;IF(F484="","Falta especialidad; ","")&amp;IF(K484="","Falta fecha de inicio (recomendada); ","")&amp;IF(AND(M484&lt;&gt;"En ejecución",L484=""),"Falta fecha de terminación; ","")&amp;IF(AND(K484&lt;&gt;"",L484&lt;&gt;"",L484&lt;K484),"Terminación anterior al inicio; ","")&amp;IF(M484="","Falta estado; ","")&amp;IF(OR(P484="",P484&lt;=0),"Falta valor del contrato; ","")&amp;IF(AND(M484="En ejecución",Q484=""),"En ejecución sin valor ejecutado; ","")&amp;IF(AND(M484="En ejecución",L484&lt;&gt;"",L484&lt;TODAY()),"Dice en ejecución pero su terminación ya pasó; ","")&amp;IF(M484="En ejecución","En ejecución: no acredita experiencia; ","")&amp;IF(AND(M484&lt;&gt;"En ejecución",L484&lt;&gt;"",X484&lt;&gt;"",Y484=""),"El año no está en la hoja SMMLV; ","")&amp;IF(AND(B484&lt;&gt;"",COUNTIFS($B$2:$B$601,B484,$C$2:$C$601,C484)&gt;1),"Posible duplicado (mismo número y entidad); ","")&amp;IF(COUNTIF(PARTICIPACIONES!$A$2:$A$601,A484)=0,"Sin participaciones; ","")&amp;IF(SUMIFS(PARTICIPACIONES!$E$2:$E$601,PARTICIPACIONES!$A$2:$A$601,A484)&gt;1.0001,"Las participaciones suman más de 100 %; ",""))</f>
        <v/>
      </c>
    </row>
    <row r="485">
      <c r="J485" s="15" t="n"/>
      <c r="K485" s="15" t="n"/>
      <c r="L485" s="15" t="n"/>
      <c r="N485" s="15" t="n"/>
      <c r="O485" s="16" t="n"/>
      <c r="P485" s="16" t="n"/>
      <c r="Q485" s="16" t="n"/>
      <c r="W485" s="12">
        <f>IF(AND(K485&lt;&gt;"",L485&lt;&gt;""),ROUND((L485-K485)/30.4375,1),"")</f>
        <v/>
      </c>
      <c r="X485" s="12">
        <f>IF(OR(A485="",M485="En ejecución",L485=""),"",YEAR(L485))</f>
        <v/>
      </c>
      <c r="Y485" s="13">
        <f>IF(X485="","",IFERROR(VLOOKUP(X485,SMMLV!$A$2:$B$38,2,FALSE),""))</f>
        <v/>
      </c>
      <c r="Z485" s="17">
        <f>IF(OR(Y485="",P485=""),"",ROUND(P485/Y485,2))</f>
        <v/>
      </c>
      <c r="AA485" s="13">
        <f>IF(Z485="","",ROUND(Z485*SMMLV!$E$4,0))</f>
        <v/>
      </c>
      <c r="AB485" s="13">
        <f>IF(AND(M485="En ejecución",P485&lt;&gt;"",Q485&lt;&gt;""),MAX(P485-Q485,0),"")</f>
        <v/>
      </c>
      <c r="AC485" s="12">
        <f>IF(A485="","",IF(B485="","Falta número de contrato; ","")&amp;IF(C485="","Falta entidad; ","")&amp;IF(E485="","Falta objeto; ","")&amp;IF(F485="","Falta especialidad; ","")&amp;IF(K485="","Falta fecha de inicio (recomendada); ","")&amp;IF(AND(M485&lt;&gt;"En ejecución",L485=""),"Falta fecha de terminación; ","")&amp;IF(AND(K485&lt;&gt;"",L485&lt;&gt;"",L485&lt;K485),"Terminación anterior al inicio; ","")&amp;IF(M485="","Falta estado; ","")&amp;IF(OR(P485="",P485&lt;=0),"Falta valor del contrato; ","")&amp;IF(AND(M485="En ejecución",Q485=""),"En ejecución sin valor ejecutado; ","")&amp;IF(AND(M485="En ejecución",L485&lt;&gt;"",L485&lt;TODAY()),"Dice en ejecución pero su terminación ya pasó; ","")&amp;IF(M485="En ejecución","En ejecución: no acredita experiencia; ","")&amp;IF(AND(M485&lt;&gt;"En ejecución",L485&lt;&gt;"",X485&lt;&gt;"",Y485=""),"El año no está en la hoja SMMLV; ","")&amp;IF(AND(B485&lt;&gt;"",COUNTIFS($B$2:$B$601,B485,$C$2:$C$601,C485)&gt;1),"Posible duplicado (mismo número y entidad); ","")&amp;IF(COUNTIF(PARTICIPACIONES!$A$2:$A$601,A485)=0,"Sin participaciones; ","")&amp;IF(SUMIFS(PARTICIPACIONES!$E$2:$E$601,PARTICIPACIONES!$A$2:$A$601,A485)&gt;1.0001,"Las participaciones suman más de 100 %; ",""))</f>
        <v/>
      </c>
    </row>
    <row r="486">
      <c r="J486" s="15" t="n"/>
      <c r="K486" s="15" t="n"/>
      <c r="L486" s="15" t="n"/>
      <c r="N486" s="15" t="n"/>
      <c r="O486" s="16" t="n"/>
      <c r="P486" s="16" t="n"/>
      <c r="Q486" s="16" t="n"/>
      <c r="W486" s="12">
        <f>IF(AND(K486&lt;&gt;"",L486&lt;&gt;""),ROUND((L486-K486)/30.4375,1),"")</f>
        <v/>
      </c>
      <c r="X486" s="12">
        <f>IF(OR(A486="",M486="En ejecución",L486=""),"",YEAR(L486))</f>
        <v/>
      </c>
      <c r="Y486" s="13">
        <f>IF(X486="","",IFERROR(VLOOKUP(X486,SMMLV!$A$2:$B$38,2,FALSE),""))</f>
        <v/>
      </c>
      <c r="Z486" s="17">
        <f>IF(OR(Y486="",P486=""),"",ROUND(P486/Y486,2))</f>
        <v/>
      </c>
      <c r="AA486" s="13">
        <f>IF(Z486="","",ROUND(Z486*SMMLV!$E$4,0))</f>
        <v/>
      </c>
      <c r="AB486" s="13">
        <f>IF(AND(M486="En ejecución",P486&lt;&gt;"",Q486&lt;&gt;""),MAX(P486-Q486,0),"")</f>
        <v/>
      </c>
      <c r="AC486" s="12">
        <f>IF(A486="","",IF(B486="","Falta número de contrato; ","")&amp;IF(C486="","Falta entidad; ","")&amp;IF(E486="","Falta objeto; ","")&amp;IF(F486="","Falta especialidad; ","")&amp;IF(K486="","Falta fecha de inicio (recomendada); ","")&amp;IF(AND(M486&lt;&gt;"En ejecución",L486=""),"Falta fecha de terminación; ","")&amp;IF(AND(K486&lt;&gt;"",L486&lt;&gt;"",L486&lt;K486),"Terminación anterior al inicio; ","")&amp;IF(M486="","Falta estado; ","")&amp;IF(OR(P486="",P486&lt;=0),"Falta valor del contrato; ","")&amp;IF(AND(M486="En ejecución",Q486=""),"En ejecución sin valor ejecutado; ","")&amp;IF(AND(M486="En ejecución",L486&lt;&gt;"",L486&lt;TODAY()),"Dice en ejecución pero su terminación ya pasó; ","")&amp;IF(M486="En ejecución","En ejecución: no acredita experiencia; ","")&amp;IF(AND(M486&lt;&gt;"En ejecución",L486&lt;&gt;"",X486&lt;&gt;"",Y486=""),"El año no está en la hoja SMMLV; ","")&amp;IF(AND(B486&lt;&gt;"",COUNTIFS($B$2:$B$601,B486,$C$2:$C$601,C486)&gt;1),"Posible duplicado (mismo número y entidad); ","")&amp;IF(COUNTIF(PARTICIPACIONES!$A$2:$A$601,A486)=0,"Sin participaciones; ","")&amp;IF(SUMIFS(PARTICIPACIONES!$E$2:$E$601,PARTICIPACIONES!$A$2:$A$601,A486)&gt;1.0001,"Las participaciones suman más de 100 %; ",""))</f>
        <v/>
      </c>
    </row>
    <row r="487">
      <c r="J487" s="15" t="n"/>
      <c r="K487" s="15" t="n"/>
      <c r="L487" s="15" t="n"/>
      <c r="N487" s="15" t="n"/>
      <c r="O487" s="16" t="n"/>
      <c r="P487" s="16" t="n"/>
      <c r="Q487" s="16" t="n"/>
      <c r="W487" s="12">
        <f>IF(AND(K487&lt;&gt;"",L487&lt;&gt;""),ROUND((L487-K487)/30.4375,1),"")</f>
        <v/>
      </c>
      <c r="X487" s="12">
        <f>IF(OR(A487="",M487="En ejecución",L487=""),"",YEAR(L487))</f>
        <v/>
      </c>
      <c r="Y487" s="13">
        <f>IF(X487="","",IFERROR(VLOOKUP(X487,SMMLV!$A$2:$B$38,2,FALSE),""))</f>
        <v/>
      </c>
      <c r="Z487" s="17">
        <f>IF(OR(Y487="",P487=""),"",ROUND(P487/Y487,2))</f>
        <v/>
      </c>
      <c r="AA487" s="13">
        <f>IF(Z487="","",ROUND(Z487*SMMLV!$E$4,0))</f>
        <v/>
      </c>
      <c r="AB487" s="13">
        <f>IF(AND(M487="En ejecución",P487&lt;&gt;"",Q487&lt;&gt;""),MAX(P487-Q487,0),"")</f>
        <v/>
      </c>
      <c r="AC487" s="12">
        <f>IF(A487="","",IF(B487="","Falta número de contrato; ","")&amp;IF(C487="","Falta entidad; ","")&amp;IF(E487="","Falta objeto; ","")&amp;IF(F487="","Falta especialidad; ","")&amp;IF(K487="","Falta fecha de inicio (recomendada); ","")&amp;IF(AND(M487&lt;&gt;"En ejecución",L487=""),"Falta fecha de terminación; ","")&amp;IF(AND(K487&lt;&gt;"",L487&lt;&gt;"",L487&lt;K487),"Terminación anterior al inicio; ","")&amp;IF(M487="","Falta estado; ","")&amp;IF(OR(P487="",P487&lt;=0),"Falta valor del contrato; ","")&amp;IF(AND(M487="En ejecución",Q487=""),"En ejecución sin valor ejecutado; ","")&amp;IF(AND(M487="En ejecución",L487&lt;&gt;"",L487&lt;TODAY()),"Dice en ejecución pero su terminación ya pasó; ","")&amp;IF(M487="En ejecución","En ejecución: no acredita experiencia; ","")&amp;IF(AND(M487&lt;&gt;"En ejecución",L487&lt;&gt;"",X487&lt;&gt;"",Y487=""),"El año no está en la hoja SMMLV; ","")&amp;IF(AND(B487&lt;&gt;"",COUNTIFS($B$2:$B$601,B487,$C$2:$C$601,C487)&gt;1),"Posible duplicado (mismo número y entidad); ","")&amp;IF(COUNTIF(PARTICIPACIONES!$A$2:$A$601,A487)=0,"Sin participaciones; ","")&amp;IF(SUMIFS(PARTICIPACIONES!$E$2:$E$601,PARTICIPACIONES!$A$2:$A$601,A487)&gt;1.0001,"Las participaciones suman más de 100 %; ",""))</f>
        <v/>
      </c>
    </row>
    <row r="488">
      <c r="J488" s="15" t="n"/>
      <c r="K488" s="15" t="n"/>
      <c r="L488" s="15" t="n"/>
      <c r="N488" s="15" t="n"/>
      <c r="O488" s="16" t="n"/>
      <c r="P488" s="16" t="n"/>
      <c r="Q488" s="16" t="n"/>
      <c r="W488" s="12">
        <f>IF(AND(K488&lt;&gt;"",L488&lt;&gt;""),ROUND((L488-K488)/30.4375,1),"")</f>
        <v/>
      </c>
      <c r="X488" s="12">
        <f>IF(OR(A488="",M488="En ejecución",L488=""),"",YEAR(L488))</f>
        <v/>
      </c>
      <c r="Y488" s="13">
        <f>IF(X488="","",IFERROR(VLOOKUP(X488,SMMLV!$A$2:$B$38,2,FALSE),""))</f>
        <v/>
      </c>
      <c r="Z488" s="17">
        <f>IF(OR(Y488="",P488=""),"",ROUND(P488/Y488,2))</f>
        <v/>
      </c>
      <c r="AA488" s="13">
        <f>IF(Z488="","",ROUND(Z488*SMMLV!$E$4,0))</f>
        <v/>
      </c>
      <c r="AB488" s="13">
        <f>IF(AND(M488="En ejecución",P488&lt;&gt;"",Q488&lt;&gt;""),MAX(P488-Q488,0),"")</f>
        <v/>
      </c>
      <c r="AC488" s="12">
        <f>IF(A488="","",IF(B488="","Falta número de contrato; ","")&amp;IF(C488="","Falta entidad; ","")&amp;IF(E488="","Falta objeto; ","")&amp;IF(F488="","Falta especialidad; ","")&amp;IF(K488="","Falta fecha de inicio (recomendada); ","")&amp;IF(AND(M488&lt;&gt;"En ejecución",L488=""),"Falta fecha de terminación; ","")&amp;IF(AND(K488&lt;&gt;"",L488&lt;&gt;"",L488&lt;K488),"Terminación anterior al inicio; ","")&amp;IF(M488="","Falta estado; ","")&amp;IF(OR(P488="",P488&lt;=0),"Falta valor del contrato; ","")&amp;IF(AND(M488="En ejecución",Q488=""),"En ejecución sin valor ejecutado; ","")&amp;IF(AND(M488="En ejecución",L488&lt;&gt;"",L488&lt;TODAY()),"Dice en ejecución pero su terminación ya pasó; ","")&amp;IF(M488="En ejecución","En ejecución: no acredita experiencia; ","")&amp;IF(AND(M488&lt;&gt;"En ejecución",L488&lt;&gt;"",X488&lt;&gt;"",Y488=""),"El año no está en la hoja SMMLV; ","")&amp;IF(AND(B488&lt;&gt;"",COUNTIFS($B$2:$B$601,B488,$C$2:$C$601,C488)&gt;1),"Posible duplicado (mismo número y entidad); ","")&amp;IF(COUNTIF(PARTICIPACIONES!$A$2:$A$601,A488)=0,"Sin participaciones; ","")&amp;IF(SUMIFS(PARTICIPACIONES!$E$2:$E$601,PARTICIPACIONES!$A$2:$A$601,A488)&gt;1.0001,"Las participaciones suman más de 100 %; ",""))</f>
        <v/>
      </c>
    </row>
    <row r="489">
      <c r="J489" s="15" t="n"/>
      <c r="K489" s="15" t="n"/>
      <c r="L489" s="15" t="n"/>
      <c r="N489" s="15" t="n"/>
      <c r="O489" s="16" t="n"/>
      <c r="P489" s="16" t="n"/>
      <c r="Q489" s="16" t="n"/>
      <c r="W489" s="12">
        <f>IF(AND(K489&lt;&gt;"",L489&lt;&gt;""),ROUND((L489-K489)/30.4375,1),"")</f>
        <v/>
      </c>
      <c r="X489" s="12">
        <f>IF(OR(A489="",M489="En ejecución",L489=""),"",YEAR(L489))</f>
        <v/>
      </c>
      <c r="Y489" s="13">
        <f>IF(X489="","",IFERROR(VLOOKUP(X489,SMMLV!$A$2:$B$38,2,FALSE),""))</f>
        <v/>
      </c>
      <c r="Z489" s="17">
        <f>IF(OR(Y489="",P489=""),"",ROUND(P489/Y489,2))</f>
        <v/>
      </c>
      <c r="AA489" s="13">
        <f>IF(Z489="","",ROUND(Z489*SMMLV!$E$4,0))</f>
        <v/>
      </c>
      <c r="AB489" s="13">
        <f>IF(AND(M489="En ejecución",P489&lt;&gt;"",Q489&lt;&gt;""),MAX(P489-Q489,0),"")</f>
        <v/>
      </c>
      <c r="AC489" s="12">
        <f>IF(A489="","",IF(B489="","Falta número de contrato; ","")&amp;IF(C489="","Falta entidad; ","")&amp;IF(E489="","Falta objeto; ","")&amp;IF(F489="","Falta especialidad; ","")&amp;IF(K489="","Falta fecha de inicio (recomendada); ","")&amp;IF(AND(M489&lt;&gt;"En ejecución",L489=""),"Falta fecha de terminación; ","")&amp;IF(AND(K489&lt;&gt;"",L489&lt;&gt;"",L489&lt;K489),"Terminación anterior al inicio; ","")&amp;IF(M489="","Falta estado; ","")&amp;IF(OR(P489="",P489&lt;=0),"Falta valor del contrato; ","")&amp;IF(AND(M489="En ejecución",Q489=""),"En ejecución sin valor ejecutado; ","")&amp;IF(AND(M489="En ejecución",L489&lt;&gt;"",L489&lt;TODAY()),"Dice en ejecución pero su terminación ya pasó; ","")&amp;IF(M489="En ejecución","En ejecución: no acredita experiencia; ","")&amp;IF(AND(M489&lt;&gt;"En ejecución",L489&lt;&gt;"",X489&lt;&gt;"",Y489=""),"El año no está en la hoja SMMLV; ","")&amp;IF(AND(B489&lt;&gt;"",COUNTIFS($B$2:$B$601,B489,$C$2:$C$601,C489)&gt;1),"Posible duplicado (mismo número y entidad); ","")&amp;IF(COUNTIF(PARTICIPACIONES!$A$2:$A$601,A489)=0,"Sin participaciones; ","")&amp;IF(SUMIFS(PARTICIPACIONES!$E$2:$E$601,PARTICIPACIONES!$A$2:$A$601,A489)&gt;1.0001,"Las participaciones suman más de 100 %; ",""))</f>
        <v/>
      </c>
    </row>
    <row r="490">
      <c r="J490" s="15" t="n"/>
      <c r="K490" s="15" t="n"/>
      <c r="L490" s="15" t="n"/>
      <c r="N490" s="15" t="n"/>
      <c r="O490" s="16" t="n"/>
      <c r="P490" s="16" t="n"/>
      <c r="Q490" s="16" t="n"/>
      <c r="W490" s="12">
        <f>IF(AND(K490&lt;&gt;"",L490&lt;&gt;""),ROUND((L490-K490)/30.4375,1),"")</f>
        <v/>
      </c>
      <c r="X490" s="12">
        <f>IF(OR(A490="",M490="En ejecución",L490=""),"",YEAR(L490))</f>
        <v/>
      </c>
      <c r="Y490" s="13">
        <f>IF(X490="","",IFERROR(VLOOKUP(X490,SMMLV!$A$2:$B$38,2,FALSE),""))</f>
        <v/>
      </c>
      <c r="Z490" s="17">
        <f>IF(OR(Y490="",P490=""),"",ROUND(P490/Y490,2))</f>
        <v/>
      </c>
      <c r="AA490" s="13">
        <f>IF(Z490="","",ROUND(Z490*SMMLV!$E$4,0))</f>
        <v/>
      </c>
      <c r="AB490" s="13">
        <f>IF(AND(M490="En ejecución",P490&lt;&gt;"",Q490&lt;&gt;""),MAX(P490-Q490,0),"")</f>
        <v/>
      </c>
      <c r="AC490" s="12">
        <f>IF(A490="","",IF(B490="","Falta número de contrato; ","")&amp;IF(C490="","Falta entidad; ","")&amp;IF(E490="","Falta objeto; ","")&amp;IF(F490="","Falta especialidad; ","")&amp;IF(K490="","Falta fecha de inicio (recomendada); ","")&amp;IF(AND(M490&lt;&gt;"En ejecución",L490=""),"Falta fecha de terminación; ","")&amp;IF(AND(K490&lt;&gt;"",L490&lt;&gt;"",L490&lt;K490),"Terminación anterior al inicio; ","")&amp;IF(M490="","Falta estado; ","")&amp;IF(OR(P490="",P490&lt;=0),"Falta valor del contrato; ","")&amp;IF(AND(M490="En ejecución",Q490=""),"En ejecución sin valor ejecutado; ","")&amp;IF(AND(M490="En ejecución",L490&lt;&gt;"",L490&lt;TODAY()),"Dice en ejecución pero su terminación ya pasó; ","")&amp;IF(M490="En ejecución","En ejecución: no acredita experiencia; ","")&amp;IF(AND(M490&lt;&gt;"En ejecución",L490&lt;&gt;"",X490&lt;&gt;"",Y490=""),"El año no está en la hoja SMMLV; ","")&amp;IF(AND(B490&lt;&gt;"",COUNTIFS($B$2:$B$601,B490,$C$2:$C$601,C490)&gt;1),"Posible duplicado (mismo número y entidad); ","")&amp;IF(COUNTIF(PARTICIPACIONES!$A$2:$A$601,A490)=0,"Sin participaciones; ","")&amp;IF(SUMIFS(PARTICIPACIONES!$E$2:$E$601,PARTICIPACIONES!$A$2:$A$601,A490)&gt;1.0001,"Las participaciones suman más de 100 %; ",""))</f>
        <v/>
      </c>
    </row>
    <row r="491">
      <c r="J491" s="15" t="n"/>
      <c r="K491" s="15" t="n"/>
      <c r="L491" s="15" t="n"/>
      <c r="N491" s="15" t="n"/>
      <c r="O491" s="16" t="n"/>
      <c r="P491" s="16" t="n"/>
      <c r="Q491" s="16" t="n"/>
      <c r="W491" s="12">
        <f>IF(AND(K491&lt;&gt;"",L491&lt;&gt;""),ROUND((L491-K491)/30.4375,1),"")</f>
        <v/>
      </c>
      <c r="X491" s="12">
        <f>IF(OR(A491="",M491="En ejecución",L491=""),"",YEAR(L491))</f>
        <v/>
      </c>
      <c r="Y491" s="13">
        <f>IF(X491="","",IFERROR(VLOOKUP(X491,SMMLV!$A$2:$B$38,2,FALSE),""))</f>
        <v/>
      </c>
      <c r="Z491" s="17">
        <f>IF(OR(Y491="",P491=""),"",ROUND(P491/Y491,2))</f>
        <v/>
      </c>
      <c r="AA491" s="13">
        <f>IF(Z491="","",ROUND(Z491*SMMLV!$E$4,0))</f>
        <v/>
      </c>
      <c r="AB491" s="13">
        <f>IF(AND(M491="En ejecución",P491&lt;&gt;"",Q491&lt;&gt;""),MAX(P491-Q491,0),"")</f>
        <v/>
      </c>
      <c r="AC491" s="12">
        <f>IF(A491="","",IF(B491="","Falta número de contrato; ","")&amp;IF(C491="","Falta entidad; ","")&amp;IF(E491="","Falta objeto; ","")&amp;IF(F491="","Falta especialidad; ","")&amp;IF(K491="","Falta fecha de inicio (recomendada); ","")&amp;IF(AND(M491&lt;&gt;"En ejecución",L491=""),"Falta fecha de terminación; ","")&amp;IF(AND(K491&lt;&gt;"",L491&lt;&gt;"",L491&lt;K491),"Terminación anterior al inicio; ","")&amp;IF(M491="","Falta estado; ","")&amp;IF(OR(P491="",P491&lt;=0),"Falta valor del contrato; ","")&amp;IF(AND(M491="En ejecución",Q491=""),"En ejecución sin valor ejecutado; ","")&amp;IF(AND(M491="En ejecución",L491&lt;&gt;"",L491&lt;TODAY()),"Dice en ejecución pero su terminación ya pasó; ","")&amp;IF(M491="En ejecución","En ejecución: no acredita experiencia; ","")&amp;IF(AND(M491&lt;&gt;"En ejecución",L491&lt;&gt;"",X491&lt;&gt;"",Y491=""),"El año no está en la hoja SMMLV; ","")&amp;IF(AND(B491&lt;&gt;"",COUNTIFS($B$2:$B$601,B491,$C$2:$C$601,C491)&gt;1),"Posible duplicado (mismo número y entidad); ","")&amp;IF(COUNTIF(PARTICIPACIONES!$A$2:$A$601,A491)=0,"Sin participaciones; ","")&amp;IF(SUMIFS(PARTICIPACIONES!$E$2:$E$601,PARTICIPACIONES!$A$2:$A$601,A491)&gt;1.0001,"Las participaciones suman más de 100 %; ",""))</f>
        <v/>
      </c>
    </row>
    <row r="492">
      <c r="J492" s="15" t="n"/>
      <c r="K492" s="15" t="n"/>
      <c r="L492" s="15" t="n"/>
      <c r="N492" s="15" t="n"/>
      <c r="O492" s="16" t="n"/>
      <c r="P492" s="16" t="n"/>
      <c r="Q492" s="16" t="n"/>
      <c r="W492" s="12">
        <f>IF(AND(K492&lt;&gt;"",L492&lt;&gt;""),ROUND((L492-K492)/30.4375,1),"")</f>
        <v/>
      </c>
      <c r="X492" s="12">
        <f>IF(OR(A492="",M492="En ejecución",L492=""),"",YEAR(L492))</f>
        <v/>
      </c>
      <c r="Y492" s="13">
        <f>IF(X492="","",IFERROR(VLOOKUP(X492,SMMLV!$A$2:$B$38,2,FALSE),""))</f>
        <v/>
      </c>
      <c r="Z492" s="17">
        <f>IF(OR(Y492="",P492=""),"",ROUND(P492/Y492,2))</f>
        <v/>
      </c>
      <c r="AA492" s="13">
        <f>IF(Z492="","",ROUND(Z492*SMMLV!$E$4,0))</f>
        <v/>
      </c>
      <c r="AB492" s="13">
        <f>IF(AND(M492="En ejecución",P492&lt;&gt;"",Q492&lt;&gt;""),MAX(P492-Q492,0),"")</f>
        <v/>
      </c>
      <c r="AC492" s="12">
        <f>IF(A492="","",IF(B492="","Falta número de contrato; ","")&amp;IF(C492="","Falta entidad; ","")&amp;IF(E492="","Falta objeto; ","")&amp;IF(F492="","Falta especialidad; ","")&amp;IF(K492="","Falta fecha de inicio (recomendada); ","")&amp;IF(AND(M492&lt;&gt;"En ejecución",L492=""),"Falta fecha de terminación; ","")&amp;IF(AND(K492&lt;&gt;"",L492&lt;&gt;"",L492&lt;K492),"Terminación anterior al inicio; ","")&amp;IF(M492="","Falta estado; ","")&amp;IF(OR(P492="",P492&lt;=0),"Falta valor del contrato; ","")&amp;IF(AND(M492="En ejecución",Q492=""),"En ejecución sin valor ejecutado; ","")&amp;IF(AND(M492="En ejecución",L492&lt;&gt;"",L492&lt;TODAY()),"Dice en ejecución pero su terminación ya pasó; ","")&amp;IF(M492="En ejecución","En ejecución: no acredita experiencia; ","")&amp;IF(AND(M492&lt;&gt;"En ejecución",L492&lt;&gt;"",X492&lt;&gt;"",Y492=""),"El año no está en la hoja SMMLV; ","")&amp;IF(AND(B492&lt;&gt;"",COUNTIFS($B$2:$B$601,B492,$C$2:$C$601,C492)&gt;1),"Posible duplicado (mismo número y entidad); ","")&amp;IF(COUNTIF(PARTICIPACIONES!$A$2:$A$601,A492)=0,"Sin participaciones; ","")&amp;IF(SUMIFS(PARTICIPACIONES!$E$2:$E$601,PARTICIPACIONES!$A$2:$A$601,A492)&gt;1.0001,"Las participaciones suman más de 100 %; ",""))</f>
        <v/>
      </c>
    </row>
    <row r="493">
      <c r="J493" s="15" t="n"/>
      <c r="K493" s="15" t="n"/>
      <c r="L493" s="15" t="n"/>
      <c r="N493" s="15" t="n"/>
      <c r="O493" s="16" t="n"/>
      <c r="P493" s="16" t="n"/>
      <c r="Q493" s="16" t="n"/>
      <c r="W493" s="12">
        <f>IF(AND(K493&lt;&gt;"",L493&lt;&gt;""),ROUND((L493-K493)/30.4375,1),"")</f>
        <v/>
      </c>
      <c r="X493" s="12">
        <f>IF(OR(A493="",M493="En ejecución",L493=""),"",YEAR(L493))</f>
        <v/>
      </c>
      <c r="Y493" s="13">
        <f>IF(X493="","",IFERROR(VLOOKUP(X493,SMMLV!$A$2:$B$38,2,FALSE),""))</f>
        <v/>
      </c>
      <c r="Z493" s="17">
        <f>IF(OR(Y493="",P493=""),"",ROUND(P493/Y493,2))</f>
        <v/>
      </c>
      <c r="AA493" s="13">
        <f>IF(Z493="","",ROUND(Z493*SMMLV!$E$4,0))</f>
        <v/>
      </c>
      <c r="AB493" s="13">
        <f>IF(AND(M493="En ejecución",P493&lt;&gt;"",Q493&lt;&gt;""),MAX(P493-Q493,0),"")</f>
        <v/>
      </c>
      <c r="AC493" s="12">
        <f>IF(A493="","",IF(B493="","Falta número de contrato; ","")&amp;IF(C493="","Falta entidad; ","")&amp;IF(E493="","Falta objeto; ","")&amp;IF(F493="","Falta especialidad; ","")&amp;IF(K493="","Falta fecha de inicio (recomendada); ","")&amp;IF(AND(M493&lt;&gt;"En ejecución",L493=""),"Falta fecha de terminación; ","")&amp;IF(AND(K493&lt;&gt;"",L493&lt;&gt;"",L493&lt;K493),"Terminación anterior al inicio; ","")&amp;IF(M493="","Falta estado; ","")&amp;IF(OR(P493="",P493&lt;=0),"Falta valor del contrato; ","")&amp;IF(AND(M493="En ejecución",Q493=""),"En ejecución sin valor ejecutado; ","")&amp;IF(AND(M493="En ejecución",L493&lt;&gt;"",L493&lt;TODAY()),"Dice en ejecución pero su terminación ya pasó; ","")&amp;IF(M493="En ejecución","En ejecución: no acredita experiencia; ","")&amp;IF(AND(M493&lt;&gt;"En ejecución",L493&lt;&gt;"",X493&lt;&gt;"",Y493=""),"El año no está en la hoja SMMLV; ","")&amp;IF(AND(B493&lt;&gt;"",COUNTIFS($B$2:$B$601,B493,$C$2:$C$601,C493)&gt;1),"Posible duplicado (mismo número y entidad); ","")&amp;IF(COUNTIF(PARTICIPACIONES!$A$2:$A$601,A493)=0,"Sin participaciones; ","")&amp;IF(SUMIFS(PARTICIPACIONES!$E$2:$E$601,PARTICIPACIONES!$A$2:$A$601,A493)&gt;1.0001,"Las participaciones suman más de 100 %; ",""))</f>
        <v/>
      </c>
    </row>
    <row r="494">
      <c r="J494" s="15" t="n"/>
      <c r="K494" s="15" t="n"/>
      <c r="L494" s="15" t="n"/>
      <c r="N494" s="15" t="n"/>
      <c r="O494" s="16" t="n"/>
      <c r="P494" s="16" t="n"/>
      <c r="Q494" s="16" t="n"/>
      <c r="W494" s="12">
        <f>IF(AND(K494&lt;&gt;"",L494&lt;&gt;""),ROUND((L494-K494)/30.4375,1),"")</f>
        <v/>
      </c>
      <c r="X494" s="12">
        <f>IF(OR(A494="",M494="En ejecución",L494=""),"",YEAR(L494))</f>
        <v/>
      </c>
      <c r="Y494" s="13">
        <f>IF(X494="","",IFERROR(VLOOKUP(X494,SMMLV!$A$2:$B$38,2,FALSE),""))</f>
        <v/>
      </c>
      <c r="Z494" s="17">
        <f>IF(OR(Y494="",P494=""),"",ROUND(P494/Y494,2))</f>
        <v/>
      </c>
      <c r="AA494" s="13">
        <f>IF(Z494="","",ROUND(Z494*SMMLV!$E$4,0))</f>
        <v/>
      </c>
      <c r="AB494" s="13">
        <f>IF(AND(M494="En ejecución",P494&lt;&gt;"",Q494&lt;&gt;""),MAX(P494-Q494,0),"")</f>
        <v/>
      </c>
      <c r="AC494" s="12">
        <f>IF(A494="","",IF(B494="","Falta número de contrato; ","")&amp;IF(C494="","Falta entidad; ","")&amp;IF(E494="","Falta objeto; ","")&amp;IF(F494="","Falta especialidad; ","")&amp;IF(K494="","Falta fecha de inicio (recomendada); ","")&amp;IF(AND(M494&lt;&gt;"En ejecución",L494=""),"Falta fecha de terminación; ","")&amp;IF(AND(K494&lt;&gt;"",L494&lt;&gt;"",L494&lt;K494),"Terminación anterior al inicio; ","")&amp;IF(M494="","Falta estado; ","")&amp;IF(OR(P494="",P494&lt;=0),"Falta valor del contrato; ","")&amp;IF(AND(M494="En ejecución",Q494=""),"En ejecución sin valor ejecutado; ","")&amp;IF(AND(M494="En ejecución",L494&lt;&gt;"",L494&lt;TODAY()),"Dice en ejecución pero su terminación ya pasó; ","")&amp;IF(M494="En ejecución","En ejecución: no acredita experiencia; ","")&amp;IF(AND(M494&lt;&gt;"En ejecución",L494&lt;&gt;"",X494&lt;&gt;"",Y494=""),"El año no está en la hoja SMMLV; ","")&amp;IF(AND(B494&lt;&gt;"",COUNTIFS($B$2:$B$601,B494,$C$2:$C$601,C494)&gt;1),"Posible duplicado (mismo número y entidad); ","")&amp;IF(COUNTIF(PARTICIPACIONES!$A$2:$A$601,A494)=0,"Sin participaciones; ","")&amp;IF(SUMIFS(PARTICIPACIONES!$E$2:$E$601,PARTICIPACIONES!$A$2:$A$601,A494)&gt;1.0001,"Las participaciones suman más de 100 %; ",""))</f>
        <v/>
      </c>
    </row>
    <row r="495">
      <c r="J495" s="15" t="n"/>
      <c r="K495" s="15" t="n"/>
      <c r="L495" s="15" t="n"/>
      <c r="N495" s="15" t="n"/>
      <c r="O495" s="16" t="n"/>
      <c r="P495" s="16" t="n"/>
      <c r="Q495" s="16" t="n"/>
      <c r="W495" s="12">
        <f>IF(AND(K495&lt;&gt;"",L495&lt;&gt;""),ROUND((L495-K495)/30.4375,1),"")</f>
        <v/>
      </c>
      <c r="X495" s="12">
        <f>IF(OR(A495="",M495="En ejecución",L495=""),"",YEAR(L495))</f>
        <v/>
      </c>
      <c r="Y495" s="13">
        <f>IF(X495="","",IFERROR(VLOOKUP(X495,SMMLV!$A$2:$B$38,2,FALSE),""))</f>
        <v/>
      </c>
      <c r="Z495" s="17">
        <f>IF(OR(Y495="",P495=""),"",ROUND(P495/Y495,2))</f>
        <v/>
      </c>
      <c r="AA495" s="13">
        <f>IF(Z495="","",ROUND(Z495*SMMLV!$E$4,0))</f>
        <v/>
      </c>
      <c r="AB495" s="13">
        <f>IF(AND(M495="En ejecución",P495&lt;&gt;"",Q495&lt;&gt;""),MAX(P495-Q495,0),"")</f>
        <v/>
      </c>
      <c r="AC495" s="12">
        <f>IF(A495="","",IF(B495="","Falta número de contrato; ","")&amp;IF(C495="","Falta entidad; ","")&amp;IF(E495="","Falta objeto; ","")&amp;IF(F495="","Falta especialidad; ","")&amp;IF(K495="","Falta fecha de inicio (recomendada); ","")&amp;IF(AND(M495&lt;&gt;"En ejecución",L495=""),"Falta fecha de terminación; ","")&amp;IF(AND(K495&lt;&gt;"",L495&lt;&gt;"",L495&lt;K495),"Terminación anterior al inicio; ","")&amp;IF(M495="","Falta estado; ","")&amp;IF(OR(P495="",P495&lt;=0),"Falta valor del contrato; ","")&amp;IF(AND(M495="En ejecución",Q495=""),"En ejecución sin valor ejecutado; ","")&amp;IF(AND(M495="En ejecución",L495&lt;&gt;"",L495&lt;TODAY()),"Dice en ejecución pero su terminación ya pasó; ","")&amp;IF(M495="En ejecución","En ejecución: no acredita experiencia; ","")&amp;IF(AND(M495&lt;&gt;"En ejecución",L495&lt;&gt;"",X495&lt;&gt;"",Y495=""),"El año no está en la hoja SMMLV; ","")&amp;IF(AND(B495&lt;&gt;"",COUNTIFS($B$2:$B$601,B495,$C$2:$C$601,C495)&gt;1),"Posible duplicado (mismo número y entidad); ","")&amp;IF(COUNTIF(PARTICIPACIONES!$A$2:$A$601,A495)=0,"Sin participaciones; ","")&amp;IF(SUMIFS(PARTICIPACIONES!$E$2:$E$601,PARTICIPACIONES!$A$2:$A$601,A495)&gt;1.0001,"Las participaciones suman más de 100 %; ",""))</f>
        <v/>
      </c>
    </row>
    <row r="496">
      <c r="J496" s="15" t="n"/>
      <c r="K496" s="15" t="n"/>
      <c r="L496" s="15" t="n"/>
      <c r="N496" s="15" t="n"/>
      <c r="O496" s="16" t="n"/>
      <c r="P496" s="16" t="n"/>
      <c r="Q496" s="16" t="n"/>
      <c r="W496" s="12">
        <f>IF(AND(K496&lt;&gt;"",L496&lt;&gt;""),ROUND((L496-K496)/30.4375,1),"")</f>
        <v/>
      </c>
      <c r="X496" s="12">
        <f>IF(OR(A496="",M496="En ejecución",L496=""),"",YEAR(L496))</f>
        <v/>
      </c>
      <c r="Y496" s="13">
        <f>IF(X496="","",IFERROR(VLOOKUP(X496,SMMLV!$A$2:$B$38,2,FALSE),""))</f>
        <v/>
      </c>
      <c r="Z496" s="17">
        <f>IF(OR(Y496="",P496=""),"",ROUND(P496/Y496,2))</f>
        <v/>
      </c>
      <c r="AA496" s="13">
        <f>IF(Z496="","",ROUND(Z496*SMMLV!$E$4,0))</f>
        <v/>
      </c>
      <c r="AB496" s="13">
        <f>IF(AND(M496="En ejecución",P496&lt;&gt;"",Q496&lt;&gt;""),MAX(P496-Q496,0),"")</f>
        <v/>
      </c>
      <c r="AC496" s="12">
        <f>IF(A496="","",IF(B496="","Falta número de contrato; ","")&amp;IF(C496="","Falta entidad; ","")&amp;IF(E496="","Falta objeto; ","")&amp;IF(F496="","Falta especialidad; ","")&amp;IF(K496="","Falta fecha de inicio (recomendada); ","")&amp;IF(AND(M496&lt;&gt;"En ejecución",L496=""),"Falta fecha de terminación; ","")&amp;IF(AND(K496&lt;&gt;"",L496&lt;&gt;"",L496&lt;K496),"Terminación anterior al inicio; ","")&amp;IF(M496="","Falta estado; ","")&amp;IF(OR(P496="",P496&lt;=0),"Falta valor del contrato; ","")&amp;IF(AND(M496="En ejecución",Q496=""),"En ejecución sin valor ejecutado; ","")&amp;IF(AND(M496="En ejecución",L496&lt;&gt;"",L496&lt;TODAY()),"Dice en ejecución pero su terminación ya pasó; ","")&amp;IF(M496="En ejecución","En ejecución: no acredita experiencia; ","")&amp;IF(AND(M496&lt;&gt;"En ejecución",L496&lt;&gt;"",X496&lt;&gt;"",Y496=""),"El año no está en la hoja SMMLV; ","")&amp;IF(AND(B496&lt;&gt;"",COUNTIFS($B$2:$B$601,B496,$C$2:$C$601,C496)&gt;1),"Posible duplicado (mismo número y entidad); ","")&amp;IF(COUNTIF(PARTICIPACIONES!$A$2:$A$601,A496)=0,"Sin participaciones; ","")&amp;IF(SUMIFS(PARTICIPACIONES!$E$2:$E$601,PARTICIPACIONES!$A$2:$A$601,A496)&gt;1.0001,"Las participaciones suman más de 100 %; ",""))</f>
        <v/>
      </c>
    </row>
    <row r="497">
      <c r="J497" s="15" t="n"/>
      <c r="K497" s="15" t="n"/>
      <c r="L497" s="15" t="n"/>
      <c r="N497" s="15" t="n"/>
      <c r="O497" s="16" t="n"/>
      <c r="P497" s="16" t="n"/>
      <c r="Q497" s="16" t="n"/>
      <c r="W497" s="12">
        <f>IF(AND(K497&lt;&gt;"",L497&lt;&gt;""),ROUND((L497-K497)/30.4375,1),"")</f>
        <v/>
      </c>
      <c r="X497" s="12">
        <f>IF(OR(A497="",M497="En ejecución",L497=""),"",YEAR(L497))</f>
        <v/>
      </c>
      <c r="Y497" s="13">
        <f>IF(X497="","",IFERROR(VLOOKUP(X497,SMMLV!$A$2:$B$38,2,FALSE),""))</f>
        <v/>
      </c>
      <c r="Z497" s="17">
        <f>IF(OR(Y497="",P497=""),"",ROUND(P497/Y497,2))</f>
        <v/>
      </c>
      <c r="AA497" s="13">
        <f>IF(Z497="","",ROUND(Z497*SMMLV!$E$4,0))</f>
        <v/>
      </c>
      <c r="AB497" s="13">
        <f>IF(AND(M497="En ejecución",P497&lt;&gt;"",Q497&lt;&gt;""),MAX(P497-Q497,0),"")</f>
        <v/>
      </c>
      <c r="AC497" s="12">
        <f>IF(A497="","",IF(B497="","Falta número de contrato; ","")&amp;IF(C497="","Falta entidad; ","")&amp;IF(E497="","Falta objeto; ","")&amp;IF(F497="","Falta especialidad; ","")&amp;IF(K497="","Falta fecha de inicio (recomendada); ","")&amp;IF(AND(M497&lt;&gt;"En ejecución",L497=""),"Falta fecha de terminación; ","")&amp;IF(AND(K497&lt;&gt;"",L497&lt;&gt;"",L497&lt;K497),"Terminación anterior al inicio; ","")&amp;IF(M497="","Falta estado; ","")&amp;IF(OR(P497="",P497&lt;=0),"Falta valor del contrato; ","")&amp;IF(AND(M497="En ejecución",Q497=""),"En ejecución sin valor ejecutado; ","")&amp;IF(AND(M497="En ejecución",L497&lt;&gt;"",L497&lt;TODAY()),"Dice en ejecución pero su terminación ya pasó; ","")&amp;IF(M497="En ejecución","En ejecución: no acredita experiencia; ","")&amp;IF(AND(M497&lt;&gt;"En ejecución",L497&lt;&gt;"",X497&lt;&gt;"",Y497=""),"El año no está en la hoja SMMLV; ","")&amp;IF(AND(B497&lt;&gt;"",COUNTIFS($B$2:$B$601,B497,$C$2:$C$601,C497)&gt;1),"Posible duplicado (mismo número y entidad); ","")&amp;IF(COUNTIF(PARTICIPACIONES!$A$2:$A$601,A497)=0,"Sin participaciones; ","")&amp;IF(SUMIFS(PARTICIPACIONES!$E$2:$E$601,PARTICIPACIONES!$A$2:$A$601,A497)&gt;1.0001,"Las participaciones suman más de 100 %; ",""))</f>
        <v/>
      </c>
    </row>
    <row r="498">
      <c r="J498" s="15" t="n"/>
      <c r="K498" s="15" t="n"/>
      <c r="L498" s="15" t="n"/>
      <c r="N498" s="15" t="n"/>
      <c r="O498" s="16" t="n"/>
      <c r="P498" s="16" t="n"/>
      <c r="Q498" s="16" t="n"/>
      <c r="W498" s="12">
        <f>IF(AND(K498&lt;&gt;"",L498&lt;&gt;""),ROUND((L498-K498)/30.4375,1),"")</f>
        <v/>
      </c>
      <c r="X498" s="12">
        <f>IF(OR(A498="",M498="En ejecución",L498=""),"",YEAR(L498))</f>
        <v/>
      </c>
      <c r="Y498" s="13">
        <f>IF(X498="","",IFERROR(VLOOKUP(X498,SMMLV!$A$2:$B$38,2,FALSE),""))</f>
        <v/>
      </c>
      <c r="Z498" s="17">
        <f>IF(OR(Y498="",P498=""),"",ROUND(P498/Y498,2))</f>
        <v/>
      </c>
      <c r="AA498" s="13">
        <f>IF(Z498="","",ROUND(Z498*SMMLV!$E$4,0))</f>
        <v/>
      </c>
      <c r="AB498" s="13">
        <f>IF(AND(M498="En ejecución",P498&lt;&gt;"",Q498&lt;&gt;""),MAX(P498-Q498,0),"")</f>
        <v/>
      </c>
      <c r="AC498" s="12">
        <f>IF(A498="","",IF(B498="","Falta número de contrato; ","")&amp;IF(C498="","Falta entidad; ","")&amp;IF(E498="","Falta objeto; ","")&amp;IF(F498="","Falta especialidad; ","")&amp;IF(K498="","Falta fecha de inicio (recomendada); ","")&amp;IF(AND(M498&lt;&gt;"En ejecución",L498=""),"Falta fecha de terminación; ","")&amp;IF(AND(K498&lt;&gt;"",L498&lt;&gt;"",L498&lt;K498),"Terminación anterior al inicio; ","")&amp;IF(M498="","Falta estado; ","")&amp;IF(OR(P498="",P498&lt;=0),"Falta valor del contrato; ","")&amp;IF(AND(M498="En ejecución",Q498=""),"En ejecución sin valor ejecutado; ","")&amp;IF(AND(M498="En ejecución",L498&lt;&gt;"",L498&lt;TODAY()),"Dice en ejecución pero su terminación ya pasó; ","")&amp;IF(M498="En ejecución","En ejecución: no acredita experiencia; ","")&amp;IF(AND(M498&lt;&gt;"En ejecución",L498&lt;&gt;"",X498&lt;&gt;"",Y498=""),"El año no está en la hoja SMMLV; ","")&amp;IF(AND(B498&lt;&gt;"",COUNTIFS($B$2:$B$601,B498,$C$2:$C$601,C498)&gt;1),"Posible duplicado (mismo número y entidad); ","")&amp;IF(COUNTIF(PARTICIPACIONES!$A$2:$A$601,A498)=0,"Sin participaciones; ","")&amp;IF(SUMIFS(PARTICIPACIONES!$E$2:$E$601,PARTICIPACIONES!$A$2:$A$601,A498)&gt;1.0001,"Las participaciones suman más de 100 %; ",""))</f>
        <v/>
      </c>
    </row>
    <row r="499">
      <c r="J499" s="15" t="n"/>
      <c r="K499" s="15" t="n"/>
      <c r="L499" s="15" t="n"/>
      <c r="N499" s="15" t="n"/>
      <c r="O499" s="16" t="n"/>
      <c r="P499" s="16" t="n"/>
      <c r="Q499" s="16" t="n"/>
      <c r="W499" s="12">
        <f>IF(AND(K499&lt;&gt;"",L499&lt;&gt;""),ROUND((L499-K499)/30.4375,1),"")</f>
        <v/>
      </c>
      <c r="X499" s="12">
        <f>IF(OR(A499="",M499="En ejecución",L499=""),"",YEAR(L499))</f>
        <v/>
      </c>
      <c r="Y499" s="13">
        <f>IF(X499="","",IFERROR(VLOOKUP(X499,SMMLV!$A$2:$B$38,2,FALSE),""))</f>
        <v/>
      </c>
      <c r="Z499" s="17">
        <f>IF(OR(Y499="",P499=""),"",ROUND(P499/Y499,2))</f>
        <v/>
      </c>
      <c r="AA499" s="13">
        <f>IF(Z499="","",ROUND(Z499*SMMLV!$E$4,0))</f>
        <v/>
      </c>
      <c r="AB499" s="13">
        <f>IF(AND(M499="En ejecución",P499&lt;&gt;"",Q499&lt;&gt;""),MAX(P499-Q499,0),"")</f>
        <v/>
      </c>
      <c r="AC499" s="12">
        <f>IF(A499="","",IF(B499="","Falta número de contrato; ","")&amp;IF(C499="","Falta entidad; ","")&amp;IF(E499="","Falta objeto; ","")&amp;IF(F499="","Falta especialidad; ","")&amp;IF(K499="","Falta fecha de inicio (recomendada); ","")&amp;IF(AND(M499&lt;&gt;"En ejecución",L499=""),"Falta fecha de terminación; ","")&amp;IF(AND(K499&lt;&gt;"",L499&lt;&gt;"",L499&lt;K499),"Terminación anterior al inicio; ","")&amp;IF(M499="","Falta estado; ","")&amp;IF(OR(P499="",P499&lt;=0),"Falta valor del contrato; ","")&amp;IF(AND(M499="En ejecución",Q499=""),"En ejecución sin valor ejecutado; ","")&amp;IF(AND(M499="En ejecución",L499&lt;&gt;"",L499&lt;TODAY()),"Dice en ejecución pero su terminación ya pasó; ","")&amp;IF(M499="En ejecución","En ejecución: no acredita experiencia; ","")&amp;IF(AND(M499&lt;&gt;"En ejecución",L499&lt;&gt;"",X499&lt;&gt;"",Y499=""),"El año no está en la hoja SMMLV; ","")&amp;IF(AND(B499&lt;&gt;"",COUNTIFS($B$2:$B$601,B499,$C$2:$C$601,C499)&gt;1),"Posible duplicado (mismo número y entidad); ","")&amp;IF(COUNTIF(PARTICIPACIONES!$A$2:$A$601,A499)=0,"Sin participaciones; ","")&amp;IF(SUMIFS(PARTICIPACIONES!$E$2:$E$601,PARTICIPACIONES!$A$2:$A$601,A499)&gt;1.0001,"Las participaciones suman más de 100 %; ",""))</f>
        <v/>
      </c>
    </row>
    <row r="500">
      <c r="J500" s="15" t="n"/>
      <c r="K500" s="15" t="n"/>
      <c r="L500" s="15" t="n"/>
      <c r="N500" s="15" t="n"/>
      <c r="O500" s="16" t="n"/>
      <c r="P500" s="16" t="n"/>
      <c r="Q500" s="16" t="n"/>
      <c r="W500" s="12">
        <f>IF(AND(K500&lt;&gt;"",L500&lt;&gt;""),ROUND((L500-K500)/30.4375,1),"")</f>
        <v/>
      </c>
      <c r="X500" s="12">
        <f>IF(OR(A500="",M500="En ejecución",L500=""),"",YEAR(L500))</f>
        <v/>
      </c>
      <c r="Y500" s="13">
        <f>IF(X500="","",IFERROR(VLOOKUP(X500,SMMLV!$A$2:$B$38,2,FALSE),""))</f>
        <v/>
      </c>
      <c r="Z500" s="17">
        <f>IF(OR(Y500="",P500=""),"",ROUND(P500/Y500,2))</f>
        <v/>
      </c>
      <c r="AA500" s="13">
        <f>IF(Z500="","",ROUND(Z500*SMMLV!$E$4,0))</f>
        <v/>
      </c>
      <c r="AB500" s="13">
        <f>IF(AND(M500="En ejecución",P500&lt;&gt;"",Q500&lt;&gt;""),MAX(P500-Q500,0),"")</f>
        <v/>
      </c>
      <c r="AC500" s="12">
        <f>IF(A500="","",IF(B500="","Falta número de contrato; ","")&amp;IF(C500="","Falta entidad; ","")&amp;IF(E500="","Falta objeto; ","")&amp;IF(F500="","Falta especialidad; ","")&amp;IF(K500="","Falta fecha de inicio (recomendada); ","")&amp;IF(AND(M500&lt;&gt;"En ejecución",L500=""),"Falta fecha de terminación; ","")&amp;IF(AND(K500&lt;&gt;"",L500&lt;&gt;"",L500&lt;K500),"Terminación anterior al inicio; ","")&amp;IF(M500="","Falta estado; ","")&amp;IF(OR(P500="",P500&lt;=0),"Falta valor del contrato; ","")&amp;IF(AND(M500="En ejecución",Q500=""),"En ejecución sin valor ejecutado; ","")&amp;IF(AND(M500="En ejecución",L500&lt;&gt;"",L500&lt;TODAY()),"Dice en ejecución pero su terminación ya pasó; ","")&amp;IF(M500="En ejecución","En ejecución: no acredita experiencia; ","")&amp;IF(AND(M500&lt;&gt;"En ejecución",L500&lt;&gt;"",X500&lt;&gt;"",Y500=""),"El año no está en la hoja SMMLV; ","")&amp;IF(AND(B500&lt;&gt;"",COUNTIFS($B$2:$B$601,B500,$C$2:$C$601,C500)&gt;1),"Posible duplicado (mismo número y entidad); ","")&amp;IF(COUNTIF(PARTICIPACIONES!$A$2:$A$601,A500)=0,"Sin participaciones; ","")&amp;IF(SUMIFS(PARTICIPACIONES!$E$2:$E$601,PARTICIPACIONES!$A$2:$A$601,A500)&gt;1.0001,"Las participaciones suman más de 100 %; ",""))</f>
        <v/>
      </c>
    </row>
    <row r="501">
      <c r="J501" s="15" t="n"/>
      <c r="K501" s="15" t="n"/>
      <c r="L501" s="15" t="n"/>
      <c r="N501" s="15" t="n"/>
      <c r="O501" s="16" t="n"/>
      <c r="P501" s="16" t="n"/>
      <c r="Q501" s="16" t="n"/>
      <c r="W501" s="12">
        <f>IF(AND(K501&lt;&gt;"",L501&lt;&gt;""),ROUND((L501-K501)/30.4375,1),"")</f>
        <v/>
      </c>
      <c r="X501" s="12">
        <f>IF(OR(A501="",M501="En ejecución",L501=""),"",YEAR(L501))</f>
        <v/>
      </c>
      <c r="Y501" s="13">
        <f>IF(X501="","",IFERROR(VLOOKUP(X501,SMMLV!$A$2:$B$38,2,FALSE),""))</f>
        <v/>
      </c>
      <c r="Z501" s="17">
        <f>IF(OR(Y501="",P501=""),"",ROUND(P501/Y501,2))</f>
        <v/>
      </c>
      <c r="AA501" s="13">
        <f>IF(Z501="","",ROUND(Z501*SMMLV!$E$4,0))</f>
        <v/>
      </c>
      <c r="AB501" s="13">
        <f>IF(AND(M501="En ejecución",P501&lt;&gt;"",Q501&lt;&gt;""),MAX(P501-Q501,0),"")</f>
        <v/>
      </c>
      <c r="AC501" s="12">
        <f>IF(A501="","",IF(B501="","Falta número de contrato; ","")&amp;IF(C501="","Falta entidad; ","")&amp;IF(E501="","Falta objeto; ","")&amp;IF(F501="","Falta especialidad; ","")&amp;IF(K501="","Falta fecha de inicio (recomendada); ","")&amp;IF(AND(M501&lt;&gt;"En ejecución",L501=""),"Falta fecha de terminación; ","")&amp;IF(AND(K501&lt;&gt;"",L501&lt;&gt;"",L501&lt;K501),"Terminación anterior al inicio; ","")&amp;IF(M501="","Falta estado; ","")&amp;IF(OR(P501="",P501&lt;=0),"Falta valor del contrato; ","")&amp;IF(AND(M501="En ejecución",Q501=""),"En ejecución sin valor ejecutado; ","")&amp;IF(AND(M501="En ejecución",L501&lt;&gt;"",L501&lt;TODAY()),"Dice en ejecución pero su terminación ya pasó; ","")&amp;IF(M501="En ejecución","En ejecución: no acredita experiencia; ","")&amp;IF(AND(M501&lt;&gt;"En ejecución",L501&lt;&gt;"",X501&lt;&gt;"",Y501=""),"El año no está en la hoja SMMLV; ","")&amp;IF(AND(B501&lt;&gt;"",COUNTIFS($B$2:$B$601,B501,$C$2:$C$601,C501)&gt;1),"Posible duplicado (mismo número y entidad); ","")&amp;IF(COUNTIF(PARTICIPACIONES!$A$2:$A$601,A501)=0,"Sin participaciones; ","")&amp;IF(SUMIFS(PARTICIPACIONES!$E$2:$E$601,PARTICIPACIONES!$A$2:$A$601,A501)&gt;1.0001,"Las participaciones suman más de 100 %; ",""))</f>
        <v/>
      </c>
    </row>
    <row r="502">
      <c r="J502" s="15" t="n"/>
      <c r="K502" s="15" t="n"/>
      <c r="L502" s="15" t="n"/>
      <c r="N502" s="15" t="n"/>
      <c r="O502" s="16" t="n"/>
      <c r="P502" s="16" t="n"/>
      <c r="Q502" s="16" t="n"/>
      <c r="W502" s="12">
        <f>IF(AND(K502&lt;&gt;"",L502&lt;&gt;""),ROUND((L502-K502)/30.4375,1),"")</f>
        <v/>
      </c>
      <c r="X502" s="12">
        <f>IF(OR(A502="",M502="En ejecución",L502=""),"",YEAR(L502))</f>
        <v/>
      </c>
      <c r="Y502" s="13">
        <f>IF(X502="","",IFERROR(VLOOKUP(X502,SMMLV!$A$2:$B$38,2,FALSE),""))</f>
        <v/>
      </c>
      <c r="Z502" s="17">
        <f>IF(OR(Y502="",P502=""),"",ROUND(P502/Y502,2))</f>
        <v/>
      </c>
      <c r="AA502" s="13">
        <f>IF(Z502="","",ROUND(Z502*SMMLV!$E$4,0))</f>
        <v/>
      </c>
      <c r="AB502" s="13">
        <f>IF(AND(M502="En ejecución",P502&lt;&gt;"",Q502&lt;&gt;""),MAX(P502-Q502,0),"")</f>
        <v/>
      </c>
      <c r="AC502" s="12">
        <f>IF(A502="","",IF(B502="","Falta número de contrato; ","")&amp;IF(C502="","Falta entidad; ","")&amp;IF(E502="","Falta objeto; ","")&amp;IF(F502="","Falta especialidad; ","")&amp;IF(K502="","Falta fecha de inicio (recomendada); ","")&amp;IF(AND(M502&lt;&gt;"En ejecución",L502=""),"Falta fecha de terminación; ","")&amp;IF(AND(K502&lt;&gt;"",L502&lt;&gt;"",L502&lt;K502),"Terminación anterior al inicio; ","")&amp;IF(M502="","Falta estado; ","")&amp;IF(OR(P502="",P502&lt;=0),"Falta valor del contrato; ","")&amp;IF(AND(M502="En ejecución",Q502=""),"En ejecución sin valor ejecutado; ","")&amp;IF(AND(M502="En ejecución",L502&lt;&gt;"",L502&lt;TODAY()),"Dice en ejecución pero su terminación ya pasó; ","")&amp;IF(M502="En ejecución","En ejecución: no acredita experiencia; ","")&amp;IF(AND(M502&lt;&gt;"En ejecución",L502&lt;&gt;"",X502&lt;&gt;"",Y502=""),"El año no está en la hoja SMMLV; ","")&amp;IF(AND(B502&lt;&gt;"",COUNTIFS($B$2:$B$601,B502,$C$2:$C$601,C502)&gt;1),"Posible duplicado (mismo número y entidad); ","")&amp;IF(COUNTIF(PARTICIPACIONES!$A$2:$A$601,A502)=0,"Sin participaciones; ","")&amp;IF(SUMIFS(PARTICIPACIONES!$E$2:$E$601,PARTICIPACIONES!$A$2:$A$601,A502)&gt;1.0001,"Las participaciones suman más de 100 %; ",""))</f>
        <v/>
      </c>
    </row>
    <row r="503">
      <c r="J503" s="15" t="n"/>
      <c r="K503" s="15" t="n"/>
      <c r="L503" s="15" t="n"/>
      <c r="N503" s="15" t="n"/>
      <c r="O503" s="16" t="n"/>
      <c r="P503" s="16" t="n"/>
      <c r="Q503" s="16" t="n"/>
      <c r="W503" s="12">
        <f>IF(AND(K503&lt;&gt;"",L503&lt;&gt;""),ROUND((L503-K503)/30.4375,1),"")</f>
        <v/>
      </c>
      <c r="X503" s="12">
        <f>IF(OR(A503="",M503="En ejecución",L503=""),"",YEAR(L503))</f>
        <v/>
      </c>
      <c r="Y503" s="13">
        <f>IF(X503="","",IFERROR(VLOOKUP(X503,SMMLV!$A$2:$B$38,2,FALSE),""))</f>
        <v/>
      </c>
      <c r="Z503" s="17">
        <f>IF(OR(Y503="",P503=""),"",ROUND(P503/Y503,2))</f>
        <v/>
      </c>
      <c r="AA503" s="13">
        <f>IF(Z503="","",ROUND(Z503*SMMLV!$E$4,0))</f>
        <v/>
      </c>
      <c r="AB503" s="13">
        <f>IF(AND(M503="En ejecución",P503&lt;&gt;"",Q503&lt;&gt;""),MAX(P503-Q503,0),"")</f>
        <v/>
      </c>
      <c r="AC503" s="12">
        <f>IF(A503="","",IF(B503="","Falta número de contrato; ","")&amp;IF(C503="","Falta entidad; ","")&amp;IF(E503="","Falta objeto; ","")&amp;IF(F503="","Falta especialidad; ","")&amp;IF(K503="","Falta fecha de inicio (recomendada); ","")&amp;IF(AND(M503&lt;&gt;"En ejecución",L503=""),"Falta fecha de terminación; ","")&amp;IF(AND(K503&lt;&gt;"",L503&lt;&gt;"",L503&lt;K503),"Terminación anterior al inicio; ","")&amp;IF(M503="","Falta estado; ","")&amp;IF(OR(P503="",P503&lt;=0),"Falta valor del contrato; ","")&amp;IF(AND(M503="En ejecución",Q503=""),"En ejecución sin valor ejecutado; ","")&amp;IF(AND(M503="En ejecución",L503&lt;&gt;"",L503&lt;TODAY()),"Dice en ejecución pero su terminación ya pasó; ","")&amp;IF(M503="En ejecución","En ejecución: no acredita experiencia; ","")&amp;IF(AND(M503&lt;&gt;"En ejecución",L503&lt;&gt;"",X503&lt;&gt;"",Y503=""),"El año no está en la hoja SMMLV; ","")&amp;IF(AND(B503&lt;&gt;"",COUNTIFS($B$2:$B$601,B503,$C$2:$C$601,C503)&gt;1),"Posible duplicado (mismo número y entidad); ","")&amp;IF(COUNTIF(PARTICIPACIONES!$A$2:$A$601,A503)=0,"Sin participaciones; ","")&amp;IF(SUMIFS(PARTICIPACIONES!$E$2:$E$601,PARTICIPACIONES!$A$2:$A$601,A503)&gt;1.0001,"Las participaciones suman más de 100 %; ",""))</f>
        <v/>
      </c>
    </row>
    <row r="504">
      <c r="J504" s="15" t="n"/>
      <c r="K504" s="15" t="n"/>
      <c r="L504" s="15" t="n"/>
      <c r="N504" s="15" t="n"/>
      <c r="O504" s="16" t="n"/>
      <c r="P504" s="16" t="n"/>
      <c r="Q504" s="16" t="n"/>
      <c r="W504" s="12">
        <f>IF(AND(K504&lt;&gt;"",L504&lt;&gt;""),ROUND((L504-K504)/30.4375,1),"")</f>
        <v/>
      </c>
      <c r="X504" s="12">
        <f>IF(OR(A504="",M504="En ejecución",L504=""),"",YEAR(L504))</f>
        <v/>
      </c>
      <c r="Y504" s="13">
        <f>IF(X504="","",IFERROR(VLOOKUP(X504,SMMLV!$A$2:$B$38,2,FALSE),""))</f>
        <v/>
      </c>
      <c r="Z504" s="17">
        <f>IF(OR(Y504="",P504=""),"",ROUND(P504/Y504,2))</f>
        <v/>
      </c>
      <c r="AA504" s="13">
        <f>IF(Z504="","",ROUND(Z504*SMMLV!$E$4,0))</f>
        <v/>
      </c>
      <c r="AB504" s="13">
        <f>IF(AND(M504="En ejecución",P504&lt;&gt;"",Q504&lt;&gt;""),MAX(P504-Q504,0),"")</f>
        <v/>
      </c>
      <c r="AC504" s="12">
        <f>IF(A504="","",IF(B504="","Falta número de contrato; ","")&amp;IF(C504="","Falta entidad; ","")&amp;IF(E504="","Falta objeto; ","")&amp;IF(F504="","Falta especialidad; ","")&amp;IF(K504="","Falta fecha de inicio (recomendada); ","")&amp;IF(AND(M504&lt;&gt;"En ejecución",L504=""),"Falta fecha de terminación; ","")&amp;IF(AND(K504&lt;&gt;"",L504&lt;&gt;"",L504&lt;K504),"Terminación anterior al inicio; ","")&amp;IF(M504="","Falta estado; ","")&amp;IF(OR(P504="",P504&lt;=0),"Falta valor del contrato; ","")&amp;IF(AND(M504="En ejecución",Q504=""),"En ejecución sin valor ejecutado; ","")&amp;IF(AND(M504="En ejecución",L504&lt;&gt;"",L504&lt;TODAY()),"Dice en ejecución pero su terminación ya pasó; ","")&amp;IF(M504="En ejecución","En ejecución: no acredita experiencia; ","")&amp;IF(AND(M504&lt;&gt;"En ejecución",L504&lt;&gt;"",X504&lt;&gt;"",Y504=""),"El año no está en la hoja SMMLV; ","")&amp;IF(AND(B504&lt;&gt;"",COUNTIFS($B$2:$B$601,B504,$C$2:$C$601,C504)&gt;1),"Posible duplicado (mismo número y entidad); ","")&amp;IF(COUNTIF(PARTICIPACIONES!$A$2:$A$601,A504)=0,"Sin participaciones; ","")&amp;IF(SUMIFS(PARTICIPACIONES!$E$2:$E$601,PARTICIPACIONES!$A$2:$A$601,A504)&gt;1.0001,"Las participaciones suman más de 100 %; ",""))</f>
        <v/>
      </c>
    </row>
    <row r="505">
      <c r="J505" s="15" t="n"/>
      <c r="K505" s="15" t="n"/>
      <c r="L505" s="15" t="n"/>
      <c r="N505" s="15" t="n"/>
      <c r="O505" s="16" t="n"/>
      <c r="P505" s="16" t="n"/>
      <c r="Q505" s="16" t="n"/>
      <c r="W505" s="12">
        <f>IF(AND(K505&lt;&gt;"",L505&lt;&gt;""),ROUND((L505-K505)/30.4375,1),"")</f>
        <v/>
      </c>
      <c r="X505" s="12">
        <f>IF(OR(A505="",M505="En ejecución",L505=""),"",YEAR(L505))</f>
        <v/>
      </c>
      <c r="Y505" s="13">
        <f>IF(X505="","",IFERROR(VLOOKUP(X505,SMMLV!$A$2:$B$38,2,FALSE),""))</f>
        <v/>
      </c>
      <c r="Z505" s="17">
        <f>IF(OR(Y505="",P505=""),"",ROUND(P505/Y505,2))</f>
        <v/>
      </c>
      <c r="AA505" s="13">
        <f>IF(Z505="","",ROUND(Z505*SMMLV!$E$4,0))</f>
        <v/>
      </c>
      <c r="AB505" s="13">
        <f>IF(AND(M505="En ejecución",P505&lt;&gt;"",Q505&lt;&gt;""),MAX(P505-Q505,0),"")</f>
        <v/>
      </c>
      <c r="AC505" s="12">
        <f>IF(A505="","",IF(B505="","Falta número de contrato; ","")&amp;IF(C505="","Falta entidad; ","")&amp;IF(E505="","Falta objeto; ","")&amp;IF(F505="","Falta especialidad; ","")&amp;IF(K505="","Falta fecha de inicio (recomendada); ","")&amp;IF(AND(M505&lt;&gt;"En ejecución",L505=""),"Falta fecha de terminación; ","")&amp;IF(AND(K505&lt;&gt;"",L505&lt;&gt;"",L505&lt;K505),"Terminación anterior al inicio; ","")&amp;IF(M505="","Falta estado; ","")&amp;IF(OR(P505="",P505&lt;=0),"Falta valor del contrato; ","")&amp;IF(AND(M505="En ejecución",Q505=""),"En ejecución sin valor ejecutado; ","")&amp;IF(AND(M505="En ejecución",L505&lt;&gt;"",L505&lt;TODAY()),"Dice en ejecución pero su terminación ya pasó; ","")&amp;IF(M505="En ejecución","En ejecución: no acredita experiencia; ","")&amp;IF(AND(M505&lt;&gt;"En ejecución",L505&lt;&gt;"",X505&lt;&gt;"",Y505=""),"El año no está en la hoja SMMLV; ","")&amp;IF(AND(B505&lt;&gt;"",COUNTIFS($B$2:$B$601,B505,$C$2:$C$601,C505)&gt;1),"Posible duplicado (mismo número y entidad); ","")&amp;IF(COUNTIF(PARTICIPACIONES!$A$2:$A$601,A505)=0,"Sin participaciones; ","")&amp;IF(SUMIFS(PARTICIPACIONES!$E$2:$E$601,PARTICIPACIONES!$A$2:$A$601,A505)&gt;1.0001,"Las participaciones suman más de 100 %; ",""))</f>
        <v/>
      </c>
    </row>
    <row r="506">
      <c r="J506" s="15" t="n"/>
      <c r="K506" s="15" t="n"/>
      <c r="L506" s="15" t="n"/>
      <c r="N506" s="15" t="n"/>
      <c r="O506" s="16" t="n"/>
      <c r="P506" s="16" t="n"/>
      <c r="Q506" s="16" t="n"/>
      <c r="W506" s="12">
        <f>IF(AND(K506&lt;&gt;"",L506&lt;&gt;""),ROUND((L506-K506)/30.4375,1),"")</f>
        <v/>
      </c>
      <c r="X506" s="12">
        <f>IF(OR(A506="",M506="En ejecución",L506=""),"",YEAR(L506))</f>
        <v/>
      </c>
      <c r="Y506" s="13">
        <f>IF(X506="","",IFERROR(VLOOKUP(X506,SMMLV!$A$2:$B$38,2,FALSE),""))</f>
        <v/>
      </c>
      <c r="Z506" s="17">
        <f>IF(OR(Y506="",P506=""),"",ROUND(P506/Y506,2))</f>
        <v/>
      </c>
      <c r="AA506" s="13">
        <f>IF(Z506="","",ROUND(Z506*SMMLV!$E$4,0))</f>
        <v/>
      </c>
      <c r="AB506" s="13">
        <f>IF(AND(M506="En ejecución",P506&lt;&gt;"",Q506&lt;&gt;""),MAX(P506-Q506,0),"")</f>
        <v/>
      </c>
      <c r="AC506" s="12">
        <f>IF(A506="","",IF(B506="","Falta número de contrato; ","")&amp;IF(C506="","Falta entidad; ","")&amp;IF(E506="","Falta objeto; ","")&amp;IF(F506="","Falta especialidad; ","")&amp;IF(K506="","Falta fecha de inicio (recomendada); ","")&amp;IF(AND(M506&lt;&gt;"En ejecución",L506=""),"Falta fecha de terminación; ","")&amp;IF(AND(K506&lt;&gt;"",L506&lt;&gt;"",L506&lt;K506),"Terminación anterior al inicio; ","")&amp;IF(M506="","Falta estado; ","")&amp;IF(OR(P506="",P506&lt;=0),"Falta valor del contrato; ","")&amp;IF(AND(M506="En ejecución",Q506=""),"En ejecución sin valor ejecutado; ","")&amp;IF(AND(M506="En ejecución",L506&lt;&gt;"",L506&lt;TODAY()),"Dice en ejecución pero su terminación ya pasó; ","")&amp;IF(M506="En ejecución","En ejecución: no acredita experiencia; ","")&amp;IF(AND(M506&lt;&gt;"En ejecución",L506&lt;&gt;"",X506&lt;&gt;"",Y506=""),"El año no está en la hoja SMMLV; ","")&amp;IF(AND(B506&lt;&gt;"",COUNTIFS($B$2:$B$601,B506,$C$2:$C$601,C506)&gt;1),"Posible duplicado (mismo número y entidad); ","")&amp;IF(COUNTIF(PARTICIPACIONES!$A$2:$A$601,A506)=0,"Sin participaciones; ","")&amp;IF(SUMIFS(PARTICIPACIONES!$E$2:$E$601,PARTICIPACIONES!$A$2:$A$601,A506)&gt;1.0001,"Las participaciones suman más de 100 %; ",""))</f>
        <v/>
      </c>
    </row>
    <row r="507">
      <c r="J507" s="15" t="n"/>
      <c r="K507" s="15" t="n"/>
      <c r="L507" s="15" t="n"/>
      <c r="N507" s="15" t="n"/>
      <c r="O507" s="16" t="n"/>
      <c r="P507" s="16" t="n"/>
      <c r="Q507" s="16" t="n"/>
      <c r="W507" s="12">
        <f>IF(AND(K507&lt;&gt;"",L507&lt;&gt;""),ROUND((L507-K507)/30.4375,1),"")</f>
        <v/>
      </c>
      <c r="X507" s="12">
        <f>IF(OR(A507="",M507="En ejecución",L507=""),"",YEAR(L507))</f>
        <v/>
      </c>
      <c r="Y507" s="13">
        <f>IF(X507="","",IFERROR(VLOOKUP(X507,SMMLV!$A$2:$B$38,2,FALSE),""))</f>
        <v/>
      </c>
      <c r="Z507" s="17">
        <f>IF(OR(Y507="",P507=""),"",ROUND(P507/Y507,2))</f>
        <v/>
      </c>
      <c r="AA507" s="13">
        <f>IF(Z507="","",ROUND(Z507*SMMLV!$E$4,0))</f>
        <v/>
      </c>
      <c r="AB507" s="13">
        <f>IF(AND(M507="En ejecución",P507&lt;&gt;"",Q507&lt;&gt;""),MAX(P507-Q507,0),"")</f>
        <v/>
      </c>
      <c r="AC507" s="12">
        <f>IF(A507="","",IF(B507="","Falta número de contrato; ","")&amp;IF(C507="","Falta entidad; ","")&amp;IF(E507="","Falta objeto; ","")&amp;IF(F507="","Falta especialidad; ","")&amp;IF(K507="","Falta fecha de inicio (recomendada); ","")&amp;IF(AND(M507&lt;&gt;"En ejecución",L507=""),"Falta fecha de terminación; ","")&amp;IF(AND(K507&lt;&gt;"",L507&lt;&gt;"",L507&lt;K507),"Terminación anterior al inicio; ","")&amp;IF(M507="","Falta estado; ","")&amp;IF(OR(P507="",P507&lt;=0),"Falta valor del contrato; ","")&amp;IF(AND(M507="En ejecución",Q507=""),"En ejecución sin valor ejecutado; ","")&amp;IF(AND(M507="En ejecución",L507&lt;&gt;"",L507&lt;TODAY()),"Dice en ejecución pero su terminación ya pasó; ","")&amp;IF(M507="En ejecución","En ejecución: no acredita experiencia; ","")&amp;IF(AND(M507&lt;&gt;"En ejecución",L507&lt;&gt;"",X507&lt;&gt;"",Y507=""),"El año no está en la hoja SMMLV; ","")&amp;IF(AND(B507&lt;&gt;"",COUNTIFS($B$2:$B$601,B507,$C$2:$C$601,C507)&gt;1),"Posible duplicado (mismo número y entidad); ","")&amp;IF(COUNTIF(PARTICIPACIONES!$A$2:$A$601,A507)=0,"Sin participaciones; ","")&amp;IF(SUMIFS(PARTICIPACIONES!$E$2:$E$601,PARTICIPACIONES!$A$2:$A$601,A507)&gt;1.0001,"Las participaciones suman más de 100 %; ",""))</f>
        <v/>
      </c>
    </row>
    <row r="508">
      <c r="J508" s="15" t="n"/>
      <c r="K508" s="15" t="n"/>
      <c r="L508" s="15" t="n"/>
      <c r="N508" s="15" t="n"/>
      <c r="O508" s="16" t="n"/>
      <c r="P508" s="16" t="n"/>
      <c r="Q508" s="16" t="n"/>
      <c r="W508" s="12">
        <f>IF(AND(K508&lt;&gt;"",L508&lt;&gt;""),ROUND((L508-K508)/30.4375,1),"")</f>
        <v/>
      </c>
      <c r="X508" s="12">
        <f>IF(OR(A508="",M508="En ejecución",L508=""),"",YEAR(L508))</f>
        <v/>
      </c>
      <c r="Y508" s="13">
        <f>IF(X508="","",IFERROR(VLOOKUP(X508,SMMLV!$A$2:$B$38,2,FALSE),""))</f>
        <v/>
      </c>
      <c r="Z508" s="17">
        <f>IF(OR(Y508="",P508=""),"",ROUND(P508/Y508,2))</f>
        <v/>
      </c>
      <c r="AA508" s="13">
        <f>IF(Z508="","",ROUND(Z508*SMMLV!$E$4,0))</f>
        <v/>
      </c>
      <c r="AB508" s="13">
        <f>IF(AND(M508="En ejecución",P508&lt;&gt;"",Q508&lt;&gt;""),MAX(P508-Q508,0),"")</f>
        <v/>
      </c>
      <c r="AC508" s="12">
        <f>IF(A508="","",IF(B508="","Falta número de contrato; ","")&amp;IF(C508="","Falta entidad; ","")&amp;IF(E508="","Falta objeto; ","")&amp;IF(F508="","Falta especialidad; ","")&amp;IF(K508="","Falta fecha de inicio (recomendada); ","")&amp;IF(AND(M508&lt;&gt;"En ejecución",L508=""),"Falta fecha de terminación; ","")&amp;IF(AND(K508&lt;&gt;"",L508&lt;&gt;"",L508&lt;K508),"Terminación anterior al inicio; ","")&amp;IF(M508="","Falta estado; ","")&amp;IF(OR(P508="",P508&lt;=0),"Falta valor del contrato; ","")&amp;IF(AND(M508="En ejecución",Q508=""),"En ejecución sin valor ejecutado; ","")&amp;IF(AND(M508="En ejecución",L508&lt;&gt;"",L508&lt;TODAY()),"Dice en ejecución pero su terminación ya pasó; ","")&amp;IF(M508="En ejecución","En ejecución: no acredita experiencia; ","")&amp;IF(AND(M508&lt;&gt;"En ejecución",L508&lt;&gt;"",X508&lt;&gt;"",Y508=""),"El año no está en la hoja SMMLV; ","")&amp;IF(AND(B508&lt;&gt;"",COUNTIFS($B$2:$B$601,B508,$C$2:$C$601,C508)&gt;1),"Posible duplicado (mismo número y entidad); ","")&amp;IF(COUNTIF(PARTICIPACIONES!$A$2:$A$601,A508)=0,"Sin participaciones; ","")&amp;IF(SUMIFS(PARTICIPACIONES!$E$2:$E$601,PARTICIPACIONES!$A$2:$A$601,A508)&gt;1.0001,"Las participaciones suman más de 100 %; ",""))</f>
        <v/>
      </c>
    </row>
    <row r="509">
      <c r="J509" s="15" t="n"/>
      <c r="K509" s="15" t="n"/>
      <c r="L509" s="15" t="n"/>
      <c r="N509" s="15" t="n"/>
      <c r="O509" s="16" t="n"/>
      <c r="P509" s="16" t="n"/>
      <c r="Q509" s="16" t="n"/>
      <c r="W509" s="12">
        <f>IF(AND(K509&lt;&gt;"",L509&lt;&gt;""),ROUND((L509-K509)/30.4375,1),"")</f>
        <v/>
      </c>
      <c r="X509" s="12">
        <f>IF(OR(A509="",M509="En ejecución",L509=""),"",YEAR(L509))</f>
        <v/>
      </c>
      <c r="Y509" s="13">
        <f>IF(X509="","",IFERROR(VLOOKUP(X509,SMMLV!$A$2:$B$38,2,FALSE),""))</f>
        <v/>
      </c>
      <c r="Z509" s="17">
        <f>IF(OR(Y509="",P509=""),"",ROUND(P509/Y509,2))</f>
        <v/>
      </c>
      <c r="AA509" s="13">
        <f>IF(Z509="","",ROUND(Z509*SMMLV!$E$4,0))</f>
        <v/>
      </c>
      <c r="AB509" s="13">
        <f>IF(AND(M509="En ejecución",P509&lt;&gt;"",Q509&lt;&gt;""),MAX(P509-Q509,0),"")</f>
        <v/>
      </c>
      <c r="AC509" s="12">
        <f>IF(A509="","",IF(B509="","Falta número de contrato; ","")&amp;IF(C509="","Falta entidad; ","")&amp;IF(E509="","Falta objeto; ","")&amp;IF(F509="","Falta especialidad; ","")&amp;IF(K509="","Falta fecha de inicio (recomendada); ","")&amp;IF(AND(M509&lt;&gt;"En ejecución",L509=""),"Falta fecha de terminación; ","")&amp;IF(AND(K509&lt;&gt;"",L509&lt;&gt;"",L509&lt;K509),"Terminación anterior al inicio; ","")&amp;IF(M509="","Falta estado; ","")&amp;IF(OR(P509="",P509&lt;=0),"Falta valor del contrato; ","")&amp;IF(AND(M509="En ejecución",Q509=""),"En ejecución sin valor ejecutado; ","")&amp;IF(AND(M509="En ejecución",L509&lt;&gt;"",L509&lt;TODAY()),"Dice en ejecución pero su terminación ya pasó; ","")&amp;IF(M509="En ejecución","En ejecución: no acredita experiencia; ","")&amp;IF(AND(M509&lt;&gt;"En ejecución",L509&lt;&gt;"",X509&lt;&gt;"",Y509=""),"El año no está en la hoja SMMLV; ","")&amp;IF(AND(B509&lt;&gt;"",COUNTIFS($B$2:$B$601,B509,$C$2:$C$601,C509)&gt;1),"Posible duplicado (mismo número y entidad); ","")&amp;IF(COUNTIF(PARTICIPACIONES!$A$2:$A$601,A509)=0,"Sin participaciones; ","")&amp;IF(SUMIFS(PARTICIPACIONES!$E$2:$E$601,PARTICIPACIONES!$A$2:$A$601,A509)&gt;1.0001,"Las participaciones suman más de 100 %; ",""))</f>
        <v/>
      </c>
    </row>
    <row r="510">
      <c r="J510" s="15" t="n"/>
      <c r="K510" s="15" t="n"/>
      <c r="L510" s="15" t="n"/>
      <c r="N510" s="15" t="n"/>
      <c r="O510" s="16" t="n"/>
      <c r="P510" s="16" t="n"/>
      <c r="Q510" s="16" t="n"/>
      <c r="W510" s="12">
        <f>IF(AND(K510&lt;&gt;"",L510&lt;&gt;""),ROUND((L510-K510)/30.4375,1),"")</f>
        <v/>
      </c>
      <c r="X510" s="12">
        <f>IF(OR(A510="",M510="En ejecución",L510=""),"",YEAR(L510))</f>
        <v/>
      </c>
      <c r="Y510" s="13">
        <f>IF(X510="","",IFERROR(VLOOKUP(X510,SMMLV!$A$2:$B$38,2,FALSE),""))</f>
        <v/>
      </c>
      <c r="Z510" s="17">
        <f>IF(OR(Y510="",P510=""),"",ROUND(P510/Y510,2))</f>
        <v/>
      </c>
      <c r="AA510" s="13">
        <f>IF(Z510="","",ROUND(Z510*SMMLV!$E$4,0))</f>
        <v/>
      </c>
      <c r="AB510" s="13">
        <f>IF(AND(M510="En ejecución",P510&lt;&gt;"",Q510&lt;&gt;""),MAX(P510-Q510,0),"")</f>
        <v/>
      </c>
      <c r="AC510" s="12">
        <f>IF(A510="","",IF(B510="","Falta número de contrato; ","")&amp;IF(C510="","Falta entidad; ","")&amp;IF(E510="","Falta objeto; ","")&amp;IF(F510="","Falta especialidad; ","")&amp;IF(K510="","Falta fecha de inicio (recomendada); ","")&amp;IF(AND(M510&lt;&gt;"En ejecución",L510=""),"Falta fecha de terminación; ","")&amp;IF(AND(K510&lt;&gt;"",L510&lt;&gt;"",L510&lt;K510),"Terminación anterior al inicio; ","")&amp;IF(M510="","Falta estado; ","")&amp;IF(OR(P510="",P510&lt;=0),"Falta valor del contrato; ","")&amp;IF(AND(M510="En ejecución",Q510=""),"En ejecución sin valor ejecutado; ","")&amp;IF(AND(M510="En ejecución",L510&lt;&gt;"",L510&lt;TODAY()),"Dice en ejecución pero su terminación ya pasó; ","")&amp;IF(M510="En ejecución","En ejecución: no acredita experiencia; ","")&amp;IF(AND(M510&lt;&gt;"En ejecución",L510&lt;&gt;"",X510&lt;&gt;"",Y510=""),"El año no está en la hoja SMMLV; ","")&amp;IF(AND(B510&lt;&gt;"",COUNTIFS($B$2:$B$601,B510,$C$2:$C$601,C510)&gt;1),"Posible duplicado (mismo número y entidad); ","")&amp;IF(COUNTIF(PARTICIPACIONES!$A$2:$A$601,A510)=0,"Sin participaciones; ","")&amp;IF(SUMIFS(PARTICIPACIONES!$E$2:$E$601,PARTICIPACIONES!$A$2:$A$601,A510)&gt;1.0001,"Las participaciones suman más de 100 %; ",""))</f>
        <v/>
      </c>
    </row>
    <row r="511">
      <c r="J511" s="15" t="n"/>
      <c r="K511" s="15" t="n"/>
      <c r="L511" s="15" t="n"/>
      <c r="N511" s="15" t="n"/>
      <c r="O511" s="16" t="n"/>
      <c r="P511" s="16" t="n"/>
      <c r="Q511" s="16" t="n"/>
      <c r="W511" s="12">
        <f>IF(AND(K511&lt;&gt;"",L511&lt;&gt;""),ROUND((L511-K511)/30.4375,1),"")</f>
        <v/>
      </c>
      <c r="X511" s="12">
        <f>IF(OR(A511="",M511="En ejecución",L511=""),"",YEAR(L511))</f>
        <v/>
      </c>
      <c r="Y511" s="13">
        <f>IF(X511="","",IFERROR(VLOOKUP(X511,SMMLV!$A$2:$B$38,2,FALSE),""))</f>
        <v/>
      </c>
      <c r="Z511" s="17">
        <f>IF(OR(Y511="",P511=""),"",ROUND(P511/Y511,2))</f>
        <v/>
      </c>
      <c r="AA511" s="13">
        <f>IF(Z511="","",ROUND(Z511*SMMLV!$E$4,0))</f>
        <v/>
      </c>
      <c r="AB511" s="13">
        <f>IF(AND(M511="En ejecución",P511&lt;&gt;"",Q511&lt;&gt;""),MAX(P511-Q511,0),"")</f>
        <v/>
      </c>
      <c r="AC511" s="12">
        <f>IF(A511="","",IF(B511="","Falta número de contrato; ","")&amp;IF(C511="","Falta entidad; ","")&amp;IF(E511="","Falta objeto; ","")&amp;IF(F511="","Falta especialidad; ","")&amp;IF(K511="","Falta fecha de inicio (recomendada); ","")&amp;IF(AND(M511&lt;&gt;"En ejecución",L511=""),"Falta fecha de terminación; ","")&amp;IF(AND(K511&lt;&gt;"",L511&lt;&gt;"",L511&lt;K511),"Terminación anterior al inicio; ","")&amp;IF(M511="","Falta estado; ","")&amp;IF(OR(P511="",P511&lt;=0),"Falta valor del contrato; ","")&amp;IF(AND(M511="En ejecución",Q511=""),"En ejecución sin valor ejecutado; ","")&amp;IF(AND(M511="En ejecución",L511&lt;&gt;"",L511&lt;TODAY()),"Dice en ejecución pero su terminación ya pasó; ","")&amp;IF(M511="En ejecución","En ejecución: no acredita experiencia; ","")&amp;IF(AND(M511&lt;&gt;"En ejecución",L511&lt;&gt;"",X511&lt;&gt;"",Y511=""),"El año no está en la hoja SMMLV; ","")&amp;IF(AND(B511&lt;&gt;"",COUNTIFS($B$2:$B$601,B511,$C$2:$C$601,C511)&gt;1),"Posible duplicado (mismo número y entidad); ","")&amp;IF(COUNTIF(PARTICIPACIONES!$A$2:$A$601,A511)=0,"Sin participaciones; ","")&amp;IF(SUMIFS(PARTICIPACIONES!$E$2:$E$601,PARTICIPACIONES!$A$2:$A$601,A511)&gt;1.0001,"Las participaciones suman más de 100 %; ",""))</f>
        <v/>
      </c>
    </row>
    <row r="512">
      <c r="J512" s="15" t="n"/>
      <c r="K512" s="15" t="n"/>
      <c r="L512" s="15" t="n"/>
      <c r="N512" s="15" t="n"/>
      <c r="O512" s="16" t="n"/>
      <c r="P512" s="16" t="n"/>
      <c r="Q512" s="16" t="n"/>
      <c r="W512" s="12">
        <f>IF(AND(K512&lt;&gt;"",L512&lt;&gt;""),ROUND((L512-K512)/30.4375,1),"")</f>
        <v/>
      </c>
      <c r="X512" s="12">
        <f>IF(OR(A512="",M512="En ejecución",L512=""),"",YEAR(L512))</f>
        <v/>
      </c>
      <c r="Y512" s="13">
        <f>IF(X512="","",IFERROR(VLOOKUP(X512,SMMLV!$A$2:$B$38,2,FALSE),""))</f>
        <v/>
      </c>
      <c r="Z512" s="17">
        <f>IF(OR(Y512="",P512=""),"",ROUND(P512/Y512,2))</f>
        <v/>
      </c>
      <c r="AA512" s="13">
        <f>IF(Z512="","",ROUND(Z512*SMMLV!$E$4,0))</f>
        <v/>
      </c>
      <c r="AB512" s="13">
        <f>IF(AND(M512="En ejecución",P512&lt;&gt;"",Q512&lt;&gt;""),MAX(P512-Q512,0),"")</f>
        <v/>
      </c>
      <c r="AC512" s="12">
        <f>IF(A512="","",IF(B512="","Falta número de contrato; ","")&amp;IF(C512="","Falta entidad; ","")&amp;IF(E512="","Falta objeto; ","")&amp;IF(F512="","Falta especialidad; ","")&amp;IF(K512="","Falta fecha de inicio (recomendada); ","")&amp;IF(AND(M512&lt;&gt;"En ejecución",L512=""),"Falta fecha de terminación; ","")&amp;IF(AND(K512&lt;&gt;"",L512&lt;&gt;"",L512&lt;K512),"Terminación anterior al inicio; ","")&amp;IF(M512="","Falta estado; ","")&amp;IF(OR(P512="",P512&lt;=0),"Falta valor del contrato; ","")&amp;IF(AND(M512="En ejecución",Q512=""),"En ejecución sin valor ejecutado; ","")&amp;IF(AND(M512="En ejecución",L512&lt;&gt;"",L512&lt;TODAY()),"Dice en ejecución pero su terminación ya pasó; ","")&amp;IF(M512="En ejecución","En ejecución: no acredita experiencia; ","")&amp;IF(AND(M512&lt;&gt;"En ejecución",L512&lt;&gt;"",X512&lt;&gt;"",Y512=""),"El año no está en la hoja SMMLV; ","")&amp;IF(AND(B512&lt;&gt;"",COUNTIFS($B$2:$B$601,B512,$C$2:$C$601,C512)&gt;1),"Posible duplicado (mismo número y entidad); ","")&amp;IF(COUNTIF(PARTICIPACIONES!$A$2:$A$601,A512)=0,"Sin participaciones; ","")&amp;IF(SUMIFS(PARTICIPACIONES!$E$2:$E$601,PARTICIPACIONES!$A$2:$A$601,A512)&gt;1.0001,"Las participaciones suman más de 100 %; ",""))</f>
        <v/>
      </c>
    </row>
    <row r="513">
      <c r="J513" s="15" t="n"/>
      <c r="K513" s="15" t="n"/>
      <c r="L513" s="15" t="n"/>
      <c r="N513" s="15" t="n"/>
      <c r="O513" s="16" t="n"/>
      <c r="P513" s="16" t="n"/>
      <c r="Q513" s="16" t="n"/>
      <c r="W513" s="12">
        <f>IF(AND(K513&lt;&gt;"",L513&lt;&gt;""),ROUND((L513-K513)/30.4375,1),"")</f>
        <v/>
      </c>
      <c r="X513" s="12">
        <f>IF(OR(A513="",M513="En ejecución",L513=""),"",YEAR(L513))</f>
        <v/>
      </c>
      <c r="Y513" s="13">
        <f>IF(X513="","",IFERROR(VLOOKUP(X513,SMMLV!$A$2:$B$38,2,FALSE),""))</f>
        <v/>
      </c>
      <c r="Z513" s="17">
        <f>IF(OR(Y513="",P513=""),"",ROUND(P513/Y513,2))</f>
        <v/>
      </c>
      <c r="AA513" s="13">
        <f>IF(Z513="","",ROUND(Z513*SMMLV!$E$4,0))</f>
        <v/>
      </c>
      <c r="AB513" s="13">
        <f>IF(AND(M513="En ejecución",P513&lt;&gt;"",Q513&lt;&gt;""),MAX(P513-Q513,0),"")</f>
        <v/>
      </c>
      <c r="AC513" s="12">
        <f>IF(A513="","",IF(B513="","Falta número de contrato; ","")&amp;IF(C513="","Falta entidad; ","")&amp;IF(E513="","Falta objeto; ","")&amp;IF(F513="","Falta especialidad; ","")&amp;IF(K513="","Falta fecha de inicio (recomendada); ","")&amp;IF(AND(M513&lt;&gt;"En ejecución",L513=""),"Falta fecha de terminación; ","")&amp;IF(AND(K513&lt;&gt;"",L513&lt;&gt;"",L513&lt;K513),"Terminación anterior al inicio; ","")&amp;IF(M513="","Falta estado; ","")&amp;IF(OR(P513="",P513&lt;=0),"Falta valor del contrato; ","")&amp;IF(AND(M513="En ejecución",Q513=""),"En ejecución sin valor ejecutado; ","")&amp;IF(AND(M513="En ejecución",L513&lt;&gt;"",L513&lt;TODAY()),"Dice en ejecución pero su terminación ya pasó; ","")&amp;IF(M513="En ejecución","En ejecución: no acredita experiencia; ","")&amp;IF(AND(M513&lt;&gt;"En ejecución",L513&lt;&gt;"",X513&lt;&gt;"",Y513=""),"El año no está en la hoja SMMLV; ","")&amp;IF(AND(B513&lt;&gt;"",COUNTIFS($B$2:$B$601,B513,$C$2:$C$601,C513)&gt;1),"Posible duplicado (mismo número y entidad); ","")&amp;IF(COUNTIF(PARTICIPACIONES!$A$2:$A$601,A513)=0,"Sin participaciones; ","")&amp;IF(SUMIFS(PARTICIPACIONES!$E$2:$E$601,PARTICIPACIONES!$A$2:$A$601,A513)&gt;1.0001,"Las participaciones suman más de 100 %; ",""))</f>
        <v/>
      </c>
    </row>
    <row r="514">
      <c r="J514" s="15" t="n"/>
      <c r="K514" s="15" t="n"/>
      <c r="L514" s="15" t="n"/>
      <c r="N514" s="15" t="n"/>
      <c r="O514" s="16" t="n"/>
      <c r="P514" s="16" t="n"/>
      <c r="Q514" s="16" t="n"/>
      <c r="W514" s="12">
        <f>IF(AND(K514&lt;&gt;"",L514&lt;&gt;""),ROUND((L514-K514)/30.4375,1),"")</f>
        <v/>
      </c>
      <c r="X514" s="12">
        <f>IF(OR(A514="",M514="En ejecución",L514=""),"",YEAR(L514))</f>
        <v/>
      </c>
      <c r="Y514" s="13">
        <f>IF(X514="","",IFERROR(VLOOKUP(X514,SMMLV!$A$2:$B$38,2,FALSE),""))</f>
        <v/>
      </c>
      <c r="Z514" s="17">
        <f>IF(OR(Y514="",P514=""),"",ROUND(P514/Y514,2))</f>
        <v/>
      </c>
      <c r="AA514" s="13">
        <f>IF(Z514="","",ROUND(Z514*SMMLV!$E$4,0))</f>
        <v/>
      </c>
      <c r="AB514" s="13">
        <f>IF(AND(M514="En ejecución",P514&lt;&gt;"",Q514&lt;&gt;""),MAX(P514-Q514,0),"")</f>
        <v/>
      </c>
      <c r="AC514" s="12">
        <f>IF(A514="","",IF(B514="","Falta número de contrato; ","")&amp;IF(C514="","Falta entidad; ","")&amp;IF(E514="","Falta objeto; ","")&amp;IF(F514="","Falta especialidad; ","")&amp;IF(K514="","Falta fecha de inicio (recomendada); ","")&amp;IF(AND(M514&lt;&gt;"En ejecución",L514=""),"Falta fecha de terminación; ","")&amp;IF(AND(K514&lt;&gt;"",L514&lt;&gt;"",L514&lt;K514),"Terminación anterior al inicio; ","")&amp;IF(M514="","Falta estado; ","")&amp;IF(OR(P514="",P514&lt;=0),"Falta valor del contrato; ","")&amp;IF(AND(M514="En ejecución",Q514=""),"En ejecución sin valor ejecutado; ","")&amp;IF(AND(M514="En ejecución",L514&lt;&gt;"",L514&lt;TODAY()),"Dice en ejecución pero su terminación ya pasó; ","")&amp;IF(M514="En ejecución","En ejecución: no acredita experiencia; ","")&amp;IF(AND(M514&lt;&gt;"En ejecución",L514&lt;&gt;"",X514&lt;&gt;"",Y514=""),"El año no está en la hoja SMMLV; ","")&amp;IF(AND(B514&lt;&gt;"",COUNTIFS($B$2:$B$601,B514,$C$2:$C$601,C514)&gt;1),"Posible duplicado (mismo número y entidad); ","")&amp;IF(COUNTIF(PARTICIPACIONES!$A$2:$A$601,A514)=0,"Sin participaciones; ","")&amp;IF(SUMIFS(PARTICIPACIONES!$E$2:$E$601,PARTICIPACIONES!$A$2:$A$601,A514)&gt;1.0001,"Las participaciones suman más de 100 %; ",""))</f>
        <v/>
      </c>
    </row>
    <row r="515">
      <c r="J515" s="15" t="n"/>
      <c r="K515" s="15" t="n"/>
      <c r="L515" s="15" t="n"/>
      <c r="N515" s="15" t="n"/>
      <c r="O515" s="16" t="n"/>
      <c r="P515" s="16" t="n"/>
      <c r="Q515" s="16" t="n"/>
      <c r="W515" s="12">
        <f>IF(AND(K515&lt;&gt;"",L515&lt;&gt;""),ROUND((L515-K515)/30.4375,1),"")</f>
        <v/>
      </c>
      <c r="X515" s="12">
        <f>IF(OR(A515="",M515="En ejecución",L515=""),"",YEAR(L515))</f>
        <v/>
      </c>
      <c r="Y515" s="13">
        <f>IF(X515="","",IFERROR(VLOOKUP(X515,SMMLV!$A$2:$B$38,2,FALSE),""))</f>
        <v/>
      </c>
      <c r="Z515" s="17">
        <f>IF(OR(Y515="",P515=""),"",ROUND(P515/Y515,2))</f>
        <v/>
      </c>
      <c r="AA515" s="13">
        <f>IF(Z515="","",ROUND(Z515*SMMLV!$E$4,0))</f>
        <v/>
      </c>
      <c r="AB515" s="13">
        <f>IF(AND(M515="En ejecución",P515&lt;&gt;"",Q515&lt;&gt;""),MAX(P515-Q515,0),"")</f>
        <v/>
      </c>
      <c r="AC515" s="12">
        <f>IF(A515="","",IF(B515="","Falta número de contrato; ","")&amp;IF(C515="","Falta entidad; ","")&amp;IF(E515="","Falta objeto; ","")&amp;IF(F515="","Falta especialidad; ","")&amp;IF(K515="","Falta fecha de inicio (recomendada); ","")&amp;IF(AND(M515&lt;&gt;"En ejecución",L515=""),"Falta fecha de terminación; ","")&amp;IF(AND(K515&lt;&gt;"",L515&lt;&gt;"",L515&lt;K515),"Terminación anterior al inicio; ","")&amp;IF(M515="","Falta estado; ","")&amp;IF(OR(P515="",P515&lt;=0),"Falta valor del contrato; ","")&amp;IF(AND(M515="En ejecución",Q515=""),"En ejecución sin valor ejecutado; ","")&amp;IF(AND(M515="En ejecución",L515&lt;&gt;"",L515&lt;TODAY()),"Dice en ejecución pero su terminación ya pasó; ","")&amp;IF(M515="En ejecución","En ejecución: no acredita experiencia; ","")&amp;IF(AND(M515&lt;&gt;"En ejecución",L515&lt;&gt;"",X515&lt;&gt;"",Y515=""),"El año no está en la hoja SMMLV; ","")&amp;IF(AND(B515&lt;&gt;"",COUNTIFS($B$2:$B$601,B515,$C$2:$C$601,C515)&gt;1),"Posible duplicado (mismo número y entidad); ","")&amp;IF(COUNTIF(PARTICIPACIONES!$A$2:$A$601,A515)=0,"Sin participaciones; ","")&amp;IF(SUMIFS(PARTICIPACIONES!$E$2:$E$601,PARTICIPACIONES!$A$2:$A$601,A515)&gt;1.0001,"Las participaciones suman más de 100 %; ",""))</f>
        <v/>
      </c>
    </row>
    <row r="516">
      <c r="J516" s="15" t="n"/>
      <c r="K516" s="15" t="n"/>
      <c r="L516" s="15" t="n"/>
      <c r="N516" s="15" t="n"/>
      <c r="O516" s="16" t="n"/>
      <c r="P516" s="16" t="n"/>
      <c r="Q516" s="16" t="n"/>
      <c r="W516" s="12">
        <f>IF(AND(K516&lt;&gt;"",L516&lt;&gt;""),ROUND((L516-K516)/30.4375,1),"")</f>
        <v/>
      </c>
      <c r="X516" s="12">
        <f>IF(OR(A516="",M516="En ejecución",L516=""),"",YEAR(L516))</f>
        <v/>
      </c>
      <c r="Y516" s="13">
        <f>IF(X516="","",IFERROR(VLOOKUP(X516,SMMLV!$A$2:$B$38,2,FALSE),""))</f>
        <v/>
      </c>
      <c r="Z516" s="17">
        <f>IF(OR(Y516="",P516=""),"",ROUND(P516/Y516,2))</f>
        <v/>
      </c>
      <c r="AA516" s="13">
        <f>IF(Z516="","",ROUND(Z516*SMMLV!$E$4,0))</f>
        <v/>
      </c>
      <c r="AB516" s="13">
        <f>IF(AND(M516="En ejecución",P516&lt;&gt;"",Q516&lt;&gt;""),MAX(P516-Q516,0),"")</f>
        <v/>
      </c>
      <c r="AC516" s="12">
        <f>IF(A516="","",IF(B516="","Falta número de contrato; ","")&amp;IF(C516="","Falta entidad; ","")&amp;IF(E516="","Falta objeto; ","")&amp;IF(F516="","Falta especialidad; ","")&amp;IF(K516="","Falta fecha de inicio (recomendada); ","")&amp;IF(AND(M516&lt;&gt;"En ejecución",L516=""),"Falta fecha de terminación; ","")&amp;IF(AND(K516&lt;&gt;"",L516&lt;&gt;"",L516&lt;K516),"Terminación anterior al inicio; ","")&amp;IF(M516="","Falta estado; ","")&amp;IF(OR(P516="",P516&lt;=0),"Falta valor del contrato; ","")&amp;IF(AND(M516="En ejecución",Q516=""),"En ejecución sin valor ejecutado; ","")&amp;IF(AND(M516="En ejecución",L516&lt;&gt;"",L516&lt;TODAY()),"Dice en ejecución pero su terminación ya pasó; ","")&amp;IF(M516="En ejecución","En ejecución: no acredita experiencia; ","")&amp;IF(AND(M516&lt;&gt;"En ejecución",L516&lt;&gt;"",X516&lt;&gt;"",Y516=""),"El año no está en la hoja SMMLV; ","")&amp;IF(AND(B516&lt;&gt;"",COUNTIFS($B$2:$B$601,B516,$C$2:$C$601,C516)&gt;1),"Posible duplicado (mismo número y entidad); ","")&amp;IF(COUNTIF(PARTICIPACIONES!$A$2:$A$601,A516)=0,"Sin participaciones; ","")&amp;IF(SUMIFS(PARTICIPACIONES!$E$2:$E$601,PARTICIPACIONES!$A$2:$A$601,A516)&gt;1.0001,"Las participaciones suman más de 100 %; ",""))</f>
        <v/>
      </c>
    </row>
    <row r="517">
      <c r="J517" s="15" t="n"/>
      <c r="K517" s="15" t="n"/>
      <c r="L517" s="15" t="n"/>
      <c r="N517" s="15" t="n"/>
      <c r="O517" s="16" t="n"/>
      <c r="P517" s="16" t="n"/>
      <c r="Q517" s="16" t="n"/>
      <c r="W517" s="12">
        <f>IF(AND(K517&lt;&gt;"",L517&lt;&gt;""),ROUND((L517-K517)/30.4375,1),"")</f>
        <v/>
      </c>
      <c r="X517" s="12">
        <f>IF(OR(A517="",M517="En ejecución",L517=""),"",YEAR(L517))</f>
        <v/>
      </c>
      <c r="Y517" s="13">
        <f>IF(X517="","",IFERROR(VLOOKUP(X517,SMMLV!$A$2:$B$38,2,FALSE),""))</f>
        <v/>
      </c>
      <c r="Z517" s="17">
        <f>IF(OR(Y517="",P517=""),"",ROUND(P517/Y517,2))</f>
        <v/>
      </c>
      <c r="AA517" s="13">
        <f>IF(Z517="","",ROUND(Z517*SMMLV!$E$4,0))</f>
        <v/>
      </c>
      <c r="AB517" s="13">
        <f>IF(AND(M517="En ejecución",P517&lt;&gt;"",Q517&lt;&gt;""),MAX(P517-Q517,0),"")</f>
        <v/>
      </c>
      <c r="AC517" s="12">
        <f>IF(A517="","",IF(B517="","Falta número de contrato; ","")&amp;IF(C517="","Falta entidad; ","")&amp;IF(E517="","Falta objeto; ","")&amp;IF(F517="","Falta especialidad; ","")&amp;IF(K517="","Falta fecha de inicio (recomendada); ","")&amp;IF(AND(M517&lt;&gt;"En ejecución",L517=""),"Falta fecha de terminación; ","")&amp;IF(AND(K517&lt;&gt;"",L517&lt;&gt;"",L517&lt;K517),"Terminación anterior al inicio; ","")&amp;IF(M517="","Falta estado; ","")&amp;IF(OR(P517="",P517&lt;=0),"Falta valor del contrato; ","")&amp;IF(AND(M517="En ejecución",Q517=""),"En ejecución sin valor ejecutado; ","")&amp;IF(AND(M517="En ejecución",L517&lt;&gt;"",L517&lt;TODAY()),"Dice en ejecución pero su terminación ya pasó; ","")&amp;IF(M517="En ejecución","En ejecución: no acredita experiencia; ","")&amp;IF(AND(M517&lt;&gt;"En ejecución",L517&lt;&gt;"",X517&lt;&gt;"",Y517=""),"El año no está en la hoja SMMLV; ","")&amp;IF(AND(B517&lt;&gt;"",COUNTIFS($B$2:$B$601,B517,$C$2:$C$601,C517)&gt;1),"Posible duplicado (mismo número y entidad); ","")&amp;IF(COUNTIF(PARTICIPACIONES!$A$2:$A$601,A517)=0,"Sin participaciones; ","")&amp;IF(SUMIFS(PARTICIPACIONES!$E$2:$E$601,PARTICIPACIONES!$A$2:$A$601,A517)&gt;1.0001,"Las participaciones suman más de 100 %; ",""))</f>
        <v/>
      </c>
    </row>
    <row r="518">
      <c r="J518" s="15" t="n"/>
      <c r="K518" s="15" t="n"/>
      <c r="L518" s="15" t="n"/>
      <c r="N518" s="15" t="n"/>
      <c r="O518" s="16" t="n"/>
      <c r="P518" s="16" t="n"/>
      <c r="Q518" s="16" t="n"/>
      <c r="W518" s="12">
        <f>IF(AND(K518&lt;&gt;"",L518&lt;&gt;""),ROUND((L518-K518)/30.4375,1),"")</f>
        <v/>
      </c>
      <c r="X518" s="12">
        <f>IF(OR(A518="",M518="En ejecución",L518=""),"",YEAR(L518))</f>
        <v/>
      </c>
      <c r="Y518" s="13">
        <f>IF(X518="","",IFERROR(VLOOKUP(X518,SMMLV!$A$2:$B$38,2,FALSE),""))</f>
        <v/>
      </c>
      <c r="Z518" s="17">
        <f>IF(OR(Y518="",P518=""),"",ROUND(P518/Y518,2))</f>
        <v/>
      </c>
      <c r="AA518" s="13">
        <f>IF(Z518="","",ROUND(Z518*SMMLV!$E$4,0))</f>
        <v/>
      </c>
      <c r="AB518" s="13">
        <f>IF(AND(M518="En ejecución",P518&lt;&gt;"",Q518&lt;&gt;""),MAX(P518-Q518,0),"")</f>
        <v/>
      </c>
      <c r="AC518" s="12">
        <f>IF(A518="","",IF(B518="","Falta número de contrato; ","")&amp;IF(C518="","Falta entidad; ","")&amp;IF(E518="","Falta objeto; ","")&amp;IF(F518="","Falta especialidad; ","")&amp;IF(K518="","Falta fecha de inicio (recomendada); ","")&amp;IF(AND(M518&lt;&gt;"En ejecución",L518=""),"Falta fecha de terminación; ","")&amp;IF(AND(K518&lt;&gt;"",L518&lt;&gt;"",L518&lt;K518),"Terminación anterior al inicio; ","")&amp;IF(M518="","Falta estado; ","")&amp;IF(OR(P518="",P518&lt;=0),"Falta valor del contrato; ","")&amp;IF(AND(M518="En ejecución",Q518=""),"En ejecución sin valor ejecutado; ","")&amp;IF(AND(M518="En ejecución",L518&lt;&gt;"",L518&lt;TODAY()),"Dice en ejecución pero su terminación ya pasó; ","")&amp;IF(M518="En ejecución","En ejecución: no acredita experiencia; ","")&amp;IF(AND(M518&lt;&gt;"En ejecución",L518&lt;&gt;"",X518&lt;&gt;"",Y518=""),"El año no está en la hoja SMMLV; ","")&amp;IF(AND(B518&lt;&gt;"",COUNTIFS($B$2:$B$601,B518,$C$2:$C$601,C518)&gt;1),"Posible duplicado (mismo número y entidad); ","")&amp;IF(COUNTIF(PARTICIPACIONES!$A$2:$A$601,A518)=0,"Sin participaciones; ","")&amp;IF(SUMIFS(PARTICIPACIONES!$E$2:$E$601,PARTICIPACIONES!$A$2:$A$601,A518)&gt;1.0001,"Las participaciones suman más de 100 %; ",""))</f>
        <v/>
      </c>
    </row>
    <row r="519">
      <c r="J519" s="15" t="n"/>
      <c r="K519" s="15" t="n"/>
      <c r="L519" s="15" t="n"/>
      <c r="N519" s="15" t="n"/>
      <c r="O519" s="16" t="n"/>
      <c r="P519" s="16" t="n"/>
      <c r="Q519" s="16" t="n"/>
      <c r="W519" s="12">
        <f>IF(AND(K519&lt;&gt;"",L519&lt;&gt;""),ROUND((L519-K519)/30.4375,1),"")</f>
        <v/>
      </c>
      <c r="X519" s="12">
        <f>IF(OR(A519="",M519="En ejecución",L519=""),"",YEAR(L519))</f>
        <v/>
      </c>
      <c r="Y519" s="13">
        <f>IF(X519="","",IFERROR(VLOOKUP(X519,SMMLV!$A$2:$B$38,2,FALSE),""))</f>
        <v/>
      </c>
      <c r="Z519" s="17">
        <f>IF(OR(Y519="",P519=""),"",ROUND(P519/Y519,2))</f>
        <v/>
      </c>
      <c r="AA519" s="13">
        <f>IF(Z519="","",ROUND(Z519*SMMLV!$E$4,0))</f>
        <v/>
      </c>
      <c r="AB519" s="13">
        <f>IF(AND(M519="En ejecución",P519&lt;&gt;"",Q519&lt;&gt;""),MAX(P519-Q519,0),"")</f>
        <v/>
      </c>
      <c r="AC519" s="12">
        <f>IF(A519="","",IF(B519="","Falta número de contrato; ","")&amp;IF(C519="","Falta entidad; ","")&amp;IF(E519="","Falta objeto; ","")&amp;IF(F519="","Falta especialidad; ","")&amp;IF(K519="","Falta fecha de inicio (recomendada); ","")&amp;IF(AND(M519&lt;&gt;"En ejecución",L519=""),"Falta fecha de terminación; ","")&amp;IF(AND(K519&lt;&gt;"",L519&lt;&gt;"",L519&lt;K519),"Terminación anterior al inicio; ","")&amp;IF(M519="","Falta estado; ","")&amp;IF(OR(P519="",P519&lt;=0),"Falta valor del contrato; ","")&amp;IF(AND(M519="En ejecución",Q519=""),"En ejecución sin valor ejecutado; ","")&amp;IF(AND(M519="En ejecución",L519&lt;&gt;"",L519&lt;TODAY()),"Dice en ejecución pero su terminación ya pasó; ","")&amp;IF(M519="En ejecución","En ejecución: no acredita experiencia; ","")&amp;IF(AND(M519&lt;&gt;"En ejecución",L519&lt;&gt;"",X519&lt;&gt;"",Y519=""),"El año no está en la hoja SMMLV; ","")&amp;IF(AND(B519&lt;&gt;"",COUNTIFS($B$2:$B$601,B519,$C$2:$C$601,C519)&gt;1),"Posible duplicado (mismo número y entidad); ","")&amp;IF(COUNTIF(PARTICIPACIONES!$A$2:$A$601,A519)=0,"Sin participaciones; ","")&amp;IF(SUMIFS(PARTICIPACIONES!$E$2:$E$601,PARTICIPACIONES!$A$2:$A$601,A519)&gt;1.0001,"Las participaciones suman más de 100 %; ",""))</f>
        <v/>
      </c>
    </row>
    <row r="520">
      <c r="J520" s="15" t="n"/>
      <c r="K520" s="15" t="n"/>
      <c r="L520" s="15" t="n"/>
      <c r="N520" s="15" t="n"/>
      <c r="O520" s="16" t="n"/>
      <c r="P520" s="16" t="n"/>
      <c r="Q520" s="16" t="n"/>
      <c r="W520" s="12">
        <f>IF(AND(K520&lt;&gt;"",L520&lt;&gt;""),ROUND((L520-K520)/30.4375,1),"")</f>
        <v/>
      </c>
      <c r="X520" s="12">
        <f>IF(OR(A520="",M520="En ejecución",L520=""),"",YEAR(L520))</f>
        <v/>
      </c>
      <c r="Y520" s="13">
        <f>IF(X520="","",IFERROR(VLOOKUP(X520,SMMLV!$A$2:$B$38,2,FALSE),""))</f>
        <v/>
      </c>
      <c r="Z520" s="17">
        <f>IF(OR(Y520="",P520=""),"",ROUND(P520/Y520,2))</f>
        <v/>
      </c>
      <c r="AA520" s="13">
        <f>IF(Z520="","",ROUND(Z520*SMMLV!$E$4,0))</f>
        <v/>
      </c>
      <c r="AB520" s="13">
        <f>IF(AND(M520="En ejecución",P520&lt;&gt;"",Q520&lt;&gt;""),MAX(P520-Q520,0),"")</f>
        <v/>
      </c>
      <c r="AC520" s="12">
        <f>IF(A520="","",IF(B520="","Falta número de contrato; ","")&amp;IF(C520="","Falta entidad; ","")&amp;IF(E520="","Falta objeto; ","")&amp;IF(F520="","Falta especialidad; ","")&amp;IF(K520="","Falta fecha de inicio (recomendada); ","")&amp;IF(AND(M520&lt;&gt;"En ejecución",L520=""),"Falta fecha de terminación; ","")&amp;IF(AND(K520&lt;&gt;"",L520&lt;&gt;"",L520&lt;K520),"Terminación anterior al inicio; ","")&amp;IF(M520="","Falta estado; ","")&amp;IF(OR(P520="",P520&lt;=0),"Falta valor del contrato; ","")&amp;IF(AND(M520="En ejecución",Q520=""),"En ejecución sin valor ejecutado; ","")&amp;IF(AND(M520="En ejecución",L520&lt;&gt;"",L520&lt;TODAY()),"Dice en ejecución pero su terminación ya pasó; ","")&amp;IF(M520="En ejecución","En ejecución: no acredita experiencia; ","")&amp;IF(AND(M520&lt;&gt;"En ejecución",L520&lt;&gt;"",X520&lt;&gt;"",Y520=""),"El año no está en la hoja SMMLV; ","")&amp;IF(AND(B520&lt;&gt;"",COUNTIFS($B$2:$B$601,B520,$C$2:$C$601,C520)&gt;1),"Posible duplicado (mismo número y entidad); ","")&amp;IF(COUNTIF(PARTICIPACIONES!$A$2:$A$601,A520)=0,"Sin participaciones; ","")&amp;IF(SUMIFS(PARTICIPACIONES!$E$2:$E$601,PARTICIPACIONES!$A$2:$A$601,A520)&gt;1.0001,"Las participaciones suman más de 100 %; ",""))</f>
        <v/>
      </c>
    </row>
    <row r="521">
      <c r="J521" s="15" t="n"/>
      <c r="K521" s="15" t="n"/>
      <c r="L521" s="15" t="n"/>
      <c r="N521" s="15" t="n"/>
      <c r="O521" s="16" t="n"/>
      <c r="P521" s="16" t="n"/>
      <c r="Q521" s="16" t="n"/>
      <c r="W521" s="12">
        <f>IF(AND(K521&lt;&gt;"",L521&lt;&gt;""),ROUND((L521-K521)/30.4375,1),"")</f>
        <v/>
      </c>
      <c r="X521" s="12">
        <f>IF(OR(A521="",M521="En ejecución",L521=""),"",YEAR(L521))</f>
        <v/>
      </c>
      <c r="Y521" s="13">
        <f>IF(X521="","",IFERROR(VLOOKUP(X521,SMMLV!$A$2:$B$38,2,FALSE),""))</f>
        <v/>
      </c>
      <c r="Z521" s="17">
        <f>IF(OR(Y521="",P521=""),"",ROUND(P521/Y521,2))</f>
        <v/>
      </c>
      <c r="AA521" s="13">
        <f>IF(Z521="","",ROUND(Z521*SMMLV!$E$4,0))</f>
        <v/>
      </c>
      <c r="AB521" s="13">
        <f>IF(AND(M521="En ejecución",P521&lt;&gt;"",Q521&lt;&gt;""),MAX(P521-Q521,0),"")</f>
        <v/>
      </c>
      <c r="AC521" s="12">
        <f>IF(A521="","",IF(B521="","Falta número de contrato; ","")&amp;IF(C521="","Falta entidad; ","")&amp;IF(E521="","Falta objeto; ","")&amp;IF(F521="","Falta especialidad; ","")&amp;IF(K521="","Falta fecha de inicio (recomendada); ","")&amp;IF(AND(M521&lt;&gt;"En ejecución",L521=""),"Falta fecha de terminación; ","")&amp;IF(AND(K521&lt;&gt;"",L521&lt;&gt;"",L521&lt;K521),"Terminación anterior al inicio; ","")&amp;IF(M521="","Falta estado; ","")&amp;IF(OR(P521="",P521&lt;=0),"Falta valor del contrato; ","")&amp;IF(AND(M521="En ejecución",Q521=""),"En ejecución sin valor ejecutado; ","")&amp;IF(AND(M521="En ejecución",L521&lt;&gt;"",L521&lt;TODAY()),"Dice en ejecución pero su terminación ya pasó; ","")&amp;IF(M521="En ejecución","En ejecución: no acredita experiencia; ","")&amp;IF(AND(M521&lt;&gt;"En ejecución",L521&lt;&gt;"",X521&lt;&gt;"",Y521=""),"El año no está en la hoja SMMLV; ","")&amp;IF(AND(B521&lt;&gt;"",COUNTIFS($B$2:$B$601,B521,$C$2:$C$601,C521)&gt;1),"Posible duplicado (mismo número y entidad); ","")&amp;IF(COUNTIF(PARTICIPACIONES!$A$2:$A$601,A521)=0,"Sin participaciones; ","")&amp;IF(SUMIFS(PARTICIPACIONES!$E$2:$E$601,PARTICIPACIONES!$A$2:$A$601,A521)&gt;1.0001,"Las participaciones suman más de 100 %; ",""))</f>
        <v/>
      </c>
    </row>
    <row r="522">
      <c r="J522" s="15" t="n"/>
      <c r="K522" s="15" t="n"/>
      <c r="L522" s="15" t="n"/>
      <c r="N522" s="15" t="n"/>
      <c r="O522" s="16" t="n"/>
      <c r="P522" s="16" t="n"/>
      <c r="Q522" s="16" t="n"/>
      <c r="W522" s="12">
        <f>IF(AND(K522&lt;&gt;"",L522&lt;&gt;""),ROUND((L522-K522)/30.4375,1),"")</f>
        <v/>
      </c>
      <c r="X522" s="12">
        <f>IF(OR(A522="",M522="En ejecución",L522=""),"",YEAR(L522))</f>
        <v/>
      </c>
      <c r="Y522" s="13">
        <f>IF(X522="","",IFERROR(VLOOKUP(X522,SMMLV!$A$2:$B$38,2,FALSE),""))</f>
        <v/>
      </c>
      <c r="Z522" s="17">
        <f>IF(OR(Y522="",P522=""),"",ROUND(P522/Y522,2))</f>
        <v/>
      </c>
      <c r="AA522" s="13">
        <f>IF(Z522="","",ROUND(Z522*SMMLV!$E$4,0))</f>
        <v/>
      </c>
      <c r="AB522" s="13">
        <f>IF(AND(M522="En ejecución",P522&lt;&gt;"",Q522&lt;&gt;""),MAX(P522-Q522,0),"")</f>
        <v/>
      </c>
      <c r="AC522" s="12">
        <f>IF(A522="","",IF(B522="","Falta número de contrato; ","")&amp;IF(C522="","Falta entidad; ","")&amp;IF(E522="","Falta objeto; ","")&amp;IF(F522="","Falta especialidad; ","")&amp;IF(K522="","Falta fecha de inicio (recomendada); ","")&amp;IF(AND(M522&lt;&gt;"En ejecución",L522=""),"Falta fecha de terminación; ","")&amp;IF(AND(K522&lt;&gt;"",L522&lt;&gt;"",L522&lt;K522),"Terminación anterior al inicio; ","")&amp;IF(M522="","Falta estado; ","")&amp;IF(OR(P522="",P522&lt;=0),"Falta valor del contrato; ","")&amp;IF(AND(M522="En ejecución",Q522=""),"En ejecución sin valor ejecutado; ","")&amp;IF(AND(M522="En ejecución",L522&lt;&gt;"",L522&lt;TODAY()),"Dice en ejecución pero su terminación ya pasó; ","")&amp;IF(M522="En ejecución","En ejecución: no acredita experiencia; ","")&amp;IF(AND(M522&lt;&gt;"En ejecución",L522&lt;&gt;"",X522&lt;&gt;"",Y522=""),"El año no está en la hoja SMMLV; ","")&amp;IF(AND(B522&lt;&gt;"",COUNTIFS($B$2:$B$601,B522,$C$2:$C$601,C522)&gt;1),"Posible duplicado (mismo número y entidad); ","")&amp;IF(COUNTIF(PARTICIPACIONES!$A$2:$A$601,A522)=0,"Sin participaciones; ","")&amp;IF(SUMIFS(PARTICIPACIONES!$E$2:$E$601,PARTICIPACIONES!$A$2:$A$601,A522)&gt;1.0001,"Las participaciones suman más de 100 %; ",""))</f>
        <v/>
      </c>
    </row>
    <row r="523">
      <c r="J523" s="15" t="n"/>
      <c r="K523" s="15" t="n"/>
      <c r="L523" s="15" t="n"/>
      <c r="N523" s="15" t="n"/>
      <c r="O523" s="16" t="n"/>
      <c r="P523" s="16" t="n"/>
      <c r="Q523" s="16" t="n"/>
      <c r="W523" s="12">
        <f>IF(AND(K523&lt;&gt;"",L523&lt;&gt;""),ROUND((L523-K523)/30.4375,1),"")</f>
        <v/>
      </c>
      <c r="X523" s="12">
        <f>IF(OR(A523="",M523="En ejecución",L523=""),"",YEAR(L523))</f>
        <v/>
      </c>
      <c r="Y523" s="13">
        <f>IF(X523="","",IFERROR(VLOOKUP(X523,SMMLV!$A$2:$B$38,2,FALSE),""))</f>
        <v/>
      </c>
      <c r="Z523" s="17">
        <f>IF(OR(Y523="",P523=""),"",ROUND(P523/Y523,2))</f>
        <v/>
      </c>
      <c r="AA523" s="13">
        <f>IF(Z523="","",ROUND(Z523*SMMLV!$E$4,0))</f>
        <v/>
      </c>
      <c r="AB523" s="13">
        <f>IF(AND(M523="En ejecución",P523&lt;&gt;"",Q523&lt;&gt;""),MAX(P523-Q523,0),"")</f>
        <v/>
      </c>
      <c r="AC523" s="12">
        <f>IF(A523="","",IF(B523="","Falta número de contrato; ","")&amp;IF(C523="","Falta entidad; ","")&amp;IF(E523="","Falta objeto; ","")&amp;IF(F523="","Falta especialidad; ","")&amp;IF(K523="","Falta fecha de inicio (recomendada); ","")&amp;IF(AND(M523&lt;&gt;"En ejecución",L523=""),"Falta fecha de terminación; ","")&amp;IF(AND(K523&lt;&gt;"",L523&lt;&gt;"",L523&lt;K523),"Terminación anterior al inicio; ","")&amp;IF(M523="","Falta estado; ","")&amp;IF(OR(P523="",P523&lt;=0),"Falta valor del contrato; ","")&amp;IF(AND(M523="En ejecución",Q523=""),"En ejecución sin valor ejecutado; ","")&amp;IF(AND(M523="En ejecución",L523&lt;&gt;"",L523&lt;TODAY()),"Dice en ejecución pero su terminación ya pasó; ","")&amp;IF(M523="En ejecución","En ejecución: no acredita experiencia; ","")&amp;IF(AND(M523&lt;&gt;"En ejecución",L523&lt;&gt;"",X523&lt;&gt;"",Y523=""),"El año no está en la hoja SMMLV; ","")&amp;IF(AND(B523&lt;&gt;"",COUNTIFS($B$2:$B$601,B523,$C$2:$C$601,C523)&gt;1),"Posible duplicado (mismo número y entidad); ","")&amp;IF(COUNTIF(PARTICIPACIONES!$A$2:$A$601,A523)=0,"Sin participaciones; ","")&amp;IF(SUMIFS(PARTICIPACIONES!$E$2:$E$601,PARTICIPACIONES!$A$2:$A$601,A523)&gt;1.0001,"Las participaciones suman más de 100 %; ",""))</f>
        <v/>
      </c>
    </row>
    <row r="524">
      <c r="J524" s="15" t="n"/>
      <c r="K524" s="15" t="n"/>
      <c r="L524" s="15" t="n"/>
      <c r="N524" s="15" t="n"/>
      <c r="O524" s="16" t="n"/>
      <c r="P524" s="16" t="n"/>
      <c r="Q524" s="16" t="n"/>
      <c r="W524" s="12">
        <f>IF(AND(K524&lt;&gt;"",L524&lt;&gt;""),ROUND((L524-K524)/30.4375,1),"")</f>
        <v/>
      </c>
      <c r="X524" s="12">
        <f>IF(OR(A524="",M524="En ejecución",L524=""),"",YEAR(L524))</f>
        <v/>
      </c>
      <c r="Y524" s="13">
        <f>IF(X524="","",IFERROR(VLOOKUP(X524,SMMLV!$A$2:$B$38,2,FALSE),""))</f>
        <v/>
      </c>
      <c r="Z524" s="17">
        <f>IF(OR(Y524="",P524=""),"",ROUND(P524/Y524,2))</f>
        <v/>
      </c>
      <c r="AA524" s="13">
        <f>IF(Z524="","",ROUND(Z524*SMMLV!$E$4,0))</f>
        <v/>
      </c>
      <c r="AB524" s="13">
        <f>IF(AND(M524="En ejecución",P524&lt;&gt;"",Q524&lt;&gt;""),MAX(P524-Q524,0),"")</f>
        <v/>
      </c>
      <c r="AC524" s="12">
        <f>IF(A524="","",IF(B524="","Falta número de contrato; ","")&amp;IF(C524="","Falta entidad; ","")&amp;IF(E524="","Falta objeto; ","")&amp;IF(F524="","Falta especialidad; ","")&amp;IF(K524="","Falta fecha de inicio (recomendada); ","")&amp;IF(AND(M524&lt;&gt;"En ejecución",L524=""),"Falta fecha de terminación; ","")&amp;IF(AND(K524&lt;&gt;"",L524&lt;&gt;"",L524&lt;K524),"Terminación anterior al inicio; ","")&amp;IF(M524="","Falta estado; ","")&amp;IF(OR(P524="",P524&lt;=0),"Falta valor del contrato; ","")&amp;IF(AND(M524="En ejecución",Q524=""),"En ejecución sin valor ejecutado; ","")&amp;IF(AND(M524="En ejecución",L524&lt;&gt;"",L524&lt;TODAY()),"Dice en ejecución pero su terminación ya pasó; ","")&amp;IF(M524="En ejecución","En ejecución: no acredita experiencia; ","")&amp;IF(AND(M524&lt;&gt;"En ejecución",L524&lt;&gt;"",X524&lt;&gt;"",Y524=""),"El año no está en la hoja SMMLV; ","")&amp;IF(AND(B524&lt;&gt;"",COUNTIFS($B$2:$B$601,B524,$C$2:$C$601,C524)&gt;1),"Posible duplicado (mismo número y entidad); ","")&amp;IF(COUNTIF(PARTICIPACIONES!$A$2:$A$601,A524)=0,"Sin participaciones; ","")&amp;IF(SUMIFS(PARTICIPACIONES!$E$2:$E$601,PARTICIPACIONES!$A$2:$A$601,A524)&gt;1.0001,"Las participaciones suman más de 100 %; ",""))</f>
        <v/>
      </c>
    </row>
    <row r="525">
      <c r="J525" s="15" t="n"/>
      <c r="K525" s="15" t="n"/>
      <c r="L525" s="15" t="n"/>
      <c r="N525" s="15" t="n"/>
      <c r="O525" s="16" t="n"/>
      <c r="P525" s="16" t="n"/>
      <c r="Q525" s="16" t="n"/>
      <c r="W525" s="12">
        <f>IF(AND(K525&lt;&gt;"",L525&lt;&gt;""),ROUND((L525-K525)/30.4375,1),"")</f>
        <v/>
      </c>
      <c r="X525" s="12">
        <f>IF(OR(A525="",M525="En ejecución",L525=""),"",YEAR(L525))</f>
        <v/>
      </c>
      <c r="Y525" s="13">
        <f>IF(X525="","",IFERROR(VLOOKUP(X525,SMMLV!$A$2:$B$38,2,FALSE),""))</f>
        <v/>
      </c>
      <c r="Z525" s="17">
        <f>IF(OR(Y525="",P525=""),"",ROUND(P525/Y525,2))</f>
        <v/>
      </c>
      <c r="AA525" s="13">
        <f>IF(Z525="","",ROUND(Z525*SMMLV!$E$4,0))</f>
        <v/>
      </c>
      <c r="AB525" s="13">
        <f>IF(AND(M525="En ejecución",P525&lt;&gt;"",Q525&lt;&gt;""),MAX(P525-Q525,0),"")</f>
        <v/>
      </c>
      <c r="AC525" s="12">
        <f>IF(A525="","",IF(B525="","Falta número de contrato; ","")&amp;IF(C525="","Falta entidad; ","")&amp;IF(E525="","Falta objeto; ","")&amp;IF(F525="","Falta especialidad; ","")&amp;IF(K525="","Falta fecha de inicio (recomendada); ","")&amp;IF(AND(M525&lt;&gt;"En ejecución",L525=""),"Falta fecha de terminación; ","")&amp;IF(AND(K525&lt;&gt;"",L525&lt;&gt;"",L525&lt;K525),"Terminación anterior al inicio; ","")&amp;IF(M525="","Falta estado; ","")&amp;IF(OR(P525="",P525&lt;=0),"Falta valor del contrato; ","")&amp;IF(AND(M525="En ejecución",Q525=""),"En ejecución sin valor ejecutado; ","")&amp;IF(AND(M525="En ejecución",L525&lt;&gt;"",L525&lt;TODAY()),"Dice en ejecución pero su terminación ya pasó; ","")&amp;IF(M525="En ejecución","En ejecución: no acredita experiencia; ","")&amp;IF(AND(M525&lt;&gt;"En ejecución",L525&lt;&gt;"",X525&lt;&gt;"",Y525=""),"El año no está en la hoja SMMLV; ","")&amp;IF(AND(B525&lt;&gt;"",COUNTIFS($B$2:$B$601,B525,$C$2:$C$601,C525)&gt;1),"Posible duplicado (mismo número y entidad); ","")&amp;IF(COUNTIF(PARTICIPACIONES!$A$2:$A$601,A525)=0,"Sin participaciones; ","")&amp;IF(SUMIFS(PARTICIPACIONES!$E$2:$E$601,PARTICIPACIONES!$A$2:$A$601,A525)&gt;1.0001,"Las participaciones suman más de 100 %; ",""))</f>
        <v/>
      </c>
    </row>
    <row r="526">
      <c r="J526" s="15" t="n"/>
      <c r="K526" s="15" t="n"/>
      <c r="L526" s="15" t="n"/>
      <c r="N526" s="15" t="n"/>
      <c r="O526" s="16" t="n"/>
      <c r="P526" s="16" t="n"/>
      <c r="Q526" s="16" t="n"/>
      <c r="W526" s="12">
        <f>IF(AND(K526&lt;&gt;"",L526&lt;&gt;""),ROUND((L526-K526)/30.4375,1),"")</f>
        <v/>
      </c>
      <c r="X526" s="12">
        <f>IF(OR(A526="",M526="En ejecución",L526=""),"",YEAR(L526))</f>
        <v/>
      </c>
      <c r="Y526" s="13">
        <f>IF(X526="","",IFERROR(VLOOKUP(X526,SMMLV!$A$2:$B$38,2,FALSE),""))</f>
        <v/>
      </c>
      <c r="Z526" s="17">
        <f>IF(OR(Y526="",P526=""),"",ROUND(P526/Y526,2))</f>
        <v/>
      </c>
      <c r="AA526" s="13">
        <f>IF(Z526="","",ROUND(Z526*SMMLV!$E$4,0))</f>
        <v/>
      </c>
      <c r="AB526" s="13">
        <f>IF(AND(M526="En ejecución",P526&lt;&gt;"",Q526&lt;&gt;""),MAX(P526-Q526,0),"")</f>
        <v/>
      </c>
      <c r="AC526" s="12">
        <f>IF(A526="","",IF(B526="","Falta número de contrato; ","")&amp;IF(C526="","Falta entidad; ","")&amp;IF(E526="","Falta objeto; ","")&amp;IF(F526="","Falta especialidad; ","")&amp;IF(K526="","Falta fecha de inicio (recomendada); ","")&amp;IF(AND(M526&lt;&gt;"En ejecución",L526=""),"Falta fecha de terminación; ","")&amp;IF(AND(K526&lt;&gt;"",L526&lt;&gt;"",L526&lt;K526),"Terminación anterior al inicio; ","")&amp;IF(M526="","Falta estado; ","")&amp;IF(OR(P526="",P526&lt;=0),"Falta valor del contrato; ","")&amp;IF(AND(M526="En ejecución",Q526=""),"En ejecución sin valor ejecutado; ","")&amp;IF(AND(M526="En ejecución",L526&lt;&gt;"",L526&lt;TODAY()),"Dice en ejecución pero su terminación ya pasó; ","")&amp;IF(M526="En ejecución","En ejecución: no acredita experiencia; ","")&amp;IF(AND(M526&lt;&gt;"En ejecución",L526&lt;&gt;"",X526&lt;&gt;"",Y526=""),"El año no está en la hoja SMMLV; ","")&amp;IF(AND(B526&lt;&gt;"",COUNTIFS($B$2:$B$601,B526,$C$2:$C$601,C526)&gt;1),"Posible duplicado (mismo número y entidad); ","")&amp;IF(COUNTIF(PARTICIPACIONES!$A$2:$A$601,A526)=0,"Sin participaciones; ","")&amp;IF(SUMIFS(PARTICIPACIONES!$E$2:$E$601,PARTICIPACIONES!$A$2:$A$601,A526)&gt;1.0001,"Las participaciones suman más de 100 %; ",""))</f>
        <v/>
      </c>
    </row>
    <row r="527">
      <c r="J527" s="15" t="n"/>
      <c r="K527" s="15" t="n"/>
      <c r="L527" s="15" t="n"/>
      <c r="N527" s="15" t="n"/>
      <c r="O527" s="16" t="n"/>
      <c r="P527" s="16" t="n"/>
      <c r="Q527" s="16" t="n"/>
      <c r="W527" s="12">
        <f>IF(AND(K527&lt;&gt;"",L527&lt;&gt;""),ROUND((L527-K527)/30.4375,1),"")</f>
        <v/>
      </c>
      <c r="X527" s="12">
        <f>IF(OR(A527="",M527="En ejecución",L527=""),"",YEAR(L527))</f>
        <v/>
      </c>
      <c r="Y527" s="13">
        <f>IF(X527="","",IFERROR(VLOOKUP(X527,SMMLV!$A$2:$B$38,2,FALSE),""))</f>
        <v/>
      </c>
      <c r="Z527" s="17">
        <f>IF(OR(Y527="",P527=""),"",ROUND(P527/Y527,2))</f>
        <v/>
      </c>
      <c r="AA527" s="13">
        <f>IF(Z527="","",ROUND(Z527*SMMLV!$E$4,0))</f>
        <v/>
      </c>
      <c r="AB527" s="13">
        <f>IF(AND(M527="En ejecución",P527&lt;&gt;"",Q527&lt;&gt;""),MAX(P527-Q527,0),"")</f>
        <v/>
      </c>
      <c r="AC527" s="12">
        <f>IF(A527="","",IF(B527="","Falta número de contrato; ","")&amp;IF(C527="","Falta entidad; ","")&amp;IF(E527="","Falta objeto; ","")&amp;IF(F527="","Falta especialidad; ","")&amp;IF(K527="","Falta fecha de inicio (recomendada); ","")&amp;IF(AND(M527&lt;&gt;"En ejecución",L527=""),"Falta fecha de terminación; ","")&amp;IF(AND(K527&lt;&gt;"",L527&lt;&gt;"",L527&lt;K527),"Terminación anterior al inicio; ","")&amp;IF(M527="","Falta estado; ","")&amp;IF(OR(P527="",P527&lt;=0),"Falta valor del contrato; ","")&amp;IF(AND(M527="En ejecución",Q527=""),"En ejecución sin valor ejecutado; ","")&amp;IF(AND(M527="En ejecución",L527&lt;&gt;"",L527&lt;TODAY()),"Dice en ejecución pero su terminación ya pasó; ","")&amp;IF(M527="En ejecución","En ejecución: no acredita experiencia; ","")&amp;IF(AND(M527&lt;&gt;"En ejecución",L527&lt;&gt;"",X527&lt;&gt;"",Y527=""),"El año no está en la hoja SMMLV; ","")&amp;IF(AND(B527&lt;&gt;"",COUNTIFS($B$2:$B$601,B527,$C$2:$C$601,C527)&gt;1),"Posible duplicado (mismo número y entidad); ","")&amp;IF(COUNTIF(PARTICIPACIONES!$A$2:$A$601,A527)=0,"Sin participaciones; ","")&amp;IF(SUMIFS(PARTICIPACIONES!$E$2:$E$601,PARTICIPACIONES!$A$2:$A$601,A527)&gt;1.0001,"Las participaciones suman más de 100 %; ",""))</f>
        <v/>
      </c>
    </row>
    <row r="528">
      <c r="J528" s="15" t="n"/>
      <c r="K528" s="15" t="n"/>
      <c r="L528" s="15" t="n"/>
      <c r="N528" s="15" t="n"/>
      <c r="O528" s="16" t="n"/>
      <c r="P528" s="16" t="n"/>
      <c r="Q528" s="16" t="n"/>
      <c r="W528" s="12">
        <f>IF(AND(K528&lt;&gt;"",L528&lt;&gt;""),ROUND((L528-K528)/30.4375,1),"")</f>
        <v/>
      </c>
      <c r="X528" s="12">
        <f>IF(OR(A528="",M528="En ejecución",L528=""),"",YEAR(L528))</f>
        <v/>
      </c>
      <c r="Y528" s="13">
        <f>IF(X528="","",IFERROR(VLOOKUP(X528,SMMLV!$A$2:$B$38,2,FALSE),""))</f>
        <v/>
      </c>
      <c r="Z528" s="17">
        <f>IF(OR(Y528="",P528=""),"",ROUND(P528/Y528,2))</f>
        <v/>
      </c>
      <c r="AA528" s="13">
        <f>IF(Z528="","",ROUND(Z528*SMMLV!$E$4,0))</f>
        <v/>
      </c>
      <c r="AB528" s="13">
        <f>IF(AND(M528="En ejecución",P528&lt;&gt;"",Q528&lt;&gt;""),MAX(P528-Q528,0),"")</f>
        <v/>
      </c>
      <c r="AC528" s="12">
        <f>IF(A528="","",IF(B528="","Falta número de contrato; ","")&amp;IF(C528="","Falta entidad; ","")&amp;IF(E528="","Falta objeto; ","")&amp;IF(F528="","Falta especialidad; ","")&amp;IF(K528="","Falta fecha de inicio (recomendada); ","")&amp;IF(AND(M528&lt;&gt;"En ejecución",L528=""),"Falta fecha de terminación; ","")&amp;IF(AND(K528&lt;&gt;"",L528&lt;&gt;"",L528&lt;K528),"Terminación anterior al inicio; ","")&amp;IF(M528="","Falta estado; ","")&amp;IF(OR(P528="",P528&lt;=0),"Falta valor del contrato; ","")&amp;IF(AND(M528="En ejecución",Q528=""),"En ejecución sin valor ejecutado; ","")&amp;IF(AND(M528="En ejecución",L528&lt;&gt;"",L528&lt;TODAY()),"Dice en ejecución pero su terminación ya pasó; ","")&amp;IF(M528="En ejecución","En ejecución: no acredita experiencia; ","")&amp;IF(AND(M528&lt;&gt;"En ejecución",L528&lt;&gt;"",X528&lt;&gt;"",Y528=""),"El año no está en la hoja SMMLV; ","")&amp;IF(AND(B528&lt;&gt;"",COUNTIFS($B$2:$B$601,B528,$C$2:$C$601,C528)&gt;1),"Posible duplicado (mismo número y entidad); ","")&amp;IF(COUNTIF(PARTICIPACIONES!$A$2:$A$601,A528)=0,"Sin participaciones; ","")&amp;IF(SUMIFS(PARTICIPACIONES!$E$2:$E$601,PARTICIPACIONES!$A$2:$A$601,A528)&gt;1.0001,"Las participaciones suman más de 100 %; ",""))</f>
        <v/>
      </c>
    </row>
    <row r="529">
      <c r="J529" s="15" t="n"/>
      <c r="K529" s="15" t="n"/>
      <c r="L529" s="15" t="n"/>
      <c r="N529" s="15" t="n"/>
      <c r="O529" s="16" t="n"/>
      <c r="P529" s="16" t="n"/>
      <c r="Q529" s="16" t="n"/>
      <c r="W529" s="12">
        <f>IF(AND(K529&lt;&gt;"",L529&lt;&gt;""),ROUND((L529-K529)/30.4375,1),"")</f>
        <v/>
      </c>
      <c r="X529" s="12">
        <f>IF(OR(A529="",M529="En ejecución",L529=""),"",YEAR(L529))</f>
        <v/>
      </c>
      <c r="Y529" s="13">
        <f>IF(X529="","",IFERROR(VLOOKUP(X529,SMMLV!$A$2:$B$38,2,FALSE),""))</f>
        <v/>
      </c>
      <c r="Z529" s="17">
        <f>IF(OR(Y529="",P529=""),"",ROUND(P529/Y529,2))</f>
        <v/>
      </c>
      <c r="AA529" s="13">
        <f>IF(Z529="","",ROUND(Z529*SMMLV!$E$4,0))</f>
        <v/>
      </c>
      <c r="AB529" s="13">
        <f>IF(AND(M529="En ejecución",P529&lt;&gt;"",Q529&lt;&gt;""),MAX(P529-Q529,0),"")</f>
        <v/>
      </c>
      <c r="AC529" s="12">
        <f>IF(A529="","",IF(B529="","Falta número de contrato; ","")&amp;IF(C529="","Falta entidad; ","")&amp;IF(E529="","Falta objeto; ","")&amp;IF(F529="","Falta especialidad; ","")&amp;IF(K529="","Falta fecha de inicio (recomendada); ","")&amp;IF(AND(M529&lt;&gt;"En ejecución",L529=""),"Falta fecha de terminación; ","")&amp;IF(AND(K529&lt;&gt;"",L529&lt;&gt;"",L529&lt;K529),"Terminación anterior al inicio; ","")&amp;IF(M529="","Falta estado; ","")&amp;IF(OR(P529="",P529&lt;=0),"Falta valor del contrato; ","")&amp;IF(AND(M529="En ejecución",Q529=""),"En ejecución sin valor ejecutado; ","")&amp;IF(AND(M529="En ejecución",L529&lt;&gt;"",L529&lt;TODAY()),"Dice en ejecución pero su terminación ya pasó; ","")&amp;IF(M529="En ejecución","En ejecución: no acredita experiencia; ","")&amp;IF(AND(M529&lt;&gt;"En ejecución",L529&lt;&gt;"",X529&lt;&gt;"",Y529=""),"El año no está en la hoja SMMLV; ","")&amp;IF(AND(B529&lt;&gt;"",COUNTIFS($B$2:$B$601,B529,$C$2:$C$601,C529)&gt;1),"Posible duplicado (mismo número y entidad); ","")&amp;IF(COUNTIF(PARTICIPACIONES!$A$2:$A$601,A529)=0,"Sin participaciones; ","")&amp;IF(SUMIFS(PARTICIPACIONES!$E$2:$E$601,PARTICIPACIONES!$A$2:$A$601,A529)&gt;1.0001,"Las participaciones suman más de 100 %; ",""))</f>
        <v/>
      </c>
    </row>
    <row r="530">
      <c r="J530" s="15" t="n"/>
      <c r="K530" s="15" t="n"/>
      <c r="L530" s="15" t="n"/>
      <c r="N530" s="15" t="n"/>
      <c r="O530" s="16" t="n"/>
      <c r="P530" s="16" t="n"/>
      <c r="Q530" s="16" t="n"/>
      <c r="W530" s="12">
        <f>IF(AND(K530&lt;&gt;"",L530&lt;&gt;""),ROUND((L530-K530)/30.4375,1),"")</f>
        <v/>
      </c>
      <c r="X530" s="12">
        <f>IF(OR(A530="",M530="En ejecución",L530=""),"",YEAR(L530))</f>
        <v/>
      </c>
      <c r="Y530" s="13">
        <f>IF(X530="","",IFERROR(VLOOKUP(X530,SMMLV!$A$2:$B$38,2,FALSE),""))</f>
        <v/>
      </c>
      <c r="Z530" s="17">
        <f>IF(OR(Y530="",P530=""),"",ROUND(P530/Y530,2))</f>
        <v/>
      </c>
      <c r="AA530" s="13">
        <f>IF(Z530="","",ROUND(Z530*SMMLV!$E$4,0))</f>
        <v/>
      </c>
      <c r="AB530" s="13">
        <f>IF(AND(M530="En ejecución",P530&lt;&gt;"",Q530&lt;&gt;""),MAX(P530-Q530,0),"")</f>
        <v/>
      </c>
      <c r="AC530" s="12">
        <f>IF(A530="","",IF(B530="","Falta número de contrato; ","")&amp;IF(C530="","Falta entidad; ","")&amp;IF(E530="","Falta objeto; ","")&amp;IF(F530="","Falta especialidad; ","")&amp;IF(K530="","Falta fecha de inicio (recomendada); ","")&amp;IF(AND(M530&lt;&gt;"En ejecución",L530=""),"Falta fecha de terminación; ","")&amp;IF(AND(K530&lt;&gt;"",L530&lt;&gt;"",L530&lt;K530),"Terminación anterior al inicio; ","")&amp;IF(M530="","Falta estado; ","")&amp;IF(OR(P530="",P530&lt;=0),"Falta valor del contrato; ","")&amp;IF(AND(M530="En ejecución",Q530=""),"En ejecución sin valor ejecutado; ","")&amp;IF(AND(M530="En ejecución",L530&lt;&gt;"",L530&lt;TODAY()),"Dice en ejecución pero su terminación ya pasó; ","")&amp;IF(M530="En ejecución","En ejecución: no acredita experiencia; ","")&amp;IF(AND(M530&lt;&gt;"En ejecución",L530&lt;&gt;"",X530&lt;&gt;"",Y530=""),"El año no está en la hoja SMMLV; ","")&amp;IF(AND(B530&lt;&gt;"",COUNTIFS($B$2:$B$601,B530,$C$2:$C$601,C530)&gt;1),"Posible duplicado (mismo número y entidad); ","")&amp;IF(COUNTIF(PARTICIPACIONES!$A$2:$A$601,A530)=0,"Sin participaciones; ","")&amp;IF(SUMIFS(PARTICIPACIONES!$E$2:$E$601,PARTICIPACIONES!$A$2:$A$601,A530)&gt;1.0001,"Las participaciones suman más de 100 %; ",""))</f>
        <v/>
      </c>
    </row>
    <row r="531">
      <c r="J531" s="15" t="n"/>
      <c r="K531" s="15" t="n"/>
      <c r="L531" s="15" t="n"/>
      <c r="N531" s="15" t="n"/>
      <c r="O531" s="16" t="n"/>
      <c r="P531" s="16" t="n"/>
      <c r="Q531" s="16" t="n"/>
      <c r="W531" s="12">
        <f>IF(AND(K531&lt;&gt;"",L531&lt;&gt;""),ROUND((L531-K531)/30.4375,1),"")</f>
        <v/>
      </c>
      <c r="X531" s="12">
        <f>IF(OR(A531="",M531="En ejecución",L531=""),"",YEAR(L531))</f>
        <v/>
      </c>
      <c r="Y531" s="13">
        <f>IF(X531="","",IFERROR(VLOOKUP(X531,SMMLV!$A$2:$B$38,2,FALSE),""))</f>
        <v/>
      </c>
      <c r="Z531" s="17">
        <f>IF(OR(Y531="",P531=""),"",ROUND(P531/Y531,2))</f>
        <v/>
      </c>
      <c r="AA531" s="13">
        <f>IF(Z531="","",ROUND(Z531*SMMLV!$E$4,0))</f>
        <v/>
      </c>
      <c r="AB531" s="13">
        <f>IF(AND(M531="En ejecución",P531&lt;&gt;"",Q531&lt;&gt;""),MAX(P531-Q531,0),"")</f>
        <v/>
      </c>
      <c r="AC531" s="12">
        <f>IF(A531="","",IF(B531="","Falta número de contrato; ","")&amp;IF(C531="","Falta entidad; ","")&amp;IF(E531="","Falta objeto; ","")&amp;IF(F531="","Falta especialidad; ","")&amp;IF(K531="","Falta fecha de inicio (recomendada); ","")&amp;IF(AND(M531&lt;&gt;"En ejecución",L531=""),"Falta fecha de terminación; ","")&amp;IF(AND(K531&lt;&gt;"",L531&lt;&gt;"",L531&lt;K531),"Terminación anterior al inicio; ","")&amp;IF(M531="","Falta estado; ","")&amp;IF(OR(P531="",P531&lt;=0),"Falta valor del contrato; ","")&amp;IF(AND(M531="En ejecución",Q531=""),"En ejecución sin valor ejecutado; ","")&amp;IF(AND(M531="En ejecución",L531&lt;&gt;"",L531&lt;TODAY()),"Dice en ejecución pero su terminación ya pasó; ","")&amp;IF(M531="En ejecución","En ejecución: no acredita experiencia; ","")&amp;IF(AND(M531&lt;&gt;"En ejecución",L531&lt;&gt;"",X531&lt;&gt;"",Y531=""),"El año no está en la hoja SMMLV; ","")&amp;IF(AND(B531&lt;&gt;"",COUNTIFS($B$2:$B$601,B531,$C$2:$C$601,C531)&gt;1),"Posible duplicado (mismo número y entidad); ","")&amp;IF(COUNTIF(PARTICIPACIONES!$A$2:$A$601,A531)=0,"Sin participaciones; ","")&amp;IF(SUMIFS(PARTICIPACIONES!$E$2:$E$601,PARTICIPACIONES!$A$2:$A$601,A531)&gt;1.0001,"Las participaciones suman más de 100 %; ",""))</f>
        <v/>
      </c>
    </row>
    <row r="532">
      <c r="J532" s="15" t="n"/>
      <c r="K532" s="15" t="n"/>
      <c r="L532" s="15" t="n"/>
      <c r="N532" s="15" t="n"/>
      <c r="O532" s="16" t="n"/>
      <c r="P532" s="16" t="n"/>
      <c r="Q532" s="16" t="n"/>
      <c r="W532" s="12">
        <f>IF(AND(K532&lt;&gt;"",L532&lt;&gt;""),ROUND((L532-K532)/30.4375,1),"")</f>
        <v/>
      </c>
      <c r="X532" s="12">
        <f>IF(OR(A532="",M532="En ejecución",L532=""),"",YEAR(L532))</f>
        <v/>
      </c>
      <c r="Y532" s="13">
        <f>IF(X532="","",IFERROR(VLOOKUP(X532,SMMLV!$A$2:$B$38,2,FALSE),""))</f>
        <v/>
      </c>
      <c r="Z532" s="17">
        <f>IF(OR(Y532="",P532=""),"",ROUND(P532/Y532,2))</f>
        <v/>
      </c>
      <c r="AA532" s="13">
        <f>IF(Z532="","",ROUND(Z532*SMMLV!$E$4,0))</f>
        <v/>
      </c>
      <c r="AB532" s="13">
        <f>IF(AND(M532="En ejecución",P532&lt;&gt;"",Q532&lt;&gt;""),MAX(P532-Q532,0),"")</f>
        <v/>
      </c>
      <c r="AC532" s="12">
        <f>IF(A532="","",IF(B532="","Falta número de contrato; ","")&amp;IF(C532="","Falta entidad; ","")&amp;IF(E532="","Falta objeto; ","")&amp;IF(F532="","Falta especialidad; ","")&amp;IF(K532="","Falta fecha de inicio (recomendada); ","")&amp;IF(AND(M532&lt;&gt;"En ejecución",L532=""),"Falta fecha de terminación; ","")&amp;IF(AND(K532&lt;&gt;"",L532&lt;&gt;"",L532&lt;K532),"Terminación anterior al inicio; ","")&amp;IF(M532="","Falta estado; ","")&amp;IF(OR(P532="",P532&lt;=0),"Falta valor del contrato; ","")&amp;IF(AND(M532="En ejecución",Q532=""),"En ejecución sin valor ejecutado; ","")&amp;IF(AND(M532="En ejecución",L532&lt;&gt;"",L532&lt;TODAY()),"Dice en ejecución pero su terminación ya pasó; ","")&amp;IF(M532="En ejecución","En ejecución: no acredita experiencia; ","")&amp;IF(AND(M532&lt;&gt;"En ejecución",L532&lt;&gt;"",X532&lt;&gt;"",Y532=""),"El año no está en la hoja SMMLV; ","")&amp;IF(AND(B532&lt;&gt;"",COUNTIFS($B$2:$B$601,B532,$C$2:$C$601,C532)&gt;1),"Posible duplicado (mismo número y entidad); ","")&amp;IF(COUNTIF(PARTICIPACIONES!$A$2:$A$601,A532)=0,"Sin participaciones; ","")&amp;IF(SUMIFS(PARTICIPACIONES!$E$2:$E$601,PARTICIPACIONES!$A$2:$A$601,A532)&gt;1.0001,"Las participaciones suman más de 100 %; ",""))</f>
        <v/>
      </c>
    </row>
    <row r="533">
      <c r="J533" s="15" t="n"/>
      <c r="K533" s="15" t="n"/>
      <c r="L533" s="15" t="n"/>
      <c r="N533" s="15" t="n"/>
      <c r="O533" s="16" t="n"/>
      <c r="P533" s="16" t="n"/>
      <c r="Q533" s="16" t="n"/>
      <c r="W533" s="12">
        <f>IF(AND(K533&lt;&gt;"",L533&lt;&gt;""),ROUND((L533-K533)/30.4375,1),"")</f>
        <v/>
      </c>
      <c r="X533" s="12">
        <f>IF(OR(A533="",M533="En ejecución",L533=""),"",YEAR(L533))</f>
        <v/>
      </c>
      <c r="Y533" s="13">
        <f>IF(X533="","",IFERROR(VLOOKUP(X533,SMMLV!$A$2:$B$38,2,FALSE),""))</f>
        <v/>
      </c>
      <c r="Z533" s="17">
        <f>IF(OR(Y533="",P533=""),"",ROUND(P533/Y533,2))</f>
        <v/>
      </c>
      <c r="AA533" s="13">
        <f>IF(Z533="","",ROUND(Z533*SMMLV!$E$4,0))</f>
        <v/>
      </c>
      <c r="AB533" s="13">
        <f>IF(AND(M533="En ejecución",P533&lt;&gt;"",Q533&lt;&gt;""),MAX(P533-Q533,0),"")</f>
        <v/>
      </c>
      <c r="AC533" s="12">
        <f>IF(A533="","",IF(B533="","Falta número de contrato; ","")&amp;IF(C533="","Falta entidad; ","")&amp;IF(E533="","Falta objeto; ","")&amp;IF(F533="","Falta especialidad; ","")&amp;IF(K533="","Falta fecha de inicio (recomendada); ","")&amp;IF(AND(M533&lt;&gt;"En ejecución",L533=""),"Falta fecha de terminación; ","")&amp;IF(AND(K533&lt;&gt;"",L533&lt;&gt;"",L533&lt;K533),"Terminación anterior al inicio; ","")&amp;IF(M533="","Falta estado; ","")&amp;IF(OR(P533="",P533&lt;=0),"Falta valor del contrato; ","")&amp;IF(AND(M533="En ejecución",Q533=""),"En ejecución sin valor ejecutado; ","")&amp;IF(AND(M533="En ejecución",L533&lt;&gt;"",L533&lt;TODAY()),"Dice en ejecución pero su terminación ya pasó; ","")&amp;IF(M533="En ejecución","En ejecución: no acredita experiencia; ","")&amp;IF(AND(M533&lt;&gt;"En ejecución",L533&lt;&gt;"",X533&lt;&gt;"",Y533=""),"El año no está en la hoja SMMLV; ","")&amp;IF(AND(B533&lt;&gt;"",COUNTIFS($B$2:$B$601,B533,$C$2:$C$601,C533)&gt;1),"Posible duplicado (mismo número y entidad); ","")&amp;IF(COUNTIF(PARTICIPACIONES!$A$2:$A$601,A533)=0,"Sin participaciones; ","")&amp;IF(SUMIFS(PARTICIPACIONES!$E$2:$E$601,PARTICIPACIONES!$A$2:$A$601,A533)&gt;1.0001,"Las participaciones suman más de 100 %; ",""))</f>
        <v/>
      </c>
    </row>
    <row r="534">
      <c r="J534" s="15" t="n"/>
      <c r="K534" s="15" t="n"/>
      <c r="L534" s="15" t="n"/>
      <c r="N534" s="15" t="n"/>
      <c r="O534" s="16" t="n"/>
      <c r="P534" s="16" t="n"/>
      <c r="Q534" s="16" t="n"/>
      <c r="W534" s="12">
        <f>IF(AND(K534&lt;&gt;"",L534&lt;&gt;""),ROUND((L534-K534)/30.4375,1),"")</f>
        <v/>
      </c>
      <c r="X534" s="12">
        <f>IF(OR(A534="",M534="En ejecución",L534=""),"",YEAR(L534))</f>
        <v/>
      </c>
      <c r="Y534" s="13">
        <f>IF(X534="","",IFERROR(VLOOKUP(X534,SMMLV!$A$2:$B$38,2,FALSE),""))</f>
        <v/>
      </c>
      <c r="Z534" s="17">
        <f>IF(OR(Y534="",P534=""),"",ROUND(P534/Y534,2))</f>
        <v/>
      </c>
      <c r="AA534" s="13">
        <f>IF(Z534="","",ROUND(Z534*SMMLV!$E$4,0))</f>
        <v/>
      </c>
      <c r="AB534" s="13">
        <f>IF(AND(M534="En ejecución",P534&lt;&gt;"",Q534&lt;&gt;""),MAX(P534-Q534,0),"")</f>
        <v/>
      </c>
      <c r="AC534" s="12">
        <f>IF(A534="","",IF(B534="","Falta número de contrato; ","")&amp;IF(C534="","Falta entidad; ","")&amp;IF(E534="","Falta objeto; ","")&amp;IF(F534="","Falta especialidad; ","")&amp;IF(K534="","Falta fecha de inicio (recomendada); ","")&amp;IF(AND(M534&lt;&gt;"En ejecución",L534=""),"Falta fecha de terminación; ","")&amp;IF(AND(K534&lt;&gt;"",L534&lt;&gt;"",L534&lt;K534),"Terminación anterior al inicio; ","")&amp;IF(M534="","Falta estado; ","")&amp;IF(OR(P534="",P534&lt;=0),"Falta valor del contrato; ","")&amp;IF(AND(M534="En ejecución",Q534=""),"En ejecución sin valor ejecutado; ","")&amp;IF(AND(M534="En ejecución",L534&lt;&gt;"",L534&lt;TODAY()),"Dice en ejecución pero su terminación ya pasó; ","")&amp;IF(M534="En ejecución","En ejecución: no acredita experiencia; ","")&amp;IF(AND(M534&lt;&gt;"En ejecución",L534&lt;&gt;"",X534&lt;&gt;"",Y534=""),"El año no está en la hoja SMMLV; ","")&amp;IF(AND(B534&lt;&gt;"",COUNTIFS($B$2:$B$601,B534,$C$2:$C$601,C534)&gt;1),"Posible duplicado (mismo número y entidad); ","")&amp;IF(COUNTIF(PARTICIPACIONES!$A$2:$A$601,A534)=0,"Sin participaciones; ","")&amp;IF(SUMIFS(PARTICIPACIONES!$E$2:$E$601,PARTICIPACIONES!$A$2:$A$601,A534)&gt;1.0001,"Las participaciones suman más de 100 %; ",""))</f>
        <v/>
      </c>
    </row>
    <row r="535">
      <c r="J535" s="15" t="n"/>
      <c r="K535" s="15" t="n"/>
      <c r="L535" s="15" t="n"/>
      <c r="N535" s="15" t="n"/>
      <c r="O535" s="16" t="n"/>
      <c r="P535" s="16" t="n"/>
      <c r="Q535" s="16" t="n"/>
      <c r="W535" s="12">
        <f>IF(AND(K535&lt;&gt;"",L535&lt;&gt;""),ROUND((L535-K535)/30.4375,1),"")</f>
        <v/>
      </c>
      <c r="X535" s="12">
        <f>IF(OR(A535="",M535="En ejecución",L535=""),"",YEAR(L535))</f>
        <v/>
      </c>
      <c r="Y535" s="13">
        <f>IF(X535="","",IFERROR(VLOOKUP(X535,SMMLV!$A$2:$B$38,2,FALSE),""))</f>
        <v/>
      </c>
      <c r="Z535" s="17">
        <f>IF(OR(Y535="",P535=""),"",ROUND(P535/Y535,2))</f>
        <v/>
      </c>
      <c r="AA535" s="13">
        <f>IF(Z535="","",ROUND(Z535*SMMLV!$E$4,0))</f>
        <v/>
      </c>
      <c r="AB535" s="13">
        <f>IF(AND(M535="En ejecución",P535&lt;&gt;"",Q535&lt;&gt;""),MAX(P535-Q535,0),"")</f>
        <v/>
      </c>
      <c r="AC535" s="12">
        <f>IF(A535="","",IF(B535="","Falta número de contrato; ","")&amp;IF(C535="","Falta entidad; ","")&amp;IF(E535="","Falta objeto; ","")&amp;IF(F535="","Falta especialidad; ","")&amp;IF(K535="","Falta fecha de inicio (recomendada); ","")&amp;IF(AND(M535&lt;&gt;"En ejecución",L535=""),"Falta fecha de terminación; ","")&amp;IF(AND(K535&lt;&gt;"",L535&lt;&gt;"",L535&lt;K535),"Terminación anterior al inicio; ","")&amp;IF(M535="","Falta estado; ","")&amp;IF(OR(P535="",P535&lt;=0),"Falta valor del contrato; ","")&amp;IF(AND(M535="En ejecución",Q535=""),"En ejecución sin valor ejecutado; ","")&amp;IF(AND(M535="En ejecución",L535&lt;&gt;"",L535&lt;TODAY()),"Dice en ejecución pero su terminación ya pasó; ","")&amp;IF(M535="En ejecución","En ejecución: no acredita experiencia; ","")&amp;IF(AND(M535&lt;&gt;"En ejecución",L535&lt;&gt;"",X535&lt;&gt;"",Y535=""),"El año no está en la hoja SMMLV; ","")&amp;IF(AND(B535&lt;&gt;"",COUNTIFS($B$2:$B$601,B535,$C$2:$C$601,C535)&gt;1),"Posible duplicado (mismo número y entidad); ","")&amp;IF(COUNTIF(PARTICIPACIONES!$A$2:$A$601,A535)=0,"Sin participaciones; ","")&amp;IF(SUMIFS(PARTICIPACIONES!$E$2:$E$601,PARTICIPACIONES!$A$2:$A$601,A535)&gt;1.0001,"Las participaciones suman más de 100 %; ",""))</f>
        <v/>
      </c>
    </row>
    <row r="536">
      <c r="J536" s="15" t="n"/>
      <c r="K536" s="15" t="n"/>
      <c r="L536" s="15" t="n"/>
      <c r="N536" s="15" t="n"/>
      <c r="O536" s="16" t="n"/>
      <c r="P536" s="16" t="n"/>
      <c r="Q536" s="16" t="n"/>
      <c r="W536" s="12">
        <f>IF(AND(K536&lt;&gt;"",L536&lt;&gt;""),ROUND((L536-K536)/30.4375,1),"")</f>
        <v/>
      </c>
      <c r="X536" s="12">
        <f>IF(OR(A536="",M536="En ejecución",L536=""),"",YEAR(L536))</f>
        <v/>
      </c>
      <c r="Y536" s="13">
        <f>IF(X536="","",IFERROR(VLOOKUP(X536,SMMLV!$A$2:$B$38,2,FALSE),""))</f>
        <v/>
      </c>
      <c r="Z536" s="17">
        <f>IF(OR(Y536="",P536=""),"",ROUND(P536/Y536,2))</f>
        <v/>
      </c>
      <c r="AA536" s="13">
        <f>IF(Z536="","",ROUND(Z536*SMMLV!$E$4,0))</f>
        <v/>
      </c>
      <c r="AB536" s="13">
        <f>IF(AND(M536="En ejecución",P536&lt;&gt;"",Q536&lt;&gt;""),MAX(P536-Q536,0),"")</f>
        <v/>
      </c>
      <c r="AC536" s="12">
        <f>IF(A536="","",IF(B536="","Falta número de contrato; ","")&amp;IF(C536="","Falta entidad; ","")&amp;IF(E536="","Falta objeto; ","")&amp;IF(F536="","Falta especialidad; ","")&amp;IF(K536="","Falta fecha de inicio (recomendada); ","")&amp;IF(AND(M536&lt;&gt;"En ejecución",L536=""),"Falta fecha de terminación; ","")&amp;IF(AND(K536&lt;&gt;"",L536&lt;&gt;"",L536&lt;K536),"Terminación anterior al inicio; ","")&amp;IF(M536="","Falta estado; ","")&amp;IF(OR(P536="",P536&lt;=0),"Falta valor del contrato; ","")&amp;IF(AND(M536="En ejecución",Q536=""),"En ejecución sin valor ejecutado; ","")&amp;IF(AND(M536="En ejecución",L536&lt;&gt;"",L536&lt;TODAY()),"Dice en ejecución pero su terminación ya pasó; ","")&amp;IF(M536="En ejecución","En ejecución: no acredita experiencia; ","")&amp;IF(AND(M536&lt;&gt;"En ejecución",L536&lt;&gt;"",X536&lt;&gt;"",Y536=""),"El año no está en la hoja SMMLV; ","")&amp;IF(AND(B536&lt;&gt;"",COUNTIFS($B$2:$B$601,B536,$C$2:$C$601,C536)&gt;1),"Posible duplicado (mismo número y entidad); ","")&amp;IF(COUNTIF(PARTICIPACIONES!$A$2:$A$601,A536)=0,"Sin participaciones; ","")&amp;IF(SUMIFS(PARTICIPACIONES!$E$2:$E$601,PARTICIPACIONES!$A$2:$A$601,A536)&gt;1.0001,"Las participaciones suman más de 100 %; ",""))</f>
        <v/>
      </c>
    </row>
    <row r="537">
      <c r="J537" s="15" t="n"/>
      <c r="K537" s="15" t="n"/>
      <c r="L537" s="15" t="n"/>
      <c r="N537" s="15" t="n"/>
      <c r="O537" s="16" t="n"/>
      <c r="P537" s="16" t="n"/>
      <c r="Q537" s="16" t="n"/>
      <c r="W537" s="12">
        <f>IF(AND(K537&lt;&gt;"",L537&lt;&gt;""),ROUND((L537-K537)/30.4375,1),"")</f>
        <v/>
      </c>
      <c r="X537" s="12">
        <f>IF(OR(A537="",M537="En ejecución",L537=""),"",YEAR(L537))</f>
        <v/>
      </c>
      <c r="Y537" s="13">
        <f>IF(X537="","",IFERROR(VLOOKUP(X537,SMMLV!$A$2:$B$38,2,FALSE),""))</f>
        <v/>
      </c>
      <c r="Z537" s="17">
        <f>IF(OR(Y537="",P537=""),"",ROUND(P537/Y537,2))</f>
        <v/>
      </c>
      <c r="AA537" s="13">
        <f>IF(Z537="","",ROUND(Z537*SMMLV!$E$4,0))</f>
        <v/>
      </c>
      <c r="AB537" s="13">
        <f>IF(AND(M537="En ejecución",P537&lt;&gt;"",Q537&lt;&gt;""),MAX(P537-Q537,0),"")</f>
        <v/>
      </c>
      <c r="AC537" s="12">
        <f>IF(A537="","",IF(B537="","Falta número de contrato; ","")&amp;IF(C537="","Falta entidad; ","")&amp;IF(E537="","Falta objeto; ","")&amp;IF(F537="","Falta especialidad; ","")&amp;IF(K537="","Falta fecha de inicio (recomendada); ","")&amp;IF(AND(M537&lt;&gt;"En ejecución",L537=""),"Falta fecha de terminación; ","")&amp;IF(AND(K537&lt;&gt;"",L537&lt;&gt;"",L537&lt;K537),"Terminación anterior al inicio; ","")&amp;IF(M537="","Falta estado; ","")&amp;IF(OR(P537="",P537&lt;=0),"Falta valor del contrato; ","")&amp;IF(AND(M537="En ejecución",Q537=""),"En ejecución sin valor ejecutado; ","")&amp;IF(AND(M537="En ejecución",L537&lt;&gt;"",L537&lt;TODAY()),"Dice en ejecución pero su terminación ya pasó; ","")&amp;IF(M537="En ejecución","En ejecución: no acredita experiencia; ","")&amp;IF(AND(M537&lt;&gt;"En ejecución",L537&lt;&gt;"",X537&lt;&gt;"",Y537=""),"El año no está en la hoja SMMLV; ","")&amp;IF(AND(B537&lt;&gt;"",COUNTIFS($B$2:$B$601,B537,$C$2:$C$601,C537)&gt;1),"Posible duplicado (mismo número y entidad); ","")&amp;IF(COUNTIF(PARTICIPACIONES!$A$2:$A$601,A537)=0,"Sin participaciones; ","")&amp;IF(SUMIFS(PARTICIPACIONES!$E$2:$E$601,PARTICIPACIONES!$A$2:$A$601,A537)&gt;1.0001,"Las participaciones suman más de 100 %; ",""))</f>
        <v/>
      </c>
    </row>
    <row r="538">
      <c r="J538" s="15" t="n"/>
      <c r="K538" s="15" t="n"/>
      <c r="L538" s="15" t="n"/>
      <c r="N538" s="15" t="n"/>
      <c r="O538" s="16" t="n"/>
      <c r="P538" s="16" t="n"/>
      <c r="Q538" s="16" t="n"/>
      <c r="W538" s="12">
        <f>IF(AND(K538&lt;&gt;"",L538&lt;&gt;""),ROUND((L538-K538)/30.4375,1),"")</f>
        <v/>
      </c>
      <c r="X538" s="12">
        <f>IF(OR(A538="",M538="En ejecución",L538=""),"",YEAR(L538))</f>
        <v/>
      </c>
      <c r="Y538" s="13">
        <f>IF(X538="","",IFERROR(VLOOKUP(X538,SMMLV!$A$2:$B$38,2,FALSE),""))</f>
        <v/>
      </c>
      <c r="Z538" s="17">
        <f>IF(OR(Y538="",P538=""),"",ROUND(P538/Y538,2))</f>
        <v/>
      </c>
      <c r="AA538" s="13">
        <f>IF(Z538="","",ROUND(Z538*SMMLV!$E$4,0))</f>
        <v/>
      </c>
      <c r="AB538" s="13">
        <f>IF(AND(M538="En ejecución",P538&lt;&gt;"",Q538&lt;&gt;""),MAX(P538-Q538,0),"")</f>
        <v/>
      </c>
      <c r="AC538" s="12">
        <f>IF(A538="","",IF(B538="","Falta número de contrato; ","")&amp;IF(C538="","Falta entidad; ","")&amp;IF(E538="","Falta objeto; ","")&amp;IF(F538="","Falta especialidad; ","")&amp;IF(K538="","Falta fecha de inicio (recomendada); ","")&amp;IF(AND(M538&lt;&gt;"En ejecución",L538=""),"Falta fecha de terminación; ","")&amp;IF(AND(K538&lt;&gt;"",L538&lt;&gt;"",L538&lt;K538),"Terminación anterior al inicio; ","")&amp;IF(M538="","Falta estado; ","")&amp;IF(OR(P538="",P538&lt;=0),"Falta valor del contrato; ","")&amp;IF(AND(M538="En ejecución",Q538=""),"En ejecución sin valor ejecutado; ","")&amp;IF(AND(M538="En ejecución",L538&lt;&gt;"",L538&lt;TODAY()),"Dice en ejecución pero su terminación ya pasó; ","")&amp;IF(M538="En ejecución","En ejecución: no acredita experiencia; ","")&amp;IF(AND(M538&lt;&gt;"En ejecución",L538&lt;&gt;"",X538&lt;&gt;"",Y538=""),"El año no está en la hoja SMMLV; ","")&amp;IF(AND(B538&lt;&gt;"",COUNTIFS($B$2:$B$601,B538,$C$2:$C$601,C538)&gt;1),"Posible duplicado (mismo número y entidad); ","")&amp;IF(COUNTIF(PARTICIPACIONES!$A$2:$A$601,A538)=0,"Sin participaciones; ","")&amp;IF(SUMIFS(PARTICIPACIONES!$E$2:$E$601,PARTICIPACIONES!$A$2:$A$601,A538)&gt;1.0001,"Las participaciones suman más de 100 %; ",""))</f>
        <v/>
      </c>
    </row>
    <row r="539">
      <c r="J539" s="15" t="n"/>
      <c r="K539" s="15" t="n"/>
      <c r="L539" s="15" t="n"/>
      <c r="N539" s="15" t="n"/>
      <c r="O539" s="16" t="n"/>
      <c r="P539" s="16" t="n"/>
      <c r="Q539" s="16" t="n"/>
      <c r="W539" s="12">
        <f>IF(AND(K539&lt;&gt;"",L539&lt;&gt;""),ROUND((L539-K539)/30.4375,1),"")</f>
        <v/>
      </c>
      <c r="X539" s="12">
        <f>IF(OR(A539="",M539="En ejecución",L539=""),"",YEAR(L539))</f>
        <v/>
      </c>
      <c r="Y539" s="13">
        <f>IF(X539="","",IFERROR(VLOOKUP(X539,SMMLV!$A$2:$B$38,2,FALSE),""))</f>
        <v/>
      </c>
      <c r="Z539" s="17">
        <f>IF(OR(Y539="",P539=""),"",ROUND(P539/Y539,2))</f>
        <v/>
      </c>
      <c r="AA539" s="13">
        <f>IF(Z539="","",ROUND(Z539*SMMLV!$E$4,0))</f>
        <v/>
      </c>
      <c r="AB539" s="13">
        <f>IF(AND(M539="En ejecución",P539&lt;&gt;"",Q539&lt;&gt;""),MAX(P539-Q539,0),"")</f>
        <v/>
      </c>
      <c r="AC539" s="12">
        <f>IF(A539="","",IF(B539="","Falta número de contrato; ","")&amp;IF(C539="","Falta entidad; ","")&amp;IF(E539="","Falta objeto; ","")&amp;IF(F539="","Falta especialidad; ","")&amp;IF(K539="","Falta fecha de inicio (recomendada); ","")&amp;IF(AND(M539&lt;&gt;"En ejecución",L539=""),"Falta fecha de terminación; ","")&amp;IF(AND(K539&lt;&gt;"",L539&lt;&gt;"",L539&lt;K539),"Terminación anterior al inicio; ","")&amp;IF(M539="","Falta estado; ","")&amp;IF(OR(P539="",P539&lt;=0),"Falta valor del contrato; ","")&amp;IF(AND(M539="En ejecución",Q539=""),"En ejecución sin valor ejecutado; ","")&amp;IF(AND(M539="En ejecución",L539&lt;&gt;"",L539&lt;TODAY()),"Dice en ejecución pero su terminación ya pasó; ","")&amp;IF(M539="En ejecución","En ejecución: no acredita experiencia; ","")&amp;IF(AND(M539&lt;&gt;"En ejecución",L539&lt;&gt;"",X539&lt;&gt;"",Y539=""),"El año no está en la hoja SMMLV; ","")&amp;IF(AND(B539&lt;&gt;"",COUNTIFS($B$2:$B$601,B539,$C$2:$C$601,C539)&gt;1),"Posible duplicado (mismo número y entidad); ","")&amp;IF(COUNTIF(PARTICIPACIONES!$A$2:$A$601,A539)=0,"Sin participaciones; ","")&amp;IF(SUMIFS(PARTICIPACIONES!$E$2:$E$601,PARTICIPACIONES!$A$2:$A$601,A539)&gt;1.0001,"Las participaciones suman más de 100 %; ",""))</f>
        <v/>
      </c>
    </row>
    <row r="540">
      <c r="J540" s="15" t="n"/>
      <c r="K540" s="15" t="n"/>
      <c r="L540" s="15" t="n"/>
      <c r="N540" s="15" t="n"/>
      <c r="O540" s="16" t="n"/>
      <c r="P540" s="16" t="n"/>
      <c r="Q540" s="16" t="n"/>
      <c r="W540" s="12">
        <f>IF(AND(K540&lt;&gt;"",L540&lt;&gt;""),ROUND((L540-K540)/30.4375,1),"")</f>
        <v/>
      </c>
      <c r="X540" s="12">
        <f>IF(OR(A540="",M540="En ejecución",L540=""),"",YEAR(L540))</f>
        <v/>
      </c>
      <c r="Y540" s="13">
        <f>IF(X540="","",IFERROR(VLOOKUP(X540,SMMLV!$A$2:$B$38,2,FALSE),""))</f>
        <v/>
      </c>
      <c r="Z540" s="17">
        <f>IF(OR(Y540="",P540=""),"",ROUND(P540/Y540,2))</f>
        <v/>
      </c>
      <c r="AA540" s="13">
        <f>IF(Z540="","",ROUND(Z540*SMMLV!$E$4,0))</f>
        <v/>
      </c>
      <c r="AB540" s="13">
        <f>IF(AND(M540="En ejecución",P540&lt;&gt;"",Q540&lt;&gt;""),MAX(P540-Q540,0),"")</f>
        <v/>
      </c>
      <c r="AC540" s="12">
        <f>IF(A540="","",IF(B540="","Falta número de contrato; ","")&amp;IF(C540="","Falta entidad; ","")&amp;IF(E540="","Falta objeto; ","")&amp;IF(F540="","Falta especialidad; ","")&amp;IF(K540="","Falta fecha de inicio (recomendada); ","")&amp;IF(AND(M540&lt;&gt;"En ejecución",L540=""),"Falta fecha de terminación; ","")&amp;IF(AND(K540&lt;&gt;"",L540&lt;&gt;"",L540&lt;K540),"Terminación anterior al inicio; ","")&amp;IF(M540="","Falta estado; ","")&amp;IF(OR(P540="",P540&lt;=0),"Falta valor del contrato; ","")&amp;IF(AND(M540="En ejecución",Q540=""),"En ejecución sin valor ejecutado; ","")&amp;IF(AND(M540="En ejecución",L540&lt;&gt;"",L540&lt;TODAY()),"Dice en ejecución pero su terminación ya pasó; ","")&amp;IF(M540="En ejecución","En ejecución: no acredita experiencia; ","")&amp;IF(AND(M540&lt;&gt;"En ejecución",L540&lt;&gt;"",X540&lt;&gt;"",Y540=""),"El año no está en la hoja SMMLV; ","")&amp;IF(AND(B540&lt;&gt;"",COUNTIFS($B$2:$B$601,B540,$C$2:$C$601,C540)&gt;1),"Posible duplicado (mismo número y entidad); ","")&amp;IF(COUNTIF(PARTICIPACIONES!$A$2:$A$601,A540)=0,"Sin participaciones; ","")&amp;IF(SUMIFS(PARTICIPACIONES!$E$2:$E$601,PARTICIPACIONES!$A$2:$A$601,A540)&gt;1.0001,"Las participaciones suman más de 100 %; ",""))</f>
        <v/>
      </c>
    </row>
    <row r="541">
      <c r="J541" s="15" t="n"/>
      <c r="K541" s="15" t="n"/>
      <c r="L541" s="15" t="n"/>
      <c r="N541" s="15" t="n"/>
      <c r="O541" s="16" t="n"/>
      <c r="P541" s="16" t="n"/>
      <c r="Q541" s="16" t="n"/>
      <c r="W541" s="12">
        <f>IF(AND(K541&lt;&gt;"",L541&lt;&gt;""),ROUND((L541-K541)/30.4375,1),"")</f>
        <v/>
      </c>
      <c r="X541" s="12">
        <f>IF(OR(A541="",M541="En ejecución",L541=""),"",YEAR(L541))</f>
        <v/>
      </c>
      <c r="Y541" s="13">
        <f>IF(X541="","",IFERROR(VLOOKUP(X541,SMMLV!$A$2:$B$38,2,FALSE),""))</f>
        <v/>
      </c>
      <c r="Z541" s="17">
        <f>IF(OR(Y541="",P541=""),"",ROUND(P541/Y541,2))</f>
        <v/>
      </c>
      <c r="AA541" s="13">
        <f>IF(Z541="","",ROUND(Z541*SMMLV!$E$4,0))</f>
        <v/>
      </c>
      <c r="AB541" s="13">
        <f>IF(AND(M541="En ejecución",P541&lt;&gt;"",Q541&lt;&gt;""),MAX(P541-Q541,0),"")</f>
        <v/>
      </c>
      <c r="AC541" s="12">
        <f>IF(A541="","",IF(B541="","Falta número de contrato; ","")&amp;IF(C541="","Falta entidad; ","")&amp;IF(E541="","Falta objeto; ","")&amp;IF(F541="","Falta especialidad; ","")&amp;IF(K541="","Falta fecha de inicio (recomendada); ","")&amp;IF(AND(M541&lt;&gt;"En ejecución",L541=""),"Falta fecha de terminación; ","")&amp;IF(AND(K541&lt;&gt;"",L541&lt;&gt;"",L541&lt;K541),"Terminación anterior al inicio; ","")&amp;IF(M541="","Falta estado; ","")&amp;IF(OR(P541="",P541&lt;=0),"Falta valor del contrato; ","")&amp;IF(AND(M541="En ejecución",Q541=""),"En ejecución sin valor ejecutado; ","")&amp;IF(AND(M541="En ejecución",L541&lt;&gt;"",L541&lt;TODAY()),"Dice en ejecución pero su terminación ya pasó; ","")&amp;IF(M541="En ejecución","En ejecución: no acredita experiencia; ","")&amp;IF(AND(M541&lt;&gt;"En ejecución",L541&lt;&gt;"",X541&lt;&gt;"",Y541=""),"El año no está en la hoja SMMLV; ","")&amp;IF(AND(B541&lt;&gt;"",COUNTIFS($B$2:$B$601,B541,$C$2:$C$601,C541)&gt;1),"Posible duplicado (mismo número y entidad); ","")&amp;IF(COUNTIF(PARTICIPACIONES!$A$2:$A$601,A541)=0,"Sin participaciones; ","")&amp;IF(SUMIFS(PARTICIPACIONES!$E$2:$E$601,PARTICIPACIONES!$A$2:$A$601,A541)&gt;1.0001,"Las participaciones suman más de 100 %; ",""))</f>
        <v/>
      </c>
    </row>
    <row r="542">
      <c r="J542" s="15" t="n"/>
      <c r="K542" s="15" t="n"/>
      <c r="L542" s="15" t="n"/>
      <c r="N542" s="15" t="n"/>
      <c r="O542" s="16" t="n"/>
      <c r="P542" s="16" t="n"/>
      <c r="Q542" s="16" t="n"/>
      <c r="W542" s="12">
        <f>IF(AND(K542&lt;&gt;"",L542&lt;&gt;""),ROUND((L542-K542)/30.4375,1),"")</f>
        <v/>
      </c>
      <c r="X542" s="12">
        <f>IF(OR(A542="",M542="En ejecución",L542=""),"",YEAR(L542))</f>
        <v/>
      </c>
      <c r="Y542" s="13">
        <f>IF(X542="","",IFERROR(VLOOKUP(X542,SMMLV!$A$2:$B$38,2,FALSE),""))</f>
        <v/>
      </c>
      <c r="Z542" s="17">
        <f>IF(OR(Y542="",P542=""),"",ROUND(P542/Y542,2))</f>
        <v/>
      </c>
      <c r="AA542" s="13">
        <f>IF(Z542="","",ROUND(Z542*SMMLV!$E$4,0))</f>
        <v/>
      </c>
      <c r="AB542" s="13">
        <f>IF(AND(M542="En ejecución",P542&lt;&gt;"",Q542&lt;&gt;""),MAX(P542-Q542,0),"")</f>
        <v/>
      </c>
      <c r="AC542" s="12">
        <f>IF(A542="","",IF(B542="","Falta número de contrato; ","")&amp;IF(C542="","Falta entidad; ","")&amp;IF(E542="","Falta objeto; ","")&amp;IF(F542="","Falta especialidad; ","")&amp;IF(K542="","Falta fecha de inicio (recomendada); ","")&amp;IF(AND(M542&lt;&gt;"En ejecución",L542=""),"Falta fecha de terminación; ","")&amp;IF(AND(K542&lt;&gt;"",L542&lt;&gt;"",L542&lt;K542),"Terminación anterior al inicio; ","")&amp;IF(M542="","Falta estado; ","")&amp;IF(OR(P542="",P542&lt;=0),"Falta valor del contrato; ","")&amp;IF(AND(M542="En ejecución",Q542=""),"En ejecución sin valor ejecutado; ","")&amp;IF(AND(M542="En ejecución",L542&lt;&gt;"",L542&lt;TODAY()),"Dice en ejecución pero su terminación ya pasó; ","")&amp;IF(M542="En ejecución","En ejecución: no acredita experiencia; ","")&amp;IF(AND(M542&lt;&gt;"En ejecución",L542&lt;&gt;"",X542&lt;&gt;"",Y542=""),"El año no está en la hoja SMMLV; ","")&amp;IF(AND(B542&lt;&gt;"",COUNTIFS($B$2:$B$601,B542,$C$2:$C$601,C542)&gt;1),"Posible duplicado (mismo número y entidad); ","")&amp;IF(COUNTIF(PARTICIPACIONES!$A$2:$A$601,A542)=0,"Sin participaciones; ","")&amp;IF(SUMIFS(PARTICIPACIONES!$E$2:$E$601,PARTICIPACIONES!$A$2:$A$601,A542)&gt;1.0001,"Las participaciones suman más de 100 %; ",""))</f>
        <v/>
      </c>
    </row>
    <row r="543">
      <c r="J543" s="15" t="n"/>
      <c r="K543" s="15" t="n"/>
      <c r="L543" s="15" t="n"/>
      <c r="N543" s="15" t="n"/>
      <c r="O543" s="16" t="n"/>
      <c r="P543" s="16" t="n"/>
      <c r="Q543" s="16" t="n"/>
      <c r="W543" s="12">
        <f>IF(AND(K543&lt;&gt;"",L543&lt;&gt;""),ROUND((L543-K543)/30.4375,1),"")</f>
        <v/>
      </c>
      <c r="X543" s="12">
        <f>IF(OR(A543="",M543="En ejecución",L543=""),"",YEAR(L543))</f>
        <v/>
      </c>
      <c r="Y543" s="13">
        <f>IF(X543="","",IFERROR(VLOOKUP(X543,SMMLV!$A$2:$B$38,2,FALSE),""))</f>
        <v/>
      </c>
      <c r="Z543" s="17">
        <f>IF(OR(Y543="",P543=""),"",ROUND(P543/Y543,2))</f>
        <v/>
      </c>
      <c r="AA543" s="13">
        <f>IF(Z543="","",ROUND(Z543*SMMLV!$E$4,0))</f>
        <v/>
      </c>
      <c r="AB543" s="13">
        <f>IF(AND(M543="En ejecución",P543&lt;&gt;"",Q543&lt;&gt;""),MAX(P543-Q543,0),"")</f>
        <v/>
      </c>
      <c r="AC543" s="12">
        <f>IF(A543="","",IF(B543="","Falta número de contrato; ","")&amp;IF(C543="","Falta entidad; ","")&amp;IF(E543="","Falta objeto; ","")&amp;IF(F543="","Falta especialidad; ","")&amp;IF(K543="","Falta fecha de inicio (recomendada); ","")&amp;IF(AND(M543&lt;&gt;"En ejecución",L543=""),"Falta fecha de terminación; ","")&amp;IF(AND(K543&lt;&gt;"",L543&lt;&gt;"",L543&lt;K543),"Terminación anterior al inicio; ","")&amp;IF(M543="","Falta estado; ","")&amp;IF(OR(P543="",P543&lt;=0),"Falta valor del contrato; ","")&amp;IF(AND(M543="En ejecución",Q543=""),"En ejecución sin valor ejecutado; ","")&amp;IF(AND(M543="En ejecución",L543&lt;&gt;"",L543&lt;TODAY()),"Dice en ejecución pero su terminación ya pasó; ","")&amp;IF(M543="En ejecución","En ejecución: no acredita experiencia; ","")&amp;IF(AND(M543&lt;&gt;"En ejecución",L543&lt;&gt;"",X543&lt;&gt;"",Y543=""),"El año no está en la hoja SMMLV; ","")&amp;IF(AND(B543&lt;&gt;"",COUNTIFS($B$2:$B$601,B543,$C$2:$C$601,C543)&gt;1),"Posible duplicado (mismo número y entidad); ","")&amp;IF(COUNTIF(PARTICIPACIONES!$A$2:$A$601,A543)=0,"Sin participaciones; ","")&amp;IF(SUMIFS(PARTICIPACIONES!$E$2:$E$601,PARTICIPACIONES!$A$2:$A$601,A543)&gt;1.0001,"Las participaciones suman más de 100 %; ",""))</f>
        <v/>
      </c>
    </row>
    <row r="544">
      <c r="J544" s="15" t="n"/>
      <c r="K544" s="15" t="n"/>
      <c r="L544" s="15" t="n"/>
      <c r="N544" s="15" t="n"/>
      <c r="O544" s="16" t="n"/>
      <c r="P544" s="16" t="n"/>
      <c r="Q544" s="16" t="n"/>
      <c r="W544" s="12">
        <f>IF(AND(K544&lt;&gt;"",L544&lt;&gt;""),ROUND((L544-K544)/30.4375,1),"")</f>
        <v/>
      </c>
      <c r="X544" s="12">
        <f>IF(OR(A544="",M544="En ejecución",L544=""),"",YEAR(L544))</f>
        <v/>
      </c>
      <c r="Y544" s="13">
        <f>IF(X544="","",IFERROR(VLOOKUP(X544,SMMLV!$A$2:$B$38,2,FALSE),""))</f>
        <v/>
      </c>
      <c r="Z544" s="17">
        <f>IF(OR(Y544="",P544=""),"",ROUND(P544/Y544,2))</f>
        <v/>
      </c>
      <c r="AA544" s="13">
        <f>IF(Z544="","",ROUND(Z544*SMMLV!$E$4,0))</f>
        <v/>
      </c>
      <c r="AB544" s="13">
        <f>IF(AND(M544="En ejecución",P544&lt;&gt;"",Q544&lt;&gt;""),MAX(P544-Q544,0),"")</f>
        <v/>
      </c>
      <c r="AC544" s="12">
        <f>IF(A544="","",IF(B544="","Falta número de contrato; ","")&amp;IF(C544="","Falta entidad; ","")&amp;IF(E544="","Falta objeto; ","")&amp;IF(F544="","Falta especialidad; ","")&amp;IF(K544="","Falta fecha de inicio (recomendada); ","")&amp;IF(AND(M544&lt;&gt;"En ejecución",L544=""),"Falta fecha de terminación; ","")&amp;IF(AND(K544&lt;&gt;"",L544&lt;&gt;"",L544&lt;K544),"Terminación anterior al inicio; ","")&amp;IF(M544="","Falta estado; ","")&amp;IF(OR(P544="",P544&lt;=0),"Falta valor del contrato; ","")&amp;IF(AND(M544="En ejecución",Q544=""),"En ejecución sin valor ejecutado; ","")&amp;IF(AND(M544="En ejecución",L544&lt;&gt;"",L544&lt;TODAY()),"Dice en ejecución pero su terminación ya pasó; ","")&amp;IF(M544="En ejecución","En ejecución: no acredita experiencia; ","")&amp;IF(AND(M544&lt;&gt;"En ejecución",L544&lt;&gt;"",X544&lt;&gt;"",Y544=""),"El año no está en la hoja SMMLV; ","")&amp;IF(AND(B544&lt;&gt;"",COUNTIFS($B$2:$B$601,B544,$C$2:$C$601,C544)&gt;1),"Posible duplicado (mismo número y entidad); ","")&amp;IF(COUNTIF(PARTICIPACIONES!$A$2:$A$601,A544)=0,"Sin participaciones; ","")&amp;IF(SUMIFS(PARTICIPACIONES!$E$2:$E$601,PARTICIPACIONES!$A$2:$A$601,A544)&gt;1.0001,"Las participaciones suman más de 100 %; ",""))</f>
        <v/>
      </c>
    </row>
    <row r="545">
      <c r="J545" s="15" t="n"/>
      <c r="K545" s="15" t="n"/>
      <c r="L545" s="15" t="n"/>
      <c r="N545" s="15" t="n"/>
      <c r="O545" s="16" t="n"/>
      <c r="P545" s="16" t="n"/>
      <c r="Q545" s="16" t="n"/>
      <c r="W545" s="12">
        <f>IF(AND(K545&lt;&gt;"",L545&lt;&gt;""),ROUND((L545-K545)/30.4375,1),"")</f>
        <v/>
      </c>
      <c r="X545" s="12">
        <f>IF(OR(A545="",M545="En ejecución",L545=""),"",YEAR(L545))</f>
        <v/>
      </c>
      <c r="Y545" s="13">
        <f>IF(X545="","",IFERROR(VLOOKUP(X545,SMMLV!$A$2:$B$38,2,FALSE),""))</f>
        <v/>
      </c>
      <c r="Z545" s="17">
        <f>IF(OR(Y545="",P545=""),"",ROUND(P545/Y545,2))</f>
        <v/>
      </c>
      <c r="AA545" s="13">
        <f>IF(Z545="","",ROUND(Z545*SMMLV!$E$4,0))</f>
        <v/>
      </c>
      <c r="AB545" s="13">
        <f>IF(AND(M545="En ejecución",P545&lt;&gt;"",Q545&lt;&gt;""),MAX(P545-Q545,0),"")</f>
        <v/>
      </c>
      <c r="AC545" s="12">
        <f>IF(A545="","",IF(B545="","Falta número de contrato; ","")&amp;IF(C545="","Falta entidad; ","")&amp;IF(E545="","Falta objeto; ","")&amp;IF(F545="","Falta especialidad; ","")&amp;IF(K545="","Falta fecha de inicio (recomendada); ","")&amp;IF(AND(M545&lt;&gt;"En ejecución",L545=""),"Falta fecha de terminación; ","")&amp;IF(AND(K545&lt;&gt;"",L545&lt;&gt;"",L545&lt;K545),"Terminación anterior al inicio; ","")&amp;IF(M545="","Falta estado; ","")&amp;IF(OR(P545="",P545&lt;=0),"Falta valor del contrato; ","")&amp;IF(AND(M545="En ejecución",Q545=""),"En ejecución sin valor ejecutado; ","")&amp;IF(AND(M545="En ejecución",L545&lt;&gt;"",L545&lt;TODAY()),"Dice en ejecución pero su terminación ya pasó; ","")&amp;IF(M545="En ejecución","En ejecución: no acredita experiencia; ","")&amp;IF(AND(M545&lt;&gt;"En ejecución",L545&lt;&gt;"",X545&lt;&gt;"",Y545=""),"El año no está en la hoja SMMLV; ","")&amp;IF(AND(B545&lt;&gt;"",COUNTIFS($B$2:$B$601,B545,$C$2:$C$601,C545)&gt;1),"Posible duplicado (mismo número y entidad); ","")&amp;IF(COUNTIF(PARTICIPACIONES!$A$2:$A$601,A545)=0,"Sin participaciones; ","")&amp;IF(SUMIFS(PARTICIPACIONES!$E$2:$E$601,PARTICIPACIONES!$A$2:$A$601,A545)&gt;1.0001,"Las participaciones suman más de 100 %; ",""))</f>
        <v/>
      </c>
    </row>
    <row r="546">
      <c r="J546" s="15" t="n"/>
      <c r="K546" s="15" t="n"/>
      <c r="L546" s="15" t="n"/>
      <c r="N546" s="15" t="n"/>
      <c r="O546" s="16" t="n"/>
      <c r="P546" s="16" t="n"/>
      <c r="Q546" s="16" t="n"/>
      <c r="W546" s="12">
        <f>IF(AND(K546&lt;&gt;"",L546&lt;&gt;""),ROUND((L546-K546)/30.4375,1),"")</f>
        <v/>
      </c>
      <c r="X546" s="12">
        <f>IF(OR(A546="",M546="En ejecución",L546=""),"",YEAR(L546))</f>
        <v/>
      </c>
      <c r="Y546" s="13">
        <f>IF(X546="","",IFERROR(VLOOKUP(X546,SMMLV!$A$2:$B$38,2,FALSE),""))</f>
        <v/>
      </c>
      <c r="Z546" s="17">
        <f>IF(OR(Y546="",P546=""),"",ROUND(P546/Y546,2))</f>
        <v/>
      </c>
      <c r="AA546" s="13">
        <f>IF(Z546="","",ROUND(Z546*SMMLV!$E$4,0))</f>
        <v/>
      </c>
      <c r="AB546" s="13">
        <f>IF(AND(M546="En ejecución",P546&lt;&gt;"",Q546&lt;&gt;""),MAX(P546-Q546,0),"")</f>
        <v/>
      </c>
      <c r="AC546" s="12">
        <f>IF(A546="","",IF(B546="","Falta número de contrato; ","")&amp;IF(C546="","Falta entidad; ","")&amp;IF(E546="","Falta objeto; ","")&amp;IF(F546="","Falta especialidad; ","")&amp;IF(K546="","Falta fecha de inicio (recomendada); ","")&amp;IF(AND(M546&lt;&gt;"En ejecución",L546=""),"Falta fecha de terminación; ","")&amp;IF(AND(K546&lt;&gt;"",L546&lt;&gt;"",L546&lt;K546),"Terminación anterior al inicio; ","")&amp;IF(M546="","Falta estado; ","")&amp;IF(OR(P546="",P546&lt;=0),"Falta valor del contrato; ","")&amp;IF(AND(M546="En ejecución",Q546=""),"En ejecución sin valor ejecutado; ","")&amp;IF(AND(M546="En ejecución",L546&lt;&gt;"",L546&lt;TODAY()),"Dice en ejecución pero su terminación ya pasó; ","")&amp;IF(M546="En ejecución","En ejecución: no acredita experiencia; ","")&amp;IF(AND(M546&lt;&gt;"En ejecución",L546&lt;&gt;"",X546&lt;&gt;"",Y546=""),"El año no está en la hoja SMMLV; ","")&amp;IF(AND(B546&lt;&gt;"",COUNTIFS($B$2:$B$601,B546,$C$2:$C$601,C546)&gt;1),"Posible duplicado (mismo número y entidad); ","")&amp;IF(COUNTIF(PARTICIPACIONES!$A$2:$A$601,A546)=0,"Sin participaciones; ","")&amp;IF(SUMIFS(PARTICIPACIONES!$E$2:$E$601,PARTICIPACIONES!$A$2:$A$601,A546)&gt;1.0001,"Las participaciones suman más de 100 %; ",""))</f>
        <v/>
      </c>
    </row>
    <row r="547">
      <c r="J547" s="15" t="n"/>
      <c r="K547" s="15" t="n"/>
      <c r="L547" s="15" t="n"/>
      <c r="N547" s="15" t="n"/>
      <c r="O547" s="16" t="n"/>
      <c r="P547" s="16" t="n"/>
      <c r="Q547" s="16" t="n"/>
      <c r="W547" s="12">
        <f>IF(AND(K547&lt;&gt;"",L547&lt;&gt;""),ROUND((L547-K547)/30.4375,1),"")</f>
        <v/>
      </c>
      <c r="X547" s="12">
        <f>IF(OR(A547="",M547="En ejecución",L547=""),"",YEAR(L547))</f>
        <v/>
      </c>
      <c r="Y547" s="13">
        <f>IF(X547="","",IFERROR(VLOOKUP(X547,SMMLV!$A$2:$B$38,2,FALSE),""))</f>
        <v/>
      </c>
      <c r="Z547" s="17">
        <f>IF(OR(Y547="",P547=""),"",ROUND(P547/Y547,2))</f>
        <v/>
      </c>
      <c r="AA547" s="13">
        <f>IF(Z547="","",ROUND(Z547*SMMLV!$E$4,0))</f>
        <v/>
      </c>
      <c r="AB547" s="13">
        <f>IF(AND(M547="En ejecución",P547&lt;&gt;"",Q547&lt;&gt;""),MAX(P547-Q547,0),"")</f>
        <v/>
      </c>
      <c r="AC547" s="12">
        <f>IF(A547="","",IF(B547="","Falta número de contrato; ","")&amp;IF(C547="","Falta entidad; ","")&amp;IF(E547="","Falta objeto; ","")&amp;IF(F547="","Falta especialidad; ","")&amp;IF(K547="","Falta fecha de inicio (recomendada); ","")&amp;IF(AND(M547&lt;&gt;"En ejecución",L547=""),"Falta fecha de terminación; ","")&amp;IF(AND(K547&lt;&gt;"",L547&lt;&gt;"",L547&lt;K547),"Terminación anterior al inicio; ","")&amp;IF(M547="","Falta estado; ","")&amp;IF(OR(P547="",P547&lt;=0),"Falta valor del contrato; ","")&amp;IF(AND(M547="En ejecución",Q547=""),"En ejecución sin valor ejecutado; ","")&amp;IF(AND(M547="En ejecución",L547&lt;&gt;"",L547&lt;TODAY()),"Dice en ejecución pero su terminación ya pasó; ","")&amp;IF(M547="En ejecución","En ejecución: no acredita experiencia; ","")&amp;IF(AND(M547&lt;&gt;"En ejecución",L547&lt;&gt;"",X547&lt;&gt;"",Y547=""),"El año no está en la hoja SMMLV; ","")&amp;IF(AND(B547&lt;&gt;"",COUNTIFS($B$2:$B$601,B547,$C$2:$C$601,C547)&gt;1),"Posible duplicado (mismo número y entidad); ","")&amp;IF(COUNTIF(PARTICIPACIONES!$A$2:$A$601,A547)=0,"Sin participaciones; ","")&amp;IF(SUMIFS(PARTICIPACIONES!$E$2:$E$601,PARTICIPACIONES!$A$2:$A$601,A547)&gt;1.0001,"Las participaciones suman más de 100 %; ",""))</f>
        <v/>
      </c>
    </row>
    <row r="548">
      <c r="J548" s="15" t="n"/>
      <c r="K548" s="15" t="n"/>
      <c r="L548" s="15" t="n"/>
      <c r="N548" s="15" t="n"/>
      <c r="O548" s="16" t="n"/>
      <c r="P548" s="16" t="n"/>
      <c r="Q548" s="16" t="n"/>
      <c r="W548" s="12">
        <f>IF(AND(K548&lt;&gt;"",L548&lt;&gt;""),ROUND((L548-K548)/30.4375,1),"")</f>
        <v/>
      </c>
      <c r="X548" s="12">
        <f>IF(OR(A548="",M548="En ejecución",L548=""),"",YEAR(L548))</f>
        <v/>
      </c>
      <c r="Y548" s="13">
        <f>IF(X548="","",IFERROR(VLOOKUP(X548,SMMLV!$A$2:$B$38,2,FALSE),""))</f>
        <v/>
      </c>
      <c r="Z548" s="17">
        <f>IF(OR(Y548="",P548=""),"",ROUND(P548/Y548,2))</f>
        <v/>
      </c>
      <c r="AA548" s="13">
        <f>IF(Z548="","",ROUND(Z548*SMMLV!$E$4,0))</f>
        <v/>
      </c>
      <c r="AB548" s="13">
        <f>IF(AND(M548="En ejecución",P548&lt;&gt;"",Q548&lt;&gt;""),MAX(P548-Q548,0),"")</f>
        <v/>
      </c>
      <c r="AC548" s="12">
        <f>IF(A548="","",IF(B548="","Falta número de contrato; ","")&amp;IF(C548="","Falta entidad; ","")&amp;IF(E548="","Falta objeto; ","")&amp;IF(F548="","Falta especialidad; ","")&amp;IF(K548="","Falta fecha de inicio (recomendada); ","")&amp;IF(AND(M548&lt;&gt;"En ejecución",L548=""),"Falta fecha de terminación; ","")&amp;IF(AND(K548&lt;&gt;"",L548&lt;&gt;"",L548&lt;K548),"Terminación anterior al inicio; ","")&amp;IF(M548="","Falta estado; ","")&amp;IF(OR(P548="",P548&lt;=0),"Falta valor del contrato; ","")&amp;IF(AND(M548="En ejecución",Q548=""),"En ejecución sin valor ejecutado; ","")&amp;IF(AND(M548="En ejecución",L548&lt;&gt;"",L548&lt;TODAY()),"Dice en ejecución pero su terminación ya pasó; ","")&amp;IF(M548="En ejecución","En ejecución: no acredita experiencia; ","")&amp;IF(AND(M548&lt;&gt;"En ejecución",L548&lt;&gt;"",X548&lt;&gt;"",Y548=""),"El año no está en la hoja SMMLV; ","")&amp;IF(AND(B548&lt;&gt;"",COUNTIFS($B$2:$B$601,B548,$C$2:$C$601,C548)&gt;1),"Posible duplicado (mismo número y entidad); ","")&amp;IF(COUNTIF(PARTICIPACIONES!$A$2:$A$601,A548)=0,"Sin participaciones; ","")&amp;IF(SUMIFS(PARTICIPACIONES!$E$2:$E$601,PARTICIPACIONES!$A$2:$A$601,A548)&gt;1.0001,"Las participaciones suman más de 100 %; ",""))</f>
        <v/>
      </c>
    </row>
    <row r="549">
      <c r="J549" s="15" t="n"/>
      <c r="K549" s="15" t="n"/>
      <c r="L549" s="15" t="n"/>
      <c r="N549" s="15" t="n"/>
      <c r="O549" s="16" t="n"/>
      <c r="P549" s="16" t="n"/>
      <c r="Q549" s="16" t="n"/>
      <c r="W549" s="12">
        <f>IF(AND(K549&lt;&gt;"",L549&lt;&gt;""),ROUND((L549-K549)/30.4375,1),"")</f>
        <v/>
      </c>
      <c r="X549" s="12">
        <f>IF(OR(A549="",M549="En ejecución",L549=""),"",YEAR(L549))</f>
        <v/>
      </c>
      <c r="Y549" s="13">
        <f>IF(X549="","",IFERROR(VLOOKUP(X549,SMMLV!$A$2:$B$38,2,FALSE),""))</f>
        <v/>
      </c>
      <c r="Z549" s="17">
        <f>IF(OR(Y549="",P549=""),"",ROUND(P549/Y549,2))</f>
        <v/>
      </c>
      <c r="AA549" s="13">
        <f>IF(Z549="","",ROUND(Z549*SMMLV!$E$4,0))</f>
        <v/>
      </c>
      <c r="AB549" s="13">
        <f>IF(AND(M549="En ejecución",P549&lt;&gt;"",Q549&lt;&gt;""),MAX(P549-Q549,0),"")</f>
        <v/>
      </c>
      <c r="AC549" s="12">
        <f>IF(A549="","",IF(B549="","Falta número de contrato; ","")&amp;IF(C549="","Falta entidad; ","")&amp;IF(E549="","Falta objeto; ","")&amp;IF(F549="","Falta especialidad; ","")&amp;IF(K549="","Falta fecha de inicio (recomendada); ","")&amp;IF(AND(M549&lt;&gt;"En ejecución",L549=""),"Falta fecha de terminación; ","")&amp;IF(AND(K549&lt;&gt;"",L549&lt;&gt;"",L549&lt;K549),"Terminación anterior al inicio; ","")&amp;IF(M549="","Falta estado; ","")&amp;IF(OR(P549="",P549&lt;=0),"Falta valor del contrato; ","")&amp;IF(AND(M549="En ejecución",Q549=""),"En ejecución sin valor ejecutado; ","")&amp;IF(AND(M549="En ejecución",L549&lt;&gt;"",L549&lt;TODAY()),"Dice en ejecución pero su terminación ya pasó; ","")&amp;IF(M549="En ejecución","En ejecución: no acredita experiencia; ","")&amp;IF(AND(M549&lt;&gt;"En ejecución",L549&lt;&gt;"",X549&lt;&gt;"",Y549=""),"El año no está en la hoja SMMLV; ","")&amp;IF(AND(B549&lt;&gt;"",COUNTIFS($B$2:$B$601,B549,$C$2:$C$601,C549)&gt;1),"Posible duplicado (mismo número y entidad); ","")&amp;IF(COUNTIF(PARTICIPACIONES!$A$2:$A$601,A549)=0,"Sin participaciones; ","")&amp;IF(SUMIFS(PARTICIPACIONES!$E$2:$E$601,PARTICIPACIONES!$A$2:$A$601,A549)&gt;1.0001,"Las participaciones suman más de 100 %; ",""))</f>
        <v/>
      </c>
    </row>
    <row r="550">
      <c r="J550" s="15" t="n"/>
      <c r="K550" s="15" t="n"/>
      <c r="L550" s="15" t="n"/>
      <c r="N550" s="15" t="n"/>
      <c r="O550" s="16" t="n"/>
      <c r="P550" s="16" t="n"/>
      <c r="Q550" s="16" t="n"/>
      <c r="W550" s="12">
        <f>IF(AND(K550&lt;&gt;"",L550&lt;&gt;""),ROUND((L550-K550)/30.4375,1),"")</f>
        <v/>
      </c>
      <c r="X550" s="12">
        <f>IF(OR(A550="",M550="En ejecución",L550=""),"",YEAR(L550))</f>
        <v/>
      </c>
      <c r="Y550" s="13">
        <f>IF(X550="","",IFERROR(VLOOKUP(X550,SMMLV!$A$2:$B$38,2,FALSE),""))</f>
        <v/>
      </c>
      <c r="Z550" s="17">
        <f>IF(OR(Y550="",P550=""),"",ROUND(P550/Y550,2))</f>
        <v/>
      </c>
      <c r="AA550" s="13">
        <f>IF(Z550="","",ROUND(Z550*SMMLV!$E$4,0))</f>
        <v/>
      </c>
      <c r="AB550" s="13">
        <f>IF(AND(M550="En ejecución",P550&lt;&gt;"",Q550&lt;&gt;""),MAX(P550-Q550,0),"")</f>
        <v/>
      </c>
      <c r="AC550" s="12">
        <f>IF(A550="","",IF(B550="","Falta número de contrato; ","")&amp;IF(C550="","Falta entidad; ","")&amp;IF(E550="","Falta objeto; ","")&amp;IF(F550="","Falta especialidad; ","")&amp;IF(K550="","Falta fecha de inicio (recomendada); ","")&amp;IF(AND(M550&lt;&gt;"En ejecución",L550=""),"Falta fecha de terminación; ","")&amp;IF(AND(K550&lt;&gt;"",L550&lt;&gt;"",L550&lt;K550),"Terminación anterior al inicio; ","")&amp;IF(M550="","Falta estado; ","")&amp;IF(OR(P550="",P550&lt;=0),"Falta valor del contrato; ","")&amp;IF(AND(M550="En ejecución",Q550=""),"En ejecución sin valor ejecutado; ","")&amp;IF(AND(M550="En ejecución",L550&lt;&gt;"",L550&lt;TODAY()),"Dice en ejecución pero su terminación ya pasó; ","")&amp;IF(M550="En ejecución","En ejecución: no acredita experiencia; ","")&amp;IF(AND(M550&lt;&gt;"En ejecución",L550&lt;&gt;"",X550&lt;&gt;"",Y550=""),"El año no está en la hoja SMMLV; ","")&amp;IF(AND(B550&lt;&gt;"",COUNTIFS($B$2:$B$601,B550,$C$2:$C$601,C550)&gt;1),"Posible duplicado (mismo número y entidad); ","")&amp;IF(COUNTIF(PARTICIPACIONES!$A$2:$A$601,A550)=0,"Sin participaciones; ","")&amp;IF(SUMIFS(PARTICIPACIONES!$E$2:$E$601,PARTICIPACIONES!$A$2:$A$601,A550)&gt;1.0001,"Las participaciones suman más de 100 %; ",""))</f>
        <v/>
      </c>
    </row>
    <row r="551">
      <c r="J551" s="15" t="n"/>
      <c r="K551" s="15" t="n"/>
      <c r="L551" s="15" t="n"/>
      <c r="N551" s="15" t="n"/>
      <c r="O551" s="16" t="n"/>
      <c r="P551" s="16" t="n"/>
      <c r="Q551" s="16" t="n"/>
      <c r="W551" s="12">
        <f>IF(AND(K551&lt;&gt;"",L551&lt;&gt;""),ROUND((L551-K551)/30.4375,1),"")</f>
        <v/>
      </c>
      <c r="X551" s="12">
        <f>IF(OR(A551="",M551="En ejecución",L551=""),"",YEAR(L551))</f>
        <v/>
      </c>
      <c r="Y551" s="13">
        <f>IF(X551="","",IFERROR(VLOOKUP(X551,SMMLV!$A$2:$B$38,2,FALSE),""))</f>
        <v/>
      </c>
      <c r="Z551" s="17">
        <f>IF(OR(Y551="",P551=""),"",ROUND(P551/Y551,2))</f>
        <v/>
      </c>
      <c r="AA551" s="13">
        <f>IF(Z551="","",ROUND(Z551*SMMLV!$E$4,0))</f>
        <v/>
      </c>
      <c r="AB551" s="13">
        <f>IF(AND(M551="En ejecución",P551&lt;&gt;"",Q551&lt;&gt;""),MAX(P551-Q551,0),"")</f>
        <v/>
      </c>
      <c r="AC551" s="12">
        <f>IF(A551="","",IF(B551="","Falta número de contrato; ","")&amp;IF(C551="","Falta entidad; ","")&amp;IF(E551="","Falta objeto; ","")&amp;IF(F551="","Falta especialidad; ","")&amp;IF(K551="","Falta fecha de inicio (recomendada); ","")&amp;IF(AND(M551&lt;&gt;"En ejecución",L551=""),"Falta fecha de terminación; ","")&amp;IF(AND(K551&lt;&gt;"",L551&lt;&gt;"",L551&lt;K551),"Terminación anterior al inicio; ","")&amp;IF(M551="","Falta estado; ","")&amp;IF(OR(P551="",P551&lt;=0),"Falta valor del contrato; ","")&amp;IF(AND(M551="En ejecución",Q551=""),"En ejecución sin valor ejecutado; ","")&amp;IF(AND(M551="En ejecución",L551&lt;&gt;"",L551&lt;TODAY()),"Dice en ejecución pero su terminación ya pasó; ","")&amp;IF(M551="En ejecución","En ejecución: no acredita experiencia; ","")&amp;IF(AND(M551&lt;&gt;"En ejecución",L551&lt;&gt;"",X551&lt;&gt;"",Y551=""),"El año no está en la hoja SMMLV; ","")&amp;IF(AND(B551&lt;&gt;"",COUNTIFS($B$2:$B$601,B551,$C$2:$C$601,C551)&gt;1),"Posible duplicado (mismo número y entidad); ","")&amp;IF(COUNTIF(PARTICIPACIONES!$A$2:$A$601,A551)=0,"Sin participaciones; ","")&amp;IF(SUMIFS(PARTICIPACIONES!$E$2:$E$601,PARTICIPACIONES!$A$2:$A$601,A551)&gt;1.0001,"Las participaciones suman más de 100 %; ",""))</f>
        <v/>
      </c>
    </row>
    <row r="552">
      <c r="J552" s="15" t="n"/>
      <c r="K552" s="15" t="n"/>
      <c r="L552" s="15" t="n"/>
      <c r="N552" s="15" t="n"/>
      <c r="O552" s="16" t="n"/>
      <c r="P552" s="16" t="n"/>
      <c r="Q552" s="16" t="n"/>
      <c r="W552" s="12">
        <f>IF(AND(K552&lt;&gt;"",L552&lt;&gt;""),ROUND((L552-K552)/30.4375,1),"")</f>
        <v/>
      </c>
      <c r="X552" s="12">
        <f>IF(OR(A552="",M552="En ejecución",L552=""),"",YEAR(L552))</f>
        <v/>
      </c>
      <c r="Y552" s="13">
        <f>IF(X552="","",IFERROR(VLOOKUP(X552,SMMLV!$A$2:$B$38,2,FALSE),""))</f>
        <v/>
      </c>
      <c r="Z552" s="17">
        <f>IF(OR(Y552="",P552=""),"",ROUND(P552/Y552,2))</f>
        <v/>
      </c>
      <c r="AA552" s="13">
        <f>IF(Z552="","",ROUND(Z552*SMMLV!$E$4,0))</f>
        <v/>
      </c>
      <c r="AB552" s="13">
        <f>IF(AND(M552="En ejecución",P552&lt;&gt;"",Q552&lt;&gt;""),MAX(P552-Q552,0),"")</f>
        <v/>
      </c>
      <c r="AC552" s="12">
        <f>IF(A552="","",IF(B552="","Falta número de contrato; ","")&amp;IF(C552="","Falta entidad; ","")&amp;IF(E552="","Falta objeto; ","")&amp;IF(F552="","Falta especialidad; ","")&amp;IF(K552="","Falta fecha de inicio (recomendada); ","")&amp;IF(AND(M552&lt;&gt;"En ejecución",L552=""),"Falta fecha de terminación; ","")&amp;IF(AND(K552&lt;&gt;"",L552&lt;&gt;"",L552&lt;K552),"Terminación anterior al inicio; ","")&amp;IF(M552="","Falta estado; ","")&amp;IF(OR(P552="",P552&lt;=0),"Falta valor del contrato; ","")&amp;IF(AND(M552="En ejecución",Q552=""),"En ejecución sin valor ejecutado; ","")&amp;IF(AND(M552="En ejecución",L552&lt;&gt;"",L552&lt;TODAY()),"Dice en ejecución pero su terminación ya pasó; ","")&amp;IF(M552="En ejecución","En ejecución: no acredita experiencia; ","")&amp;IF(AND(M552&lt;&gt;"En ejecución",L552&lt;&gt;"",X552&lt;&gt;"",Y552=""),"El año no está en la hoja SMMLV; ","")&amp;IF(AND(B552&lt;&gt;"",COUNTIFS($B$2:$B$601,B552,$C$2:$C$601,C552)&gt;1),"Posible duplicado (mismo número y entidad); ","")&amp;IF(COUNTIF(PARTICIPACIONES!$A$2:$A$601,A552)=0,"Sin participaciones; ","")&amp;IF(SUMIFS(PARTICIPACIONES!$E$2:$E$601,PARTICIPACIONES!$A$2:$A$601,A552)&gt;1.0001,"Las participaciones suman más de 100 %; ",""))</f>
        <v/>
      </c>
    </row>
    <row r="553">
      <c r="J553" s="15" t="n"/>
      <c r="K553" s="15" t="n"/>
      <c r="L553" s="15" t="n"/>
      <c r="N553" s="15" t="n"/>
      <c r="O553" s="16" t="n"/>
      <c r="P553" s="16" t="n"/>
      <c r="Q553" s="16" t="n"/>
      <c r="W553" s="12">
        <f>IF(AND(K553&lt;&gt;"",L553&lt;&gt;""),ROUND((L553-K553)/30.4375,1),"")</f>
        <v/>
      </c>
      <c r="X553" s="12">
        <f>IF(OR(A553="",M553="En ejecución",L553=""),"",YEAR(L553))</f>
        <v/>
      </c>
      <c r="Y553" s="13">
        <f>IF(X553="","",IFERROR(VLOOKUP(X553,SMMLV!$A$2:$B$38,2,FALSE),""))</f>
        <v/>
      </c>
      <c r="Z553" s="17">
        <f>IF(OR(Y553="",P553=""),"",ROUND(P553/Y553,2))</f>
        <v/>
      </c>
      <c r="AA553" s="13">
        <f>IF(Z553="","",ROUND(Z553*SMMLV!$E$4,0))</f>
        <v/>
      </c>
      <c r="AB553" s="13">
        <f>IF(AND(M553="En ejecución",P553&lt;&gt;"",Q553&lt;&gt;""),MAX(P553-Q553,0),"")</f>
        <v/>
      </c>
      <c r="AC553" s="12">
        <f>IF(A553="","",IF(B553="","Falta número de contrato; ","")&amp;IF(C553="","Falta entidad; ","")&amp;IF(E553="","Falta objeto; ","")&amp;IF(F553="","Falta especialidad; ","")&amp;IF(K553="","Falta fecha de inicio (recomendada); ","")&amp;IF(AND(M553&lt;&gt;"En ejecución",L553=""),"Falta fecha de terminación; ","")&amp;IF(AND(K553&lt;&gt;"",L553&lt;&gt;"",L553&lt;K553),"Terminación anterior al inicio; ","")&amp;IF(M553="","Falta estado; ","")&amp;IF(OR(P553="",P553&lt;=0),"Falta valor del contrato; ","")&amp;IF(AND(M553="En ejecución",Q553=""),"En ejecución sin valor ejecutado; ","")&amp;IF(AND(M553="En ejecución",L553&lt;&gt;"",L553&lt;TODAY()),"Dice en ejecución pero su terminación ya pasó; ","")&amp;IF(M553="En ejecución","En ejecución: no acredita experiencia; ","")&amp;IF(AND(M553&lt;&gt;"En ejecución",L553&lt;&gt;"",X553&lt;&gt;"",Y553=""),"El año no está en la hoja SMMLV; ","")&amp;IF(AND(B553&lt;&gt;"",COUNTIFS($B$2:$B$601,B553,$C$2:$C$601,C553)&gt;1),"Posible duplicado (mismo número y entidad); ","")&amp;IF(COUNTIF(PARTICIPACIONES!$A$2:$A$601,A553)=0,"Sin participaciones; ","")&amp;IF(SUMIFS(PARTICIPACIONES!$E$2:$E$601,PARTICIPACIONES!$A$2:$A$601,A553)&gt;1.0001,"Las participaciones suman más de 100 %; ",""))</f>
        <v/>
      </c>
    </row>
    <row r="554">
      <c r="J554" s="15" t="n"/>
      <c r="K554" s="15" t="n"/>
      <c r="L554" s="15" t="n"/>
      <c r="N554" s="15" t="n"/>
      <c r="O554" s="16" t="n"/>
      <c r="P554" s="16" t="n"/>
      <c r="Q554" s="16" t="n"/>
      <c r="W554" s="12">
        <f>IF(AND(K554&lt;&gt;"",L554&lt;&gt;""),ROUND((L554-K554)/30.4375,1),"")</f>
        <v/>
      </c>
      <c r="X554" s="12">
        <f>IF(OR(A554="",M554="En ejecución",L554=""),"",YEAR(L554))</f>
        <v/>
      </c>
      <c r="Y554" s="13">
        <f>IF(X554="","",IFERROR(VLOOKUP(X554,SMMLV!$A$2:$B$38,2,FALSE),""))</f>
        <v/>
      </c>
      <c r="Z554" s="17">
        <f>IF(OR(Y554="",P554=""),"",ROUND(P554/Y554,2))</f>
        <v/>
      </c>
      <c r="AA554" s="13">
        <f>IF(Z554="","",ROUND(Z554*SMMLV!$E$4,0))</f>
        <v/>
      </c>
      <c r="AB554" s="13">
        <f>IF(AND(M554="En ejecución",P554&lt;&gt;"",Q554&lt;&gt;""),MAX(P554-Q554,0),"")</f>
        <v/>
      </c>
      <c r="AC554" s="12">
        <f>IF(A554="","",IF(B554="","Falta número de contrato; ","")&amp;IF(C554="","Falta entidad; ","")&amp;IF(E554="","Falta objeto; ","")&amp;IF(F554="","Falta especialidad; ","")&amp;IF(K554="","Falta fecha de inicio (recomendada); ","")&amp;IF(AND(M554&lt;&gt;"En ejecución",L554=""),"Falta fecha de terminación; ","")&amp;IF(AND(K554&lt;&gt;"",L554&lt;&gt;"",L554&lt;K554),"Terminación anterior al inicio; ","")&amp;IF(M554="","Falta estado; ","")&amp;IF(OR(P554="",P554&lt;=0),"Falta valor del contrato; ","")&amp;IF(AND(M554="En ejecución",Q554=""),"En ejecución sin valor ejecutado; ","")&amp;IF(AND(M554="En ejecución",L554&lt;&gt;"",L554&lt;TODAY()),"Dice en ejecución pero su terminación ya pasó; ","")&amp;IF(M554="En ejecución","En ejecución: no acredita experiencia; ","")&amp;IF(AND(M554&lt;&gt;"En ejecución",L554&lt;&gt;"",X554&lt;&gt;"",Y554=""),"El año no está en la hoja SMMLV; ","")&amp;IF(AND(B554&lt;&gt;"",COUNTIFS($B$2:$B$601,B554,$C$2:$C$601,C554)&gt;1),"Posible duplicado (mismo número y entidad); ","")&amp;IF(COUNTIF(PARTICIPACIONES!$A$2:$A$601,A554)=0,"Sin participaciones; ","")&amp;IF(SUMIFS(PARTICIPACIONES!$E$2:$E$601,PARTICIPACIONES!$A$2:$A$601,A554)&gt;1.0001,"Las participaciones suman más de 100 %; ",""))</f>
        <v/>
      </c>
    </row>
    <row r="555">
      <c r="J555" s="15" t="n"/>
      <c r="K555" s="15" t="n"/>
      <c r="L555" s="15" t="n"/>
      <c r="N555" s="15" t="n"/>
      <c r="O555" s="16" t="n"/>
      <c r="P555" s="16" t="n"/>
      <c r="Q555" s="16" t="n"/>
      <c r="W555" s="12">
        <f>IF(AND(K555&lt;&gt;"",L555&lt;&gt;""),ROUND((L555-K555)/30.4375,1),"")</f>
        <v/>
      </c>
      <c r="X555" s="12">
        <f>IF(OR(A555="",M555="En ejecución",L555=""),"",YEAR(L555))</f>
        <v/>
      </c>
      <c r="Y555" s="13">
        <f>IF(X555="","",IFERROR(VLOOKUP(X555,SMMLV!$A$2:$B$38,2,FALSE),""))</f>
        <v/>
      </c>
      <c r="Z555" s="17">
        <f>IF(OR(Y555="",P555=""),"",ROUND(P555/Y555,2))</f>
        <v/>
      </c>
      <c r="AA555" s="13">
        <f>IF(Z555="","",ROUND(Z555*SMMLV!$E$4,0))</f>
        <v/>
      </c>
      <c r="AB555" s="13">
        <f>IF(AND(M555="En ejecución",P555&lt;&gt;"",Q555&lt;&gt;""),MAX(P555-Q555,0),"")</f>
        <v/>
      </c>
      <c r="AC555" s="12">
        <f>IF(A555="","",IF(B555="","Falta número de contrato; ","")&amp;IF(C555="","Falta entidad; ","")&amp;IF(E555="","Falta objeto; ","")&amp;IF(F555="","Falta especialidad; ","")&amp;IF(K555="","Falta fecha de inicio (recomendada); ","")&amp;IF(AND(M555&lt;&gt;"En ejecución",L555=""),"Falta fecha de terminación; ","")&amp;IF(AND(K555&lt;&gt;"",L555&lt;&gt;"",L555&lt;K555),"Terminación anterior al inicio; ","")&amp;IF(M555="","Falta estado; ","")&amp;IF(OR(P555="",P555&lt;=0),"Falta valor del contrato; ","")&amp;IF(AND(M555="En ejecución",Q555=""),"En ejecución sin valor ejecutado; ","")&amp;IF(AND(M555="En ejecución",L555&lt;&gt;"",L555&lt;TODAY()),"Dice en ejecución pero su terminación ya pasó; ","")&amp;IF(M555="En ejecución","En ejecución: no acredita experiencia; ","")&amp;IF(AND(M555&lt;&gt;"En ejecución",L555&lt;&gt;"",X555&lt;&gt;"",Y555=""),"El año no está en la hoja SMMLV; ","")&amp;IF(AND(B555&lt;&gt;"",COUNTIFS($B$2:$B$601,B555,$C$2:$C$601,C555)&gt;1),"Posible duplicado (mismo número y entidad); ","")&amp;IF(COUNTIF(PARTICIPACIONES!$A$2:$A$601,A555)=0,"Sin participaciones; ","")&amp;IF(SUMIFS(PARTICIPACIONES!$E$2:$E$601,PARTICIPACIONES!$A$2:$A$601,A555)&gt;1.0001,"Las participaciones suman más de 100 %; ",""))</f>
        <v/>
      </c>
    </row>
    <row r="556">
      <c r="J556" s="15" t="n"/>
      <c r="K556" s="15" t="n"/>
      <c r="L556" s="15" t="n"/>
      <c r="N556" s="15" t="n"/>
      <c r="O556" s="16" t="n"/>
      <c r="P556" s="16" t="n"/>
      <c r="Q556" s="16" t="n"/>
      <c r="W556" s="12">
        <f>IF(AND(K556&lt;&gt;"",L556&lt;&gt;""),ROUND((L556-K556)/30.4375,1),"")</f>
        <v/>
      </c>
      <c r="X556" s="12">
        <f>IF(OR(A556="",M556="En ejecución",L556=""),"",YEAR(L556))</f>
        <v/>
      </c>
      <c r="Y556" s="13">
        <f>IF(X556="","",IFERROR(VLOOKUP(X556,SMMLV!$A$2:$B$38,2,FALSE),""))</f>
        <v/>
      </c>
      <c r="Z556" s="17">
        <f>IF(OR(Y556="",P556=""),"",ROUND(P556/Y556,2))</f>
        <v/>
      </c>
      <c r="AA556" s="13">
        <f>IF(Z556="","",ROUND(Z556*SMMLV!$E$4,0))</f>
        <v/>
      </c>
      <c r="AB556" s="13">
        <f>IF(AND(M556="En ejecución",P556&lt;&gt;"",Q556&lt;&gt;""),MAX(P556-Q556,0),"")</f>
        <v/>
      </c>
      <c r="AC556" s="12">
        <f>IF(A556="","",IF(B556="","Falta número de contrato; ","")&amp;IF(C556="","Falta entidad; ","")&amp;IF(E556="","Falta objeto; ","")&amp;IF(F556="","Falta especialidad; ","")&amp;IF(K556="","Falta fecha de inicio (recomendada); ","")&amp;IF(AND(M556&lt;&gt;"En ejecución",L556=""),"Falta fecha de terminación; ","")&amp;IF(AND(K556&lt;&gt;"",L556&lt;&gt;"",L556&lt;K556),"Terminación anterior al inicio; ","")&amp;IF(M556="","Falta estado; ","")&amp;IF(OR(P556="",P556&lt;=0),"Falta valor del contrato; ","")&amp;IF(AND(M556="En ejecución",Q556=""),"En ejecución sin valor ejecutado; ","")&amp;IF(AND(M556="En ejecución",L556&lt;&gt;"",L556&lt;TODAY()),"Dice en ejecución pero su terminación ya pasó; ","")&amp;IF(M556="En ejecución","En ejecución: no acredita experiencia; ","")&amp;IF(AND(M556&lt;&gt;"En ejecución",L556&lt;&gt;"",X556&lt;&gt;"",Y556=""),"El año no está en la hoja SMMLV; ","")&amp;IF(AND(B556&lt;&gt;"",COUNTIFS($B$2:$B$601,B556,$C$2:$C$601,C556)&gt;1),"Posible duplicado (mismo número y entidad); ","")&amp;IF(COUNTIF(PARTICIPACIONES!$A$2:$A$601,A556)=0,"Sin participaciones; ","")&amp;IF(SUMIFS(PARTICIPACIONES!$E$2:$E$601,PARTICIPACIONES!$A$2:$A$601,A556)&gt;1.0001,"Las participaciones suman más de 100 %; ",""))</f>
        <v/>
      </c>
    </row>
    <row r="557">
      <c r="J557" s="15" t="n"/>
      <c r="K557" s="15" t="n"/>
      <c r="L557" s="15" t="n"/>
      <c r="N557" s="15" t="n"/>
      <c r="O557" s="16" t="n"/>
      <c r="P557" s="16" t="n"/>
      <c r="Q557" s="16" t="n"/>
      <c r="W557" s="12">
        <f>IF(AND(K557&lt;&gt;"",L557&lt;&gt;""),ROUND((L557-K557)/30.4375,1),"")</f>
        <v/>
      </c>
      <c r="X557" s="12">
        <f>IF(OR(A557="",M557="En ejecución",L557=""),"",YEAR(L557))</f>
        <v/>
      </c>
      <c r="Y557" s="13">
        <f>IF(X557="","",IFERROR(VLOOKUP(X557,SMMLV!$A$2:$B$38,2,FALSE),""))</f>
        <v/>
      </c>
      <c r="Z557" s="17">
        <f>IF(OR(Y557="",P557=""),"",ROUND(P557/Y557,2))</f>
        <v/>
      </c>
      <c r="AA557" s="13">
        <f>IF(Z557="","",ROUND(Z557*SMMLV!$E$4,0))</f>
        <v/>
      </c>
      <c r="AB557" s="13">
        <f>IF(AND(M557="En ejecución",P557&lt;&gt;"",Q557&lt;&gt;""),MAX(P557-Q557,0),"")</f>
        <v/>
      </c>
      <c r="AC557" s="12">
        <f>IF(A557="","",IF(B557="","Falta número de contrato; ","")&amp;IF(C557="","Falta entidad; ","")&amp;IF(E557="","Falta objeto; ","")&amp;IF(F557="","Falta especialidad; ","")&amp;IF(K557="","Falta fecha de inicio (recomendada); ","")&amp;IF(AND(M557&lt;&gt;"En ejecución",L557=""),"Falta fecha de terminación; ","")&amp;IF(AND(K557&lt;&gt;"",L557&lt;&gt;"",L557&lt;K557),"Terminación anterior al inicio; ","")&amp;IF(M557="","Falta estado; ","")&amp;IF(OR(P557="",P557&lt;=0),"Falta valor del contrato; ","")&amp;IF(AND(M557="En ejecución",Q557=""),"En ejecución sin valor ejecutado; ","")&amp;IF(AND(M557="En ejecución",L557&lt;&gt;"",L557&lt;TODAY()),"Dice en ejecución pero su terminación ya pasó; ","")&amp;IF(M557="En ejecución","En ejecución: no acredita experiencia; ","")&amp;IF(AND(M557&lt;&gt;"En ejecución",L557&lt;&gt;"",X557&lt;&gt;"",Y557=""),"El año no está en la hoja SMMLV; ","")&amp;IF(AND(B557&lt;&gt;"",COUNTIFS($B$2:$B$601,B557,$C$2:$C$601,C557)&gt;1),"Posible duplicado (mismo número y entidad); ","")&amp;IF(COUNTIF(PARTICIPACIONES!$A$2:$A$601,A557)=0,"Sin participaciones; ","")&amp;IF(SUMIFS(PARTICIPACIONES!$E$2:$E$601,PARTICIPACIONES!$A$2:$A$601,A557)&gt;1.0001,"Las participaciones suman más de 100 %; ",""))</f>
        <v/>
      </c>
    </row>
    <row r="558">
      <c r="J558" s="15" t="n"/>
      <c r="K558" s="15" t="n"/>
      <c r="L558" s="15" t="n"/>
      <c r="N558" s="15" t="n"/>
      <c r="O558" s="16" t="n"/>
      <c r="P558" s="16" t="n"/>
      <c r="Q558" s="16" t="n"/>
      <c r="W558" s="12">
        <f>IF(AND(K558&lt;&gt;"",L558&lt;&gt;""),ROUND((L558-K558)/30.4375,1),"")</f>
        <v/>
      </c>
      <c r="X558" s="12">
        <f>IF(OR(A558="",M558="En ejecución",L558=""),"",YEAR(L558))</f>
        <v/>
      </c>
      <c r="Y558" s="13">
        <f>IF(X558="","",IFERROR(VLOOKUP(X558,SMMLV!$A$2:$B$38,2,FALSE),""))</f>
        <v/>
      </c>
      <c r="Z558" s="17">
        <f>IF(OR(Y558="",P558=""),"",ROUND(P558/Y558,2))</f>
        <v/>
      </c>
      <c r="AA558" s="13">
        <f>IF(Z558="","",ROUND(Z558*SMMLV!$E$4,0))</f>
        <v/>
      </c>
      <c r="AB558" s="13">
        <f>IF(AND(M558="En ejecución",P558&lt;&gt;"",Q558&lt;&gt;""),MAX(P558-Q558,0),"")</f>
        <v/>
      </c>
      <c r="AC558" s="12">
        <f>IF(A558="","",IF(B558="","Falta número de contrato; ","")&amp;IF(C558="","Falta entidad; ","")&amp;IF(E558="","Falta objeto; ","")&amp;IF(F558="","Falta especialidad; ","")&amp;IF(K558="","Falta fecha de inicio (recomendada); ","")&amp;IF(AND(M558&lt;&gt;"En ejecución",L558=""),"Falta fecha de terminación; ","")&amp;IF(AND(K558&lt;&gt;"",L558&lt;&gt;"",L558&lt;K558),"Terminación anterior al inicio; ","")&amp;IF(M558="","Falta estado; ","")&amp;IF(OR(P558="",P558&lt;=0),"Falta valor del contrato; ","")&amp;IF(AND(M558="En ejecución",Q558=""),"En ejecución sin valor ejecutado; ","")&amp;IF(AND(M558="En ejecución",L558&lt;&gt;"",L558&lt;TODAY()),"Dice en ejecución pero su terminación ya pasó; ","")&amp;IF(M558="En ejecución","En ejecución: no acredita experiencia; ","")&amp;IF(AND(M558&lt;&gt;"En ejecución",L558&lt;&gt;"",X558&lt;&gt;"",Y558=""),"El año no está en la hoja SMMLV; ","")&amp;IF(AND(B558&lt;&gt;"",COUNTIFS($B$2:$B$601,B558,$C$2:$C$601,C558)&gt;1),"Posible duplicado (mismo número y entidad); ","")&amp;IF(COUNTIF(PARTICIPACIONES!$A$2:$A$601,A558)=0,"Sin participaciones; ","")&amp;IF(SUMIFS(PARTICIPACIONES!$E$2:$E$601,PARTICIPACIONES!$A$2:$A$601,A558)&gt;1.0001,"Las participaciones suman más de 100 %; ",""))</f>
        <v/>
      </c>
    </row>
    <row r="559">
      <c r="J559" s="15" t="n"/>
      <c r="K559" s="15" t="n"/>
      <c r="L559" s="15" t="n"/>
      <c r="N559" s="15" t="n"/>
      <c r="O559" s="16" t="n"/>
      <c r="P559" s="16" t="n"/>
      <c r="Q559" s="16" t="n"/>
      <c r="W559" s="12">
        <f>IF(AND(K559&lt;&gt;"",L559&lt;&gt;""),ROUND((L559-K559)/30.4375,1),"")</f>
        <v/>
      </c>
      <c r="X559" s="12">
        <f>IF(OR(A559="",M559="En ejecución",L559=""),"",YEAR(L559))</f>
        <v/>
      </c>
      <c r="Y559" s="13">
        <f>IF(X559="","",IFERROR(VLOOKUP(X559,SMMLV!$A$2:$B$38,2,FALSE),""))</f>
        <v/>
      </c>
      <c r="Z559" s="17">
        <f>IF(OR(Y559="",P559=""),"",ROUND(P559/Y559,2))</f>
        <v/>
      </c>
      <c r="AA559" s="13">
        <f>IF(Z559="","",ROUND(Z559*SMMLV!$E$4,0))</f>
        <v/>
      </c>
      <c r="AB559" s="13">
        <f>IF(AND(M559="En ejecución",P559&lt;&gt;"",Q559&lt;&gt;""),MAX(P559-Q559,0),"")</f>
        <v/>
      </c>
      <c r="AC559" s="12">
        <f>IF(A559="","",IF(B559="","Falta número de contrato; ","")&amp;IF(C559="","Falta entidad; ","")&amp;IF(E559="","Falta objeto; ","")&amp;IF(F559="","Falta especialidad; ","")&amp;IF(K559="","Falta fecha de inicio (recomendada); ","")&amp;IF(AND(M559&lt;&gt;"En ejecución",L559=""),"Falta fecha de terminación; ","")&amp;IF(AND(K559&lt;&gt;"",L559&lt;&gt;"",L559&lt;K559),"Terminación anterior al inicio; ","")&amp;IF(M559="","Falta estado; ","")&amp;IF(OR(P559="",P559&lt;=0),"Falta valor del contrato; ","")&amp;IF(AND(M559="En ejecución",Q559=""),"En ejecución sin valor ejecutado; ","")&amp;IF(AND(M559="En ejecución",L559&lt;&gt;"",L559&lt;TODAY()),"Dice en ejecución pero su terminación ya pasó; ","")&amp;IF(M559="En ejecución","En ejecución: no acredita experiencia; ","")&amp;IF(AND(M559&lt;&gt;"En ejecución",L559&lt;&gt;"",X559&lt;&gt;"",Y559=""),"El año no está en la hoja SMMLV; ","")&amp;IF(AND(B559&lt;&gt;"",COUNTIFS($B$2:$B$601,B559,$C$2:$C$601,C559)&gt;1),"Posible duplicado (mismo número y entidad); ","")&amp;IF(COUNTIF(PARTICIPACIONES!$A$2:$A$601,A559)=0,"Sin participaciones; ","")&amp;IF(SUMIFS(PARTICIPACIONES!$E$2:$E$601,PARTICIPACIONES!$A$2:$A$601,A559)&gt;1.0001,"Las participaciones suman más de 100 %; ",""))</f>
        <v/>
      </c>
    </row>
    <row r="560">
      <c r="J560" s="15" t="n"/>
      <c r="K560" s="15" t="n"/>
      <c r="L560" s="15" t="n"/>
      <c r="N560" s="15" t="n"/>
      <c r="O560" s="16" t="n"/>
      <c r="P560" s="16" t="n"/>
      <c r="Q560" s="16" t="n"/>
      <c r="W560" s="12">
        <f>IF(AND(K560&lt;&gt;"",L560&lt;&gt;""),ROUND((L560-K560)/30.4375,1),"")</f>
        <v/>
      </c>
      <c r="X560" s="12">
        <f>IF(OR(A560="",M560="En ejecución",L560=""),"",YEAR(L560))</f>
        <v/>
      </c>
      <c r="Y560" s="13">
        <f>IF(X560="","",IFERROR(VLOOKUP(X560,SMMLV!$A$2:$B$38,2,FALSE),""))</f>
        <v/>
      </c>
      <c r="Z560" s="17">
        <f>IF(OR(Y560="",P560=""),"",ROUND(P560/Y560,2))</f>
        <v/>
      </c>
      <c r="AA560" s="13">
        <f>IF(Z560="","",ROUND(Z560*SMMLV!$E$4,0))</f>
        <v/>
      </c>
      <c r="AB560" s="13">
        <f>IF(AND(M560="En ejecución",P560&lt;&gt;"",Q560&lt;&gt;""),MAX(P560-Q560,0),"")</f>
        <v/>
      </c>
      <c r="AC560" s="12">
        <f>IF(A560="","",IF(B560="","Falta número de contrato; ","")&amp;IF(C560="","Falta entidad; ","")&amp;IF(E560="","Falta objeto; ","")&amp;IF(F560="","Falta especialidad; ","")&amp;IF(K560="","Falta fecha de inicio (recomendada); ","")&amp;IF(AND(M560&lt;&gt;"En ejecución",L560=""),"Falta fecha de terminación; ","")&amp;IF(AND(K560&lt;&gt;"",L560&lt;&gt;"",L560&lt;K560),"Terminación anterior al inicio; ","")&amp;IF(M560="","Falta estado; ","")&amp;IF(OR(P560="",P560&lt;=0),"Falta valor del contrato; ","")&amp;IF(AND(M560="En ejecución",Q560=""),"En ejecución sin valor ejecutado; ","")&amp;IF(AND(M560="En ejecución",L560&lt;&gt;"",L560&lt;TODAY()),"Dice en ejecución pero su terminación ya pasó; ","")&amp;IF(M560="En ejecución","En ejecución: no acredita experiencia; ","")&amp;IF(AND(M560&lt;&gt;"En ejecución",L560&lt;&gt;"",X560&lt;&gt;"",Y560=""),"El año no está en la hoja SMMLV; ","")&amp;IF(AND(B560&lt;&gt;"",COUNTIFS($B$2:$B$601,B560,$C$2:$C$601,C560)&gt;1),"Posible duplicado (mismo número y entidad); ","")&amp;IF(COUNTIF(PARTICIPACIONES!$A$2:$A$601,A560)=0,"Sin participaciones; ","")&amp;IF(SUMIFS(PARTICIPACIONES!$E$2:$E$601,PARTICIPACIONES!$A$2:$A$601,A560)&gt;1.0001,"Las participaciones suman más de 100 %; ",""))</f>
        <v/>
      </c>
    </row>
    <row r="561">
      <c r="J561" s="15" t="n"/>
      <c r="K561" s="15" t="n"/>
      <c r="L561" s="15" t="n"/>
      <c r="N561" s="15" t="n"/>
      <c r="O561" s="16" t="n"/>
      <c r="P561" s="16" t="n"/>
      <c r="Q561" s="16" t="n"/>
      <c r="W561" s="12">
        <f>IF(AND(K561&lt;&gt;"",L561&lt;&gt;""),ROUND((L561-K561)/30.4375,1),"")</f>
        <v/>
      </c>
      <c r="X561" s="12">
        <f>IF(OR(A561="",M561="En ejecución",L561=""),"",YEAR(L561))</f>
        <v/>
      </c>
      <c r="Y561" s="13">
        <f>IF(X561="","",IFERROR(VLOOKUP(X561,SMMLV!$A$2:$B$38,2,FALSE),""))</f>
        <v/>
      </c>
      <c r="Z561" s="17">
        <f>IF(OR(Y561="",P561=""),"",ROUND(P561/Y561,2))</f>
        <v/>
      </c>
      <c r="AA561" s="13">
        <f>IF(Z561="","",ROUND(Z561*SMMLV!$E$4,0))</f>
        <v/>
      </c>
      <c r="AB561" s="13">
        <f>IF(AND(M561="En ejecución",P561&lt;&gt;"",Q561&lt;&gt;""),MAX(P561-Q561,0),"")</f>
        <v/>
      </c>
      <c r="AC561" s="12">
        <f>IF(A561="","",IF(B561="","Falta número de contrato; ","")&amp;IF(C561="","Falta entidad; ","")&amp;IF(E561="","Falta objeto; ","")&amp;IF(F561="","Falta especialidad; ","")&amp;IF(K561="","Falta fecha de inicio (recomendada); ","")&amp;IF(AND(M561&lt;&gt;"En ejecución",L561=""),"Falta fecha de terminación; ","")&amp;IF(AND(K561&lt;&gt;"",L561&lt;&gt;"",L561&lt;K561),"Terminación anterior al inicio; ","")&amp;IF(M561="","Falta estado; ","")&amp;IF(OR(P561="",P561&lt;=0),"Falta valor del contrato; ","")&amp;IF(AND(M561="En ejecución",Q561=""),"En ejecución sin valor ejecutado; ","")&amp;IF(AND(M561="En ejecución",L561&lt;&gt;"",L561&lt;TODAY()),"Dice en ejecución pero su terminación ya pasó; ","")&amp;IF(M561="En ejecución","En ejecución: no acredita experiencia; ","")&amp;IF(AND(M561&lt;&gt;"En ejecución",L561&lt;&gt;"",X561&lt;&gt;"",Y561=""),"El año no está en la hoja SMMLV; ","")&amp;IF(AND(B561&lt;&gt;"",COUNTIFS($B$2:$B$601,B561,$C$2:$C$601,C561)&gt;1),"Posible duplicado (mismo número y entidad); ","")&amp;IF(COUNTIF(PARTICIPACIONES!$A$2:$A$601,A561)=0,"Sin participaciones; ","")&amp;IF(SUMIFS(PARTICIPACIONES!$E$2:$E$601,PARTICIPACIONES!$A$2:$A$601,A561)&gt;1.0001,"Las participaciones suman más de 100 %; ",""))</f>
        <v/>
      </c>
    </row>
    <row r="562">
      <c r="J562" s="15" t="n"/>
      <c r="K562" s="15" t="n"/>
      <c r="L562" s="15" t="n"/>
      <c r="N562" s="15" t="n"/>
      <c r="O562" s="16" t="n"/>
      <c r="P562" s="16" t="n"/>
      <c r="Q562" s="16" t="n"/>
      <c r="W562" s="12">
        <f>IF(AND(K562&lt;&gt;"",L562&lt;&gt;""),ROUND((L562-K562)/30.4375,1),"")</f>
        <v/>
      </c>
      <c r="X562" s="12">
        <f>IF(OR(A562="",M562="En ejecución",L562=""),"",YEAR(L562))</f>
        <v/>
      </c>
      <c r="Y562" s="13">
        <f>IF(X562="","",IFERROR(VLOOKUP(X562,SMMLV!$A$2:$B$38,2,FALSE),""))</f>
        <v/>
      </c>
      <c r="Z562" s="17">
        <f>IF(OR(Y562="",P562=""),"",ROUND(P562/Y562,2))</f>
        <v/>
      </c>
      <c r="AA562" s="13">
        <f>IF(Z562="","",ROUND(Z562*SMMLV!$E$4,0))</f>
        <v/>
      </c>
      <c r="AB562" s="13">
        <f>IF(AND(M562="En ejecución",P562&lt;&gt;"",Q562&lt;&gt;""),MAX(P562-Q562,0),"")</f>
        <v/>
      </c>
      <c r="AC562" s="12">
        <f>IF(A562="","",IF(B562="","Falta número de contrato; ","")&amp;IF(C562="","Falta entidad; ","")&amp;IF(E562="","Falta objeto; ","")&amp;IF(F562="","Falta especialidad; ","")&amp;IF(K562="","Falta fecha de inicio (recomendada); ","")&amp;IF(AND(M562&lt;&gt;"En ejecución",L562=""),"Falta fecha de terminación; ","")&amp;IF(AND(K562&lt;&gt;"",L562&lt;&gt;"",L562&lt;K562),"Terminación anterior al inicio; ","")&amp;IF(M562="","Falta estado; ","")&amp;IF(OR(P562="",P562&lt;=0),"Falta valor del contrato; ","")&amp;IF(AND(M562="En ejecución",Q562=""),"En ejecución sin valor ejecutado; ","")&amp;IF(AND(M562="En ejecución",L562&lt;&gt;"",L562&lt;TODAY()),"Dice en ejecución pero su terminación ya pasó; ","")&amp;IF(M562="En ejecución","En ejecución: no acredita experiencia; ","")&amp;IF(AND(M562&lt;&gt;"En ejecución",L562&lt;&gt;"",X562&lt;&gt;"",Y562=""),"El año no está en la hoja SMMLV; ","")&amp;IF(AND(B562&lt;&gt;"",COUNTIFS($B$2:$B$601,B562,$C$2:$C$601,C562)&gt;1),"Posible duplicado (mismo número y entidad); ","")&amp;IF(COUNTIF(PARTICIPACIONES!$A$2:$A$601,A562)=0,"Sin participaciones; ","")&amp;IF(SUMIFS(PARTICIPACIONES!$E$2:$E$601,PARTICIPACIONES!$A$2:$A$601,A562)&gt;1.0001,"Las participaciones suman más de 100 %; ",""))</f>
        <v/>
      </c>
    </row>
    <row r="563">
      <c r="J563" s="15" t="n"/>
      <c r="K563" s="15" t="n"/>
      <c r="L563" s="15" t="n"/>
      <c r="N563" s="15" t="n"/>
      <c r="O563" s="16" t="n"/>
      <c r="P563" s="16" t="n"/>
      <c r="Q563" s="16" t="n"/>
      <c r="W563" s="12">
        <f>IF(AND(K563&lt;&gt;"",L563&lt;&gt;""),ROUND((L563-K563)/30.4375,1),"")</f>
        <v/>
      </c>
      <c r="X563" s="12">
        <f>IF(OR(A563="",M563="En ejecución",L563=""),"",YEAR(L563))</f>
        <v/>
      </c>
      <c r="Y563" s="13">
        <f>IF(X563="","",IFERROR(VLOOKUP(X563,SMMLV!$A$2:$B$38,2,FALSE),""))</f>
        <v/>
      </c>
      <c r="Z563" s="17">
        <f>IF(OR(Y563="",P563=""),"",ROUND(P563/Y563,2))</f>
        <v/>
      </c>
      <c r="AA563" s="13">
        <f>IF(Z563="","",ROUND(Z563*SMMLV!$E$4,0))</f>
        <v/>
      </c>
      <c r="AB563" s="13">
        <f>IF(AND(M563="En ejecución",P563&lt;&gt;"",Q563&lt;&gt;""),MAX(P563-Q563,0),"")</f>
        <v/>
      </c>
      <c r="AC563" s="12">
        <f>IF(A563="","",IF(B563="","Falta número de contrato; ","")&amp;IF(C563="","Falta entidad; ","")&amp;IF(E563="","Falta objeto; ","")&amp;IF(F563="","Falta especialidad; ","")&amp;IF(K563="","Falta fecha de inicio (recomendada); ","")&amp;IF(AND(M563&lt;&gt;"En ejecución",L563=""),"Falta fecha de terminación; ","")&amp;IF(AND(K563&lt;&gt;"",L563&lt;&gt;"",L563&lt;K563),"Terminación anterior al inicio; ","")&amp;IF(M563="","Falta estado; ","")&amp;IF(OR(P563="",P563&lt;=0),"Falta valor del contrato; ","")&amp;IF(AND(M563="En ejecución",Q563=""),"En ejecución sin valor ejecutado; ","")&amp;IF(AND(M563="En ejecución",L563&lt;&gt;"",L563&lt;TODAY()),"Dice en ejecución pero su terminación ya pasó; ","")&amp;IF(M563="En ejecución","En ejecución: no acredita experiencia; ","")&amp;IF(AND(M563&lt;&gt;"En ejecución",L563&lt;&gt;"",X563&lt;&gt;"",Y563=""),"El año no está en la hoja SMMLV; ","")&amp;IF(AND(B563&lt;&gt;"",COUNTIFS($B$2:$B$601,B563,$C$2:$C$601,C563)&gt;1),"Posible duplicado (mismo número y entidad); ","")&amp;IF(COUNTIF(PARTICIPACIONES!$A$2:$A$601,A563)=0,"Sin participaciones; ","")&amp;IF(SUMIFS(PARTICIPACIONES!$E$2:$E$601,PARTICIPACIONES!$A$2:$A$601,A563)&gt;1.0001,"Las participaciones suman más de 100 %; ",""))</f>
        <v/>
      </c>
    </row>
    <row r="564">
      <c r="J564" s="15" t="n"/>
      <c r="K564" s="15" t="n"/>
      <c r="L564" s="15" t="n"/>
      <c r="N564" s="15" t="n"/>
      <c r="O564" s="16" t="n"/>
      <c r="P564" s="16" t="n"/>
      <c r="Q564" s="16" t="n"/>
      <c r="W564" s="12">
        <f>IF(AND(K564&lt;&gt;"",L564&lt;&gt;""),ROUND((L564-K564)/30.4375,1),"")</f>
        <v/>
      </c>
      <c r="X564" s="12">
        <f>IF(OR(A564="",M564="En ejecución",L564=""),"",YEAR(L564))</f>
        <v/>
      </c>
      <c r="Y564" s="13">
        <f>IF(X564="","",IFERROR(VLOOKUP(X564,SMMLV!$A$2:$B$38,2,FALSE),""))</f>
        <v/>
      </c>
      <c r="Z564" s="17">
        <f>IF(OR(Y564="",P564=""),"",ROUND(P564/Y564,2))</f>
        <v/>
      </c>
      <c r="AA564" s="13">
        <f>IF(Z564="","",ROUND(Z564*SMMLV!$E$4,0))</f>
        <v/>
      </c>
      <c r="AB564" s="13">
        <f>IF(AND(M564="En ejecución",P564&lt;&gt;"",Q564&lt;&gt;""),MAX(P564-Q564,0),"")</f>
        <v/>
      </c>
      <c r="AC564" s="12">
        <f>IF(A564="","",IF(B564="","Falta número de contrato; ","")&amp;IF(C564="","Falta entidad; ","")&amp;IF(E564="","Falta objeto; ","")&amp;IF(F564="","Falta especialidad; ","")&amp;IF(K564="","Falta fecha de inicio (recomendada); ","")&amp;IF(AND(M564&lt;&gt;"En ejecución",L564=""),"Falta fecha de terminación; ","")&amp;IF(AND(K564&lt;&gt;"",L564&lt;&gt;"",L564&lt;K564),"Terminación anterior al inicio; ","")&amp;IF(M564="","Falta estado; ","")&amp;IF(OR(P564="",P564&lt;=0),"Falta valor del contrato; ","")&amp;IF(AND(M564="En ejecución",Q564=""),"En ejecución sin valor ejecutado; ","")&amp;IF(AND(M564="En ejecución",L564&lt;&gt;"",L564&lt;TODAY()),"Dice en ejecución pero su terminación ya pasó; ","")&amp;IF(M564="En ejecución","En ejecución: no acredita experiencia; ","")&amp;IF(AND(M564&lt;&gt;"En ejecución",L564&lt;&gt;"",X564&lt;&gt;"",Y564=""),"El año no está en la hoja SMMLV; ","")&amp;IF(AND(B564&lt;&gt;"",COUNTIFS($B$2:$B$601,B564,$C$2:$C$601,C564)&gt;1),"Posible duplicado (mismo número y entidad); ","")&amp;IF(COUNTIF(PARTICIPACIONES!$A$2:$A$601,A564)=0,"Sin participaciones; ","")&amp;IF(SUMIFS(PARTICIPACIONES!$E$2:$E$601,PARTICIPACIONES!$A$2:$A$601,A564)&gt;1.0001,"Las participaciones suman más de 100 %; ",""))</f>
        <v/>
      </c>
    </row>
    <row r="565">
      <c r="J565" s="15" t="n"/>
      <c r="K565" s="15" t="n"/>
      <c r="L565" s="15" t="n"/>
      <c r="N565" s="15" t="n"/>
      <c r="O565" s="16" t="n"/>
      <c r="P565" s="16" t="n"/>
      <c r="Q565" s="16" t="n"/>
      <c r="W565" s="12">
        <f>IF(AND(K565&lt;&gt;"",L565&lt;&gt;""),ROUND((L565-K565)/30.4375,1),"")</f>
        <v/>
      </c>
      <c r="X565" s="12">
        <f>IF(OR(A565="",M565="En ejecución",L565=""),"",YEAR(L565))</f>
        <v/>
      </c>
      <c r="Y565" s="13">
        <f>IF(X565="","",IFERROR(VLOOKUP(X565,SMMLV!$A$2:$B$38,2,FALSE),""))</f>
        <v/>
      </c>
      <c r="Z565" s="17">
        <f>IF(OR(Y565="",P565=""),"",ROUND(P565/Y565,2))</f>
        <v/>
      </c>
      <c r="AA565" s="13">
        <f>IF(Z565="","",ROUND(Z565*SMMLV!$E$4,0))</f>
        <v/>
      </c>
      <c r="AB565" s="13">
        <f>IF(AND(M565="En ejecución",P565&lt;&gt;"",Q565&lt;&gt;""),MAX(P565-Q565,0),"")</f>
        <v/>
      </c>
      <c r="AC565" s="12">
        <f>IF(A565="","",IF(B565="","Falta número de contrato; ","")&amp;IF(C565="","Falta entidad; ","")&amp;IF(E565="","Falta objeto; ","")&amp;IF(F565="","Falta especialidad; ","")&amp;IF(K565="","Falta fecha de inicio (recomendada); ","")&amp;IF(AND(M565&lt;&gt;"En ejecución",L565=""),"Falta fecha de terminación; ","")&amp;IF(AND(K565&lt;&gt;"",L565&lt;&gt;"",L565&lt;K565),"Terminación anterior al inicio; ","")&amp;IF(M565="","Falta estado; ","")&amp;IF(OR(P565="",P565&lt;=0),"Falta valor del contrato; ","")&amp;IF(AND(M565="En ejecución",Q565=""),"En ejecución sin valor ejecutado; ","")&amp;IF(AND(M565="En ejecución",L565&lt;&gt;"",L565&lt;TODAY()),"Dice en ejecución pero su terminación ya pasó; ","")&amp;IF(M565="En ejecución","En ejecución: no acredita experiencia; ","")&amp;IF(AND(M565&lt;&gt;"En ejecución",L565&lt;&gt;"",X565&lt;&gt;"",Y565=""),"El año no está en la hoja SMMLV; ","")&amp;IF(AND(B565&lt;&gt;"",COUNTIFS($B$2:$B$601,B565,$C$2:$C$601,C565)&gt;1),"Posible duplicado (mismo número y entidad); ","")&amp;IF(COUNTIF(PARTICIPACIONES!$A$2:$A$601,A565)=0,"Sin participaciones; ","")&amp;IF(SUMIFS(PARTICIPACIONES!$E$2:$E$601,PARTICIPACIONES!$A$2:$A$601,A565)&gt;1.0001,"Las participaciones suman más de 100 %; ",""))</f>
        <v/>
      </c>
    </row>
    <row r="566">
      <c r="J566" s="15" t="n"/>
      <c r="K566" s="15" t="n"/>
      <c r="L566" s="15" t="n"/>
      <c r="N566" s="15" t="n"/>
      <c r="O566" s="16" t="n"/>
      <c r="P566" s="16" t="n"/>
      <c r="Q566" s="16" t="n"/>
      <c r="W566" s="12">
        <f>IF(AND(K566&lt;&gt;"",L566&lt;&gt;""),ROUND((L566-K566)/30.4375,1),"")</f>
        <v/>
      </c>
      <c r="X566" s="12">
        <f>IF(OR(A566="",M566="En ejecución",L566=""),"",YEAR(L566))</f>
        <v/>
      </c>
      <c r="Y566" s="13">
        <f>IF(X566="","",IFERROR(VLOOKUP(X566,SMMLV!$A$2:$B$38,2,FALSE),""))</f>
        <v/>
      </c>
      <c r="Z566" s="17">
        <f>IF(OR(Y566="",P566=""),"",ROUND(P566/Y566,2))</f>
        <v/>
      </c>
      <c r="AA566" s="13">
        <f>IF(Z566="","",ROUND(Z566*SMMLV!$E$4,0))</f>
        <v/>
      </c>
      <c r="AB566" s="13">
        <f>IF(AND(M566="En ejecución",P566&lt;&gt;"",Q566&lt;&gt;""),MAX(P566-Q566,0),"")</f>
        <v/>
      </c>
      <c r="AC566" s="12">
        <f>IF(A566="","",IF(B566="","Falta número de contrato; ","")&amp;IF(C566="","Falta entidad; ","")&amp;IF(E566="","Falta objeto; ","")&amp;IF(F566="","Falta especialidad; ","")&amp;IF(K566="","Falta fecha de inicio (recomendada); ","")&amp;IF(AND(M566&lt;&gt;"En ejecución",L566=""),"Falta fecha de terminación; ","")&amp;IF(AND(K566&lt;&gt;"",L566&lt;&gt;"",L566&lt;K566),"Terminación anterior al inicio; ","")&amp;IF(M566="","Falta estado; ","")&amp;IF(OR(P566="",P566&lt;=0),"Falta valor del contrato; ","")&amp;IF(AND(M566="En ejecución",Q566=""),"En ejecución sin valor ejecutado; ","")&amp;IF(AND(M566="En ejecución",L566&lt;&gt;"",L566&lt;TODAY()),"Dice en ejecución pero su terminación ya pasó; ","")&amp;IF(M566="En ejecución","En ejecución: no acredita experiencia; ","")&amp;IF(AND(M566&lt;&gt;"En ejecución",L566&lt;&gt;"",X566&lt;&gt;"",Y566=""),"El año no está en la hoja SMMLV; ","")&amp;IF(AND(B566&lt;&gt;"",COUNTIFS($B$2:$B$601,B566,$C$2:$C$601,C566)&gt;1),"Posible duplicado (mismo número y entidad); ","")&amp;IF(COUNTIF(PARTICIPACIONES!$A$2:$A$601,A566)=0,"Sin participaciones; ","")&amp;IF(SUMIFS(PARTICIPACIONES!$E$2:$E$601,PARTICIPACIONES!$A$2:$A$601,A566)&gt;1.0001,"Las participaciones suman más de 100 %; ",""))</f>
        <v/>
      </c>
    </row>
    <row r="567">
      <c r="J567" s="15" t="n"/>
      <c r="K567" s="15" t="n"/>
      <c r="L567" s="15" t="n"/>
      <c r="N567" s="15" t="n"/>
      <c r="O567" s="16" t="n"/>
      <c r="P567" s="16" t="n"/>
      <c r="Q567" s="16" t="n"/>
      <c r="W567" s="12">
        <f>IF(AND(K567&lt;&gt;"",L567&lt;&gt;""),ROUND((L567-K567)/30.4375,1),"")</f>
        <v/>
      </c>
      <c r="X567" s="12">
        <f>IF(OR(A567="",M567="En ejecución",L567=""),"",YEAR(L567))</f>
        <v/>
      </c>
      <c r="Y567" s="13">
        <f>IF(X567="","",IFERROR(VLOOKUP(X567,SMMLV!$A$2:$B$38,2,FALSE),""))</f>
        <v/>
      </c>
      <c r="Z567" s="17">
        <f>IF(OR(Y567="",P567=""),"",ROUND(P567/Y567,2))</f>
        <v/>
      </c>
      <c r="AA567" s="13">
        <f>IF(Z567="","",ROUND(Z567*SMMLV!$E$4,0))</f>
        <v/>
      </c>
      <c r="AB567" s="13">
        <f>IF(AND(M567="En ejecución",P567&lt;&gt;"",Q567&lt;&gt;""),MAX(P567-Q567,0),"")</f>
        <v/>
      </c>
      <c r="AC567" s="12">
        <f>IF(A567="","",IF(B567="","Falta número de contrato; ","")&amp;IF(C567="","Falta entidad; ","")&amp;IF(E567="","Falta objeto; ","")&amp;IF(F567="","Falta especialidad; ","")&amp;IF(K567="","Falta fecha de inicio (recomendada); ","")&amp;IF(AND(M567&lt;&gt;"En ejecución",L567=""),"Falta fecha de terminación; ","")&amp;IF(AND(K567&lt;&gt;"",L567&lt;&gt;"",L567&lt;K567),"Terminación anterior al inicio; ","")&amp;IF(M567="","Falta estado; ","")&amp;IF(OR(P567="",P567&lt;=0),"Falta valor del contrato; ","")&amp;IF(AND(M567="En ejecución",Q567=""),"En ejecución sin valor ejecutado; ","")&amp;IF(AND(M567="En ejecución",L567&lt;&gt;"",L567&lt;TODAY()),"Dice en ejecución pero su terminación ya pasó; ","")&amp;IF(M567="En ejecución","En ejecución: no acredita experiencia; ","")&amp;IF(AND(M567&lt;&gt;"En ejecución",L567&lt;&gt;"",X567&lt;&gt;"",Y567=""),"El año no está en la hoja SMMLV; ","")&amp;IF(AND(B567&lt;&gt;"",COUNTIFS($B$2:$B$601,B567,$C$2:$C$601,C567)&gt;1),"Posible duplicado (mismo número y entidad); ","")&amp;IF(COUNTIF(PARTICIPACIONES!$A$2:$A$601,A567)=0,"Sin participaciones; ","")&amp;IF(SUMIFS(PARTICIPACIONES!$E$2:$E$601,PARTICIPACIONES!$A$2:$A$601,A567)&gt;1.0001,"Las participaciones suman más de 100 %; ",""))</f>
        <v/>
      </c>
    </row>
    <row r="568">
      <c r="J568" s="15" t="n"/>
      <c r="K568" s="15" t="n"/>
      <c r="L568" s="15" t="n"/>
      <c r="N568" s="15" t="n"/>
      <c r="O568" s="16" t="n"/>
      <c r="P568" s="16" t="n"/>
      <c r="Q568" s="16" t="n"/>
      <c r="W568" s="12">
        <f>IF(AND(K568&lt;&gt;"",L568&lt;&gt;""),ROUND((L568-K568)/30.4375,1),"")</f>
        <v/>
      </c>
      <c r="X568" s="12">
        <f>IF(OR(A568="",M568="En ejecución",L568=""),"",YEAR(L568))</f>
        <v/>
      </c>
      <c r="Y568" s="13">
        <f>IF(X568="","",IFERROR(VLOOKUP(X568,SMMLV!$A$2:$B$38,2,FALSE),""))</f>
        <v/>
      </c>
      <c r="Z568" s="17">
        <f>IF(OR(Y568="",P568=""),"",ROUND(P568/Y568,2))</f>
        <v/>
      </c>
      <c r="AA568" s="13">
        <f>IF(Z568="","",ROUND(Z568*SMMLV!$E$4,0))</f>
        <v/>
      </c>
      <c r="AB568" s="13">
        <f>IF(AND(M568="En ejecución",P568&lt;&gt;"",Q568&lt;&gt;""),MAX(P568-Q568,0),"")</f>
        <v/>
      </c>
      <c r="AC568" s="12">
        <f>IF(A568="","",IF(B568="","Falta número de contrato; ","")&amp;IF(C568="","Falta entidad; ","")&amp;IF(E568="","Falta objeto; ","")&amp;IF(F568="","Falta especialidad; ","")&amp;IF(K568="","Falta fecha de inicio (recomendada); ","")&amp;IF(AND(M568&lt;&gt;"En ejecución",L568=""),"Falta fecha de terminación; ","")&amp;IF(AND(K568&lt;&gt;"",L568&lt;&gt;"",L568&lt;K568),"Terminación anterior al inicio; ","")&amp;IF(M568="","Falta estado; ","")&amp;IF(OR(P568="",P568&lt;=0),"Falta valor del contrato; ","")&amp;IF(AND(M568="En ejecución",Q568=""),"En ejecución sin valor ejecutado; ","")&amp;IF(AND(M568="En ejecución",L568&lt;&gt;"",L568&lt;TODAY()),"Dice en ejecución pero su terminación ya pasó; ","")&amp;IF(M568="En ejecución","En ejecución: no acredita experiencia; ","")&amp;IF(AND(M568&lt;&gt;"En ejecución",L568&lt;&gt;"",X568&lt;&gt;"",Y568=""),"El año no está en la hoja SMMLV; ","")&amp;IF(AND(B568&lt;&gt;"",COUNTIFS($B$2:$B$601,B568,$C$2:$C$601,C568)&gt;1),"Posible duplicado (mismo número y entidad); ","")&amp;IF(COUNTIF(PARTICIPACIONES!$A$2:$A$601,A568)=0,"Sin participaciones; ","")&amp;IF(SUMIFS(PARTICIPACIONES!$E$2:$E$601,PARTICIPACIONES!$A$2:$A$601,A568)&gt;1.0001,"Las participaciones suman más de 100 %; ",""))</f>
        <v/>
      </c>
    </row>
    <row r="569">
      <c r="J569" s="15" t="n"/>
      <c r="K569" s="15" t="n"/>
      <c r="L569" s="15" t="n"/>
      <c r="N569" s="15" t="n"/>
      <c r="O569" s="16" t="n"/>
      <c r="P569" s="16" t="n"/>
      <c r="Q569" s="16" t="n"/>
      <c r="W569" s="12">
        <f>IF(AND(K569&lt;&gt;"",L569&lt;&gt;""),ROUND((L569-K569)/30.4375,1),"")</f>
        <v/>
      </c>
      <c r="X569" s="12">
        <f>IF(OR(A569="",M569="En ejecución",L569=""),"",YEAR(L569))</f>
        <v/>
      </c>
      <c r="Y569" s="13">
        <f>IF(X569="","",IFERROR(VLOOKUP(X569,SMMLV!$A$2:$B$38,2,FALSE),""))</f>
        <v/>
      </c>
      <c r="Z569" s="17">
        <f>IF(OR(Y569="",P569=""),"",ROUND(P569/Y569,2))</f>
        <v/>
      </c>
      <c r="AA569" s="13">
        <f>IF(Z569="","",ROUND(Z569*SMMLV!$E$4,0))</f>
        <v/>
      </c>
      <c r="AB569" s="13">
        <f>IF(AND(M569="En ejecución",P569&lt;&gt;"",Q569&lt;&gt;""),MAX(P569-Q569,0),"")</f>
        <v/>
      </c>
      <c r="AC569" s="12">
        <f>IF(A569="","",IF(B569="","Falta número de contrato; ","")&amp;IF(C569="","Falta entidad; ","")&amp;IF(E569="","Falta objeto; ","")&amp;IF(F569="","Falta especialidad; ","")&amp;IF(K569="","Falta fecha de inicio (recomendada); ","")&amp;IF(AND(M569&lt;&gt;"En ejecución",L569=""),"Falta fecha de terminación; ","")&amp;IF(AND(K569&lt;&gt;"",L569&lt;&gt;"",L569&lt;K569),"Terminación anterior al inicio; ","")&amp;IF(M569="","Falta estado; ","")&amp;IF(OR(P569="",P569&lt;=0),"Falta valor del contrato; ","")&amp;IF(AND(M569="En ejecución",Q569=""),"En ejecución sin valor ejecutado; ","")&amp;IF(AND(M569="En ejecución",L569&lt;&gt;"",L569&lt;TODAY()),"Dice en ejecución pero su terminación ya pasó; ","")&amp;IF(M569="En ejecución","En ejecución: no acredita experiencia; ","")&amp;IF(AND(M569&lt;&gt;"En ejecución",L569&lt;&gt;"",X569&lt;&gt;"",Y569=""),"El año no está en la hoja SMMLV; ","")&amp;IF(AND(B569&lt;&gt;"",COUNTIFS($B$2:$B$601,B569,$C$2:$C$601,C569)&gt;1),"Posible duplicado (mismo número y entidad); ","")&amp;IF(COUNTIF(PARTICIPACIONES!$A$2:$A$601,A569)=0,"Sin participaciones; ","")&amp;IF(SUMIFS(PARTICIPACIONES!$E$2:$E$601,PARTICIPACIONES!$A$2:$A$601,A569)&gt;1.0001,"Las participaciones suman más de 100 %; ",""))</f>
        <v/>
      </c>
    </row>
    <row r="570">
      <c r="J570" s="15" t="n"/>
      <c r="K570" s="15" t="n"/>
      <c r="L570" s="15" t="n"/>
      <c r="N570" s="15" t="n"/>
      <c r="O570" s="16" t="n"/>
      <c r="P570" s="16" t="n"/>
      <c r="Q570" s="16" t="n"/>
      <c r="W570" s="12">
        <f>IF(AND(K570&lt;&gt;"",L570&lt;&gt;""),ROUND((L570-K570)/30.4375,1),"")</f>
        <v/>
      </c>
      <c r="X570" s="12">
        <f>IF(OR(A570="",M570="En ejecución",L570=""),"",YEAR(L570))</f>
        <v/>
      </c>
      <c r="Y570" s="13">
        <f>IF(X570="","",IFERROR(VLOOKUP(X570,SMMLV!$A$2:$B$38,2,FALSE),""))</f>
        <v/>
      </c>
      <c r="Z570" s="17">
        <f>IF(OR(Y570="",P570=""),"",ROUND(P570/Y570,2))</f>
        <v/>
      </c>
      <c r="AA570" s="13">
        <f>IF(Z570="","",ROUND(Z570*SMMLV!$E$4,0))</f>
        <v/>
      </c>
      <c r="AB570" s="13">
        <f>IF(AND(M570="En ejecución",P570&lt;&gt;"",Q570&lt;&gt;""),MAX(P570-Q570,0),"")</f>
        <v/>
      </c>
      <c r="AC570" s="12">
        <f>IF(A570="","",IF(B570="","Falta número de contrato; ","")&amp;IF(C570="","Falta entidad; ","")&amp;IF(E570="","Falta objeto; ","")&amp;IF(F570="","Falta especialidad; ","")&amp;IF(K570="","Falta fecha de inicio (recomendada); ","")&amp;IF(AND(M570&lt;&gt;"En ejecución",L570=""),"Falta fecha de terminación; ","")&amp;IF(AND(K570&lt;&gt;"",L570&lt;&gt;"",L570&lt;K570),"Terminación anterior al inicio; ","")&amp;IF(M570="","Falta estado; ","")&amp;IF(OR(P570="",P570&lt;=0),"Falta valor del contrato; ","")&amp;IF(AND(M570="En ejecución",Q570=""),"En ejecución sin valor ejecutado; ","")&amp;IF(AND(M570="En ejecución",L570&lt;&gt;"",L570&lt;TODAY()),"Dice en ejecución pero su terminación ya pasó; ","")&amp;IF(M570="En ejecución","En ejecución: no acredita experiencia; ","")&amp;IF(AND(M570&lt;&gt;"En ejecución",L570&lt;&gt;"",X570&lt;&gt;"",Y570=""),"El año no está en la hoja SMMLV; ","")&amp;IF(AND(B570&lt;&gt;"",COUNTIFS($B$2:$B$601,B570,$C$2:$C$601,C570)&gt;1),"Posible duplicado (mismo número y entidad); ","")&amp;IF(COUNTIF(PARTICIPACIONES!$A$2:$A$601,A570)=0,"Sin participaciones; ","")&amp;IF(SUMIFS(PARTICIPACIONES!$E$2:$E$601,PARTICIPACIONES!$A$2:$A$601,A570)&gt;1.0001,"Las participaciones suman más de 100 %; ",""))</f>
        <v/>
      </c>
    </row>
    <row r="571">
      <c r="J571" s="15" t="n"/>
      <c r="K571" s="15" t="n"/>
      <c r="L571" s="15" t="n"/>
      <c r="N571" s="15" t="n"/>
      <c r="O571" s="16" t="n"/>
      <c r="P571" s="16" t="n"/>
      <c r="Q571" s="16" t="n"/>
      <c r="W571" s="12">
        <f>IF(AND(K571&lt;&gt;"",L571&lt;&gt;""),ROUND((L571-K571)/30.4375,1),"")</f>
        <v/>
      </c>
      <c r="X571" s="12">
        <f>IF(OR(A571="",M571="En ejecución",L571=""),"",YEAR(L571))</f>
        <v/>
      </c>
      <c r="Y571" s="13">
        <f>IF(X571="","",IFERROR(VLOOKUP(X571,SMMLV!$A$2:$B$38,2,FALSE),""))</f>
        <v/>
      </c>
      <c r="Z571" s="17">
        <f>IF(OR(Y571="",P571=""),"",ROUND(P571/Y571,2))</f>
        <v/>
      </c>
      <c r="AA571" s="13">
        <f>IF(Z571="","",ROUND(Z571*SMMLV!$E$4,0))</f>
        <v/>
      </c>
      <c r="AB571" s="13">
        <f>IF(AND(M571="En ejecución",P571&lt;&gt;"",Q571&lt;&gt;""),MAX(P571-Q571,0),"")</f>
        <v/>
      </c>
      <c r="AC571" s="12">
        <f>IF(A571="","",IF(B571="","Falta número de contrato; ","")&amp;IF(C571="","Falta entidad; ","")&amp;IF(E571="","Falta objeto; ","")&amp;IF(F571="","Falta especialidad; ","")&amp;IF(K571="","Falta fecha de inicio (recomendada); ","")&amp;IF(AND(M571&lt;&gt;"En ejecución",L571=""),"Falta fecha de terminación; ","")&amp;IF(AND(K571&lt;&gt;"",L571&lt;&gt;"",L571&lt;K571),"Terminación anterior al inicio; ","")&amp;IF(M571="","Falta estado; ","")&amp;IF(OR(P571="",P571&lt;=0),"Falta valor del contrato; ","")&amp;IF(AND(M571="En ejecución",Q571=""),"En ejecución sin valor ejecutado; ","")&amp;IF(AND(M571="En ejecución",L571&lt;&gt;"",L571&lt;TODAY()),"Dice en ejecución pero su terminación ya pasó; ","")&amp;IF(M571="En ejecución","En ejecución: no acredita experiencia; ","")&amp;IF(AND(M571&lt;&gt;"En ejecución",L571&lt;&gt;"",X571&lt;&gt;"",Y571=""),"El año no está en la hoja SMMLV; ","")&amp;IF(AND(B571&lt;&gt;"",COUNTIFS($B$2:$B$601,B571,$C$2:$C$601,C571)&gt;1),"Posible duplicado (mismo número y entidad); ","")&amp;IF(COUNTIF(PARTICIPACIONES!$A$2:$A$601,A571)=0,"Sin participaciones; ","")&amp;IF(SUMIFS(PARTICIPACIONES!$E$2:$E$601,PARTICIPACIONES!$A$2:$A$601,A571)&gt;1.0001,"Las participaciones suman más de 100 %; ",""))</f>
        <v/>
      </c>
    </row>
    <row r="572">
      <c r="J572" s="15" t="n"/>
      <c r="K572" s="15" t="n"/>
      <c r="L572" s="15" t="n"/>
      <c r="N572" s="15" t="n"/>
      <c r="O572" s="16" t="n"/>
      <c r="P572" s="16" t="n"/>
      <c r="Q572" s="16" t="n"/>
      <c r="W572" s="12">
        <f>IF(AND(K572&lt;&gt;"",L572&lt;&gt;""),ROUND((L572-K572)/30.4375,1),"")</f>
        <v/>
      </c>
      <c r="X572" s="12">
        <f>IF(OR(A572="",M572="En ejecución",L572=""),"",YEAR(L572))</f>
        <v/>
      </c>
      <c r="Y572" s="13">
        <f>IF(X572="","",IFERROR(VLOOKUP(X572,SMMLV!$A$2:$B$38,2,FALSE),""))</f>
        <v/>
      </c>
      <c r="Z572" s="17">
        <f>IF(OR(Y572="",P572=""),"",ROUND(P572/Y572,2))</f>
        <v/>
      </c>
      <c r="AA572" s="13">
        <f>IF(Z572="","",ROUND(Z572*SMMLV!$E$4,0))</f>
        <v/>
      </c>
      <c r="AB572" s="13">
        <f>IF(AND(M572="En ejecución",P572&lt;&gt;"",Q572&lt;&gt;""),MAX(P572-Q572,0),"")</f>
        <v/>
      </c>
      <c r="AC572" s="12">
        <f>IF(A572="","",IF(B572="","Falta número de contrato; ","")&amp;IF(C572="","Falta entidad; ","")&amp;IF(E572="","Falta objeto; ","")&amp;IF(F572="","Falta especialidad; ","")&amp;IF(K572="","Falta fecha de inicio (recomendada); ","")&amp;IF(AND(M572&lt;&gt;"En ejecución",L572=""),"Falta fecha de terminación; ","")&amp;IF(AND(K572&lt;&gt;"",L572&lt;&gt;"",L572&lt;K572),"Terminación anterior al inicio; ","")&amp;IF(M572="","Falta estado; ","")&amp;IF(OR(P572="",P572&lt;=0),"Falta valor del contrato; ","")&amp;IF(AND(M572="En ejecución",Q572=""),"En ejecución sin valor ejecutado; ","")&amp;IF(AND(M572="En ejecución",L572&lt;&gt;"",L572&lt;TODAY()),"Dice en ejecución pero su terminación ya pasó; ","")&amp;IF(M572="En ejecución","En ejecución: no acredita experiencia; ","")&amp;IF(AND(M572&lt;&gt;"En ejecución",L572&lt;&gt;"",X572&lt;&gt;"",Y572=""),"El año no está en la hoja SMMLV; ","")&amp;IF(AND(B572&lt;&gt;"",COUNTIFS($B$2:$B$601,B572,$C$2:$C$601,C572)&gt;1),"Posible duplicado (mismo número y entidad); ","")&amp;IF(COUNTIF(PARTICIPACIONES!$A$2:$A$601,A572)=0,"Sin participaciones; ","")&amp;IF(SUMIFS(PARTICIPACIONES!$E$2:$E$601,PARTICIPACIONES!$A$2:$A$601,A572)&gt;1.0001,"Las participaciones suman más de 100 %; ",""))</f>
        <v/>
      </c>
    </row>
    <row r="573">
      <c r="J573" s="15" t="n"/>
      <c r="K573" s="15" t="n"/>
      <c r="L573" s="15" t="n"/>
      <c r="N573" s="15" t="n"/>
      <c r="O573" s="16" t="n"/>
      <c r="P573" s="16" t="n"/>
      <c r="Q573" s="16" t="n"/>
      <c r="W573" s="12">
        <f>IF(AND(K573&lt;&gt;"",L573&lt;&gt;""),ROUND((L573-K573)/30.4375,1),"")</f>
        <v/>
      </c>
      <c r="X573" s="12">
        <f>IF(OR(A573="",M573="En ejecución",L573=""),"",YEAR(L573))</f>
        <v/>
      </c>
      <c r="Y573" s="13">
        <f>IF(X573="","",IFERROR(VLOOKUP(X573,SMMLV!$A$2:$B$38,2,FALSE),""))</f>
        <v/>
      </c>
      <c r="Z573" s="17">
        <f>IF(OR(Y573="",P573=""),"",ROUND(P573/Y573,2))</f>
        <v/>
      </c>
      <c r="AA573" s="13">
        <f>IF(Z573="","",ROUND(Z573*SMMLV!$E$4,0))</f>
        <v/>
      </c>
      <c r="AB573" s="13">
        <f>IF(AND(M573="En ejecución",P573&lt;&gt;"",Q573&lt;&gt;""),MAX(P573-Q573,0),"")</f>
        <v/>
      </c>
      <c r="AC573" s="12">
        <f>IF(A573="","",IF(B573="","Falta número de contrato; ","")&amp;IF(C573="","Falta entidad; ","")&amp;IF(E573="","Falta objeto; ","")&amp;IF(F573="","Falta especialidad; ","")&amp;IF(K573="","Falta fecha de inicio (recomendada); ","")&amp;IF(AND(M573&lt;&gt;"En ejecución",L573=""),"Falta fecha de terminación; ","")&amp;IF(AND(K573&lt;&gt;"",L573&lt;&gt;"",L573&lt;K573),"Terminación anterior al inicio; ","")&amp;IF(M573="","Falta estado; ","")&amp;IF(OR(P573="",P573&lt;=0),"Falta valor del contrato; ","")&amp;IF(AND(M573="En ejecución",Q573=""),"En ejecución sin valor ejecutado; ","")&amp;IF(AND(M573="En ejecución",L573&lt;&gt;"",L573&lt;TODAY()),"Dice en ejecución pero su terminación ya pasó; ","")&amp;IF(M573="En ejecución","En ejecución: no acredita experiencia; ","")&amp;IF(AND(M573&lt;&gt;"En ejecución",L573&lt;&gt;"",X573&lt;&gt;"",Y573=""),"El año no está en la hoja SMMLV; ","")&amp;IF(AND(B573&lt;&gt;"",COUNTIFS($B$2:$B$601,B573,$C$2:$C$601,C573)&gt;1),"Posible duplicado (mismo número y entidad); ","")&amp;IF(COUNTIF(PARTICIPACIONES!$A$2:$A$601,A573)=0,"Sin participaciones; ","")&amp;IF(SUMIFS(PARTICIPACIONES!$E$2:$E$601,PARTICIPACIONES!$A$2:$A$601,A573)&gt;1.0001,"Las participaciones suman más de 100 %; ",""))</f>
        <v/>
      </c>
    </row>
    <row r="574">
      <c r="J574" s="15" t="n"/>
      <c r="K574" s="15" t="n"/>
      <c r="L574" s="15" t="n"/>
      <c r="N574" s="15" t="n"/>
      <c r="O574" s="16" t="n"/>
      <c r="P574" s="16" t="n"/>
      <c r="Q574" s="16" t="n"/>
      <c r="W574" s="12">
        <f>IF(AND(K574&lt;&gt;"",L574&lt;&gt;""),ROUND((L574-K574)/30.4375,1),"")</f>
        <v/>
      </c>
      <c r="X574" s="12">
        <f>IF(OR(A574="",M574="En ejecución",L574=""),"",YEAR(L574))</f>
        <v/>
      </c>
      <c r="Y574" s="13">
        <f>IF(X574="","",IFERROR(VLOOKUP(X574,SMMLV!$A$2:$B$38,2,FALSE),""))</f>
        <v/>
      </c>
      <c r="Z574" s="17">
        <f>IF(OR(Y574="",P574=""),"",ROUND(P574/Y574,2))</f>
        <v/>
      </c>
      <c r="AA574" s="13">
        <f>IF(Z574="","",ROUND(Z574*SMMLV!$E$4,0))</f>
        <v/>
      </c>
      <c r="AB574" s="13">
        <f>IF(AND(M574="En ejecución",P574&lt;&gt;"",Q574&lt;&gt;""),MAX(P574-Q574,0),"")</f>
        <v/>
      </c>
      <c r="AC574" s="12">
        <f>IF(A574="","",IF(B574="","Falta número de contrato; ","")&amp;IF(C574="","Falta entidad; ","")&amp;IF(E574="","Falta objeto; ","")&amp;IF(F574="","Falta especialidad; ","")&amp;IF(K574="","Falta fecha de inicio (recomendada); ","")&amp;IF(AND(M574&lt;&gt;"En ejecución",L574=""),"Falta fecha de terminación; ","")&amp;IF(AND(K574&lt;&gt;"",L574&lt;&gt;"",L574&lt;K574),"Terminación anterior al inicio; ","")&amp;IF(M574="","Falta estado; ","")&amp;IF(OR(P574="",P574&lt;=0),"Falta valor del contrato; ","")&amp;IF(AND(M574="En ejecución",Q574=""),"En ejecución sin valor ejecutado; ","")&amp;IF(AND(M574="En ejecución",L574&lt;&gt;"",L574&lt;TODAY()),"Dice en ejecución pero su terminación ya pasó; ","")&amp;IF(M574="En ejecución","En ejecución: no acredita experiencia; ","")&amp;IF(AND(M574&lt;&gt;"En ejecución",L574&lt;&gt;"",X574&lt;&gt;"",Y574=""),"El año no está en la hoja SMMLV; ","")&amp;IF(AND(B574&lt;&gt;"",COUNTIFS($B$2:$B$601,B574,$C$2:$C$601,C574)&gt;1),"Posible duplicado (mismo número y entidad); ","")&amp;IF(COUNTIF(PARTICIPACIONES!$A$2:$A$601,A574)=0,"Sin participaciones; ","")&amp;IF(SUMIFS(PARTICIPACIONES!$E$2:$E$601,PARTICIPACIONES!$A$2:$A$601,A574)&gt;1.0001,"Las participaciones suman más de 100 %; ",""))</f>
        <v/>
      </c>
    </row>
    <row r="575">
      <c r="J575" s="15" t="n"/>
      <c r="K575" s="15" t="n"/>
      <c r="L575" s="15" t="n"/>
      <c r="N575" s="15" t="n"/>
      <c r="O575" s="16" t="n"/>
      <c r="P575" s="16" t="n"/>
      <c r="Q575" s="16" t="n"/>
      <c r="W575" s="12">
        <f>IF(AND(K575&lt;&gt;"",L575&lt;&gt;""),ROUND((L575-K575)/30.4375,1),"")</f>
        <v/>
      </c>
      <c r="X575" s="12">
        <f>IF(OR(A575="",M575="En ejecución",L575=""),"",YEAR(L575))</f>
        <v/>
      </c>
      <c r="Y575" s="13">
        <f>IF(X575="","",IFERROR(VLOOKUP(X575,SMMLV!$A$2:$B$38,2,FALSE),""))</f>
        <v/>
      </c>
      <c r="Z575" s="17">
        <f>IF(OR(Y575="",P575=""),"",ROUND(P575/Y575,2))</f>
        <v/>
      </c>
      <c r="AA575" s="13">
        <f>IF(Z575="","",ROUND(Z575*SMMLV!$E$4,0))</f>
        <v/>
      </c>
      <c r="AB575" s="13">
        <f>IF(AND(M575="En ejecución",P575&lt;&gt;"",Q575&lt;&gt;""),MAX(P575-Q575,0),"")</f>
        <v/>
      </c>
      <c r="AC575" s="12">
        <f>IF(A575="","",IF(B575="","Falta número de contrato; ","")&amp;IF(C575="","Falta entidad; ","")&amp;IF(E575="","Falta objeto; ","")&amp;IF(F575="","Falta especialidad; ","")&amp;IF(K575="","Falta fecha de inicio (recomendada); ","")&amp;IF(AND(M575&lt;&gt;"En ejecución",L575=""),"Falta fecha de terminación; ","")&amp;IF(AND(K575&lt;&gt;"",L575&lt;&gt;"",L575&lt;K575),"Terminación anterior al inicio; ","")&amp;IF(M575="","Falta estado; ","")&amp;IF(OR(P575="",P575&lt;=0),"Falta valor del contrato; ","")&amp;IF(AND(M575="En ejecución",Q575=""),"En ejecución sin valor ejecutado; ","")&amp;IF(AND(M575="En ejecución",L575&lt;&gt;"",L575&lt;TODAY()),"Dice en ejecución pero su terminación ya pasó; ","")&amp;IF(M575="En ejecución","En ejecución: no acredita experiencia; ","")&amp;IF(AND(M575&lt;&gt;"En ejecución",L575&lt;&gt;"",X575&lt;&gt;"",Y575=""),"El año no está en la hoja SMMLV; ","")&amp;IF(AND(B575&lt;&gt;"",COUNTIFS($B$2:$B$601,B575,$C$2:$C$601,C575)&gt;1),"Posible duplicado (mismo número y entidad); ","")&amp;IF(COUNTIF(PARTICIPACIONES!$A$2:$A$601,A575)=0,"Sin participaciones; ","")&amp;IF(SUMIFS(PARTICIPACIONES!$E$2:$E$601,PARTICIPACIONES!$A$2:$A$601,A575)&gt;1.0001,"Las participaciones suman más de 100 %; ",""))</f>
        <v/>
      </c>
    </row>
    <row r="576">
      <c r="J576" s="15" t="n"/>
      <c r="K576" s="15" t="n"/>
      <c r="L576" s="15" t="n"/>
      <c r="N576" s="15" t="n"/>
      <c r="O576" s="16" t="n"/>
      <c r="P576" s="16" t="n"/>
      <c r="Q576" s="16" t="n"/>
      <c r="W576" s="12">
        <f>IF(AND(K576&lt;&gt;"",L576&lt;&gt;""),ROUND((L576-K576)/30.4375,1),"")</f>
        <v/>
      </c>
      <c r="X576" s="12">
        <f>IF(OR(A576="",M576="En ejecución",L576=""),"",YEAR(L576))</f>
        <v/>
      </c>
      <c r="Y576" s="13">
        <f>IF(X576="","",IFERROR(VLOOKUP(X576,SMMLV!$A$2:$B$38,2,FALSE),""))</f>
        <v/>
      </c>
      <c r="Z576" s="17">
        <f>IF(OR(Y576="",P576=""),"",ROUND(P576/Y576,2))</f>
        <v/>
      </c>
      <c r="AA576" s="13">
        <f>IF(Z576="","",ROUND(Z576*SMMLV!$E$4,0))</f>
        <v/>
      </c>
      <c r="AB576" s="13">
        <f>IF(AND(M576="En ejecución",P576&lt;&gt;"",Q576&lt;&gt;""),MAX(P576-Q576,0),"")</f>
        <v/>
      </c>
      <c r="AC576" s="12">
        <f>IF(A576="","",IF(B576="","Falta número de contrato; ","")&amp;IF(C576="","Falta entidad; ","")&amp;IF(E576="","Falta objeto; ","")&amp;IF(F576="","Falta especialidad; ","")&amp;IF(K576="","Falta fecha de inicio (recomendada); ","")&amp;IF(AND(M576&lt;&gt;"En ejecución",L576=""),"Falta fecha de terminación; ","")&amp;IF(AND(K576&lt;&gt;"",L576&lt;&gt;"",L576&lt;K576),"Terminación anterior al inicio; ","")&amp;IF(M576="","Falta estado; ","")&amp;IF(OR(P576="",P576&lt;=0),"Falta valor del contrato; ","")&amp;IF(AND(M576="En ejecución",Q576=""),"En ejecución sin valor ejecutado; ","")&amp;IF(AND(M576="En ejecución",L576&lt;&gt;"",L576&lt;TODAY()),"Dice en ejecución pero su terminación ya pasó; ","")&amp;IF(M576="En ejecución","En ejecución: no acredita experiencia; ","")&amp;IF(AND(M576&lt;&gt;"En ejecución",L576&lt;&gt;"",X576&lt;&gt;"",Y576=""),"El año no está en la hoja SMMLV; ","")&amp;IF(AND(B576&lt;&gt;"",COUNTIFS($B$2:$B$601,B576,$C$2:$C$601,C576)&gt;1),"Posible duplicado (mismo número y entidad); ","")&amp;IF(COUNTIF(PARTICIPACIONES!$A$2:$A$601,A576)=0,"Sin participaciones; ","")&amp;IF(SUMIFS(PARTICIPACIONES!$E$2:$E$601,PARTICIPACIONES!$A$2:$A$601,A576)&gt;1.0001,"Las participaciones suman más de 100 %; ",""))</f>
        <v/>
      </c>
    </row>
    <row r="577">
      <c r="J577" s="15" t="n"/>
      <c r="K577" s="15" t="n"/>
      <c r="L577" s="15" t="n"/>
      <c r="N577" s="15" t="n"/>
      <c r="O577" s="16" t="n"/>
      <c r="P577" s="16" t="n"/>
      <c r="Q577" s="16" t="n"/>
      <c r="W577" s="12">
        <f>IF(AND(K577&lt;&gt;"",L577&lt;&gt;""),ROUND((L577-K577)/30.4375,1),"")</f>
        <v/>
      </c>
      <c r="X577" s="12">
        <f>IF(OR(A577="",M577="En ejecución",L577=""),"",YEAR(L577))</f>
        <v/>
      </c>
      <c r="Y577" s="13">
        <f>IF(X577="","",IFERROR(VLOOKUP(X577,SMMLV!$A$2:$B$38,2,FALSE),""))</f>
        <v/>
      </c>
      <c r="Z577" s="17">
        <f>IF(OR(Y577="",P577=""),"",ROUND(P577/Y577,2))</f>
        <v/>
      </c>
      <c r="AA577" s="13">
        <f>IF(Z577="","",ROUND(Z577*SMMLV!$E$4,0))</f>
        <v/>
      </c>
      <c r="AB577" s="13">
        <f>IF(AND(M577="En ejecución",P577&lt;&gt;"",Q577&lt;&gt;""),MAX(P577-Q577,0),"")</f>
        <v/>
      </c>
      <c r="AC577" s="12">
        <f>IF(A577="","",IF(B577="","Falta número de contrato; ","")&amp;IF(C577="","Falta entidad; ","")&amp;IF(E577="","Falta objeto; ","")&amp;IF(F577="","Falta especialidad; ","")&amp;IF(K577="","Falta fecha de inicio (recomendada); ","")&amp;IF(AND(M577&lt;&gt;"En ejecución",L577=""),"Falta fecha de terminación; ","")&amp;IF(AND(K577&lt;&gt;"",L577&lt;&gt;"",L577&lt;K577),"Terminación anterior al inicio; ","")&amp;IF(M577="","Falta estado; ","")&amp;IF(OR(P577="",P577&lt;=0),"Falta valor del contrato; ","")&amp;IF(AND(M577="En ejecución",Q577=""),"En ejecución sin valor ejecutado; ","")&amp;IF(AND(M577="En ejecución",L577&lt;&gt;"",L577&lt;TODAY()),"Dice en ejecución pero su terminación ya pasó; ","")&amp;IF(M577="En ejecución","En ejecución: no acredita experiencia; ","")&amp;IF(AND(M577&lt;&gt;"En ejecución",L577&lt;&gt;"",X577&lt;&gt;"",Y577=""),"El año no está en la hoja SMMLV; ","")&amp;IF(AND(B577&lt;&gt;"",COUNTIFS($B$2:$B$601,B577,$C$2:$C$601,C577)&gt;1),"Posible duplicado (mismo número y entidad); ","")&amp;IF(COUNTIF(PARTICIPACIONES!$A$2:$A$601,A577)=0,"Sin participaciones; ","")&amp;IF(SUMIFS(PARTICIPACIONES!$E$2:$E$601,PARTICIPACIONES!$A$2:$A$601,A577)&gt;1.0001,"Las participaciones suman más de 100 %; ",""))</f>
        <v/>
      </c>
    </row>
    <row r="578">
      <c r="J578" s="15" t="n"/>
      <c r="K578" s="15" t="n"/>
      <c r="L578" s="15" t="n"/>
      <c r="N578" s="15" t="n"/>
      <c r="O578" s="16" t="n"/>
      <c r="P578" s="16" t="n"/>
      <c r="Q578" s="16" t="n"/>
      <c r="W578" s="12">
        <f>IF(AND(K578&lt;&gt;"",L578&lt;&gt;""),ROUND((L578-K578)/30.4375,1),"")</f>
        <v/>
      </c>
      <c r="X578" s="12">
        <f>IF(OR(A578="",M578="En ejecución",L578=""),"",YEAR(L578))</f>
        <v/>
      </c>
      <c r="Y578" s="13">
        <f>IF(X578="","",IFERROR(VLOOKUP(X578,SMMLV!$A$2:$B$38,2,FALSE),""))</f>
        <v/>
      </c>
      <c r="Z578" s="17">
        <f>IF(OR(Y578="",P578=""),"",ROUND(P578/Y578,2))</f>
        <v/>
      </c>
      <c r="AA578" s="13">
        <f>IF(Z578="","",ROUND(Z578*SMMLV!$E$4,0))</f>
        <v/>
      </c>
      <c r="AB578" s="13">
        <f>IF(AND(M578="En ejecución",P578&lt;&gt;"",Q578&lt;&gt;""),MAX(P578-Q578,0),"")</f>
        <v/>
      </c>
      <c r="AC578" s="12">
        <f>IF(A578="","",IF(B578="","Falta número de contrato; ","")&amp;IF(C578="","Falta entidad; ","")&amp;IF(E578="","Falta objeto; ","")&amp;IF(F578="","Falta especialidad; ","")&amp;IF(K578="","Falta fecha de inicio (recomendada); ","")&amp;IF(AND(M578&lt;&gt;"En ejecución",L578=""),"Falta fecha de terminación; ","")&amp;IF(AND(K578&lt;&gt;"",L578&lt;&gt;"",L578&lt;K578),"Terminación anterior al inicio; ","")&amp;IF(M578="","Falta estado; ","")&amp;IF(OR(P578="",P578&lt;=0),"Falta valor del contrato; ","")&amp;IF(AND(M578="En ejecución",Q578=""),"En ejecución sin valor ejecutado; ","")&amp;IF(AND(M578="En ejecución",L578&lt;&gt;"",L578&lt;TODAY()),"Dice en ejecución pero su terminación ya pasó; ","")&amp;IF(M578="En ejecución","En ejecución: no acredita experiencia; ","")&amp;IF(AND(M578&lt;&gt;"En ejecución",L578&lt;&gt;"",X578&lt;&gt;"",Y578=""),"El año no está en la hoja SMMLV; ","")&amp;IF(AND(B578&lt;&gt;"",COUNTIFS($B$2:$B$601,B578,$C$2:$C$601,C578)&gt;1),"Posible duplicado (mismo número y entidad); ","")&amp;IF(COUNTIF(PARTICIPACIONES!$A$2:$A$601,A578)=0,"Sin participaciones; ","")&amp;IF(SUMIFS(PARTICIPACIONES!$E$2:$E$601,PARTICIPACIONES!$A$2:$A$601,A578)&gt;1.0001,"Las participaciones suman más de 100 %; ",""))</f>
        <v/>
      </c>
    </row>
    <row r="579">
      <c r="J579" s="15" t="n"/>
      <c r="K579" s="15" t="n"/>
      <c r="L579" s="15" t="n"/>
      <c r="N579" s="15" t="n"/>
      <c r="O579" s="16" t="n"/>
      <c r="P579" s="16" t="n"/>
      <c r="Q579" s="16" t="n"/>
      <c r="W579" s="12">
        <f>IF(AND(K579&lt;&gt;"",L579&lt;&gt;""),ROUND((L579-K579)/30.4375,1),"")</f>
        <v/>
      </c>
      <c r="X579" s="12">
        <f>IF(OR(A579="",M579="En ejecución",L579=""),"",YEAR(L579))</f>
        <v/>
      </c>
      <c r="Y579" s="13">
        <f>IF(X579="","",IFERROR(VLOOKUP(X579,SMMLV!$A$2:$B$38,2,FALSE),""))</f>
        <v/>
      </c>
      <c r="Z579" s="17">
        <f>IF(OR(Y579="",P579=""),"",ROUND(P579/Y579,2))</f>
        <v/>
      </c>
      <c r="AA579" s="13">
        <f>IF(Z579="","",ROUND(Z579*SMMLV!$E$4,0))</f>
        <v/>
      </c>
      <c r="AB579" s="13">
        <f>IF(AND(M579="En ejecución",P579&lt;&gt;"",Q579&lt;&gt;""),MAX(P579-Q579,0),"")</f>
        <v/>
      </c>
      <c r="AC579" s="12">
        <f>IF(A579="","",IF(B579="","Falta número de contrato; ","")&amp;IF(C579="","Falta entidad; ","")&amp;IF(E579="","Falta objeto; ","")&amp;IF(F579="","Falta especialidad; ","")&amp;IF(K579="","Falta fecha de inicio (recomendada); ","")&amp;IF(AND(M579&lt;&gt;"En ejecución",L579=""),"Falta fecha de terminación; ","")&amp;IF(AND(K579&lt;&gt;"",L579&lt;&gt;"",L579&lt;K579),"Terminación anterior al inicio; ","")&amp;IF(M579="","Falta estado; ","")&amp;IF(OR(P579="",P579&lt;=0),"Falta valor del contrato; ","")&amp;IF(AND(M579="En ejecución",Q579=""),"En ejecución sin valor ejecutado; ","")&amp;IF(AND(M579="En ejecución",L579&lt;&gt;"",L579&lt;TODAY()),"Dice en ejecución pero su terminación ya pasó; ","")&amp;IF(M579="En ejecución","En ejecución: no acredita experiencia; ","")&amp;IF(AND(M579&lt;&gt;"En ejecución",L579&lt;&gt;"",X579&lt;&gt;"",Y579=""),"El año no está en la hoja SMMLV; ","")&amp;IF(AND(B579&lt;&gt;"",COUNTIFS($B$2:$B$601,B579,$C$2:$C$601,C579)&gt;1),"Posible duplicado (mismo número y entidad); ","")&amp;IF(COUNTIF(PARTICIPACIONES!$A$2:$A$601,A579)=0,"Sin participaciones; ","")&amp;IF(SUMIFS(PARTICIPACIONES!$E$2:$E$601,PARTICIPACIONES!$A$2:$A$601,A579)&gt;1.0001,"Las participaciones suman más de 100 %; ",""))</f>
        <v/>
      </c>
    </row>
    <row r="580">
      <c r="J580" s="15" t="n"/>
      <c r="K580" s="15" t="n"/>
      <c r="L580" s="15" t="n"/>
      <c r="N580" s="15" t="n"/>
      <c r="O580" s="16" t="n"/>
      <c r="P580" s="16" t="n"/>
      <c r="Q580" s="16" t="n"/>
      <c r="W580" s="12">
        <f>IF(AND(K580&lt;&gt;"",L580&lt;&gt;""),ROUND((L580-K580)/30.4375,1),"")</f>
        <v/>
      </c>
      <c r="X580" s="12">
        <f>IF(OR(A580="",M580="En ejecución",L580=""),"",YEAR(L580))</f>
        <v/>
      </c>
      <c r="Y580" s="13">
        <f>IF(X580="","",IFERROR(VLOOKUP(X580,SMMLV!$A$2:$B$38,2,FALSE),""))</f>
        <v/>
      </c>
      <c r="Z580" s="17">
        <f>IF(OR(Y580="",P580=""),"",ROUND(P580/Y580,2))</f>
        <v/>
      </c>
      <c r="AA580" s="13">
        <f>IF(Z580="","",ROUND(Z580*SMMLV!$E$4,0))</f>
        <v/>
      </c>
      <c r="AB580" s="13">
        <f>IF(AND(M580="En ejecución",P580&lt;&gt;"",Q580&lt;&gt;""),MAX(P580-Q580,0),"")</f>
        <v/>
      </c>
      <c r="AC580" s="12">
        <f>IF(A580="","",IF(B580="","Falta número de contrato; ","")&amp;IF(C580="","Falta entidad; ","")&amp;IF(E580="","Falta objeto; ","")&amp;IF(F580="","Falta especialidad; ","")&amp;IF(K580="","Falta fecha de inicio (recomendada); ","")&amp;IF(AND(M580&lt;&gt;"En ejecución",L580=""),"Falta fecha de terminación; ","")&amp;IF(AND(K580&lt;&gt;"",L580&lt;&gt;"",L580&lt;K580),"Terminación anterior al inicio; ","")&amp;IF(M580="","Falta estado; ","")&amp;IF(OR(P580="",P580&lt;=0),"Falta valor del contrato; ","")&amp;IF(AND(M580="En ejecución",Q580=""),"En ejecución sin valor ejecutado; ","")&amp;IF(AND(M580="En ejecución",L580&lt;&gt;"",L580&lt;TODAY()),"Dice en ejecución pero su terminación ya pasó; ","")&amp;IF(M580="En ejecución","En ejecución: no acredita experiencia; ","")&amp;IF(AND(M580&lt;&gt;"En ejecución",L580&lt;&gt;"",X580&lt;&gt;"",Y580=""),"El año no está en la hoja SMMLV; ","")&amp;IF(AND(B580&lt;&gt;"",COUNTIFS($B$2:$B$601,B580,$C$2:$C$601,C580)&gt;1),"Posible duplicado (mismo número y entidad); ","")&amp;IF(COUNTIF(PARTICIPACIONES!$A$2:$A$601,A580)=0,"Sin participaciones; ","")&amp;IF(SUMIFS(PARTICIPACIONES!$E$2:$E$601,PARTICIPACIONES!$A$2:$A$601,A580)&gt;1.0001,"Las participaciones suman más de 100 %; ",""))</f>
        <v/>
      </c>
    </row>
    <row r="581">
      <c r="J581" s="15" t="n"/>
      <c r="K581" s="15" t="n"/>
      <c r="L581" s="15" t="n"/>
      <c r="N581" s="15" t="n"/>
      <c r="O581" s="16" t="n"/>
      <c r="P581" s="16" t="n"/>
      <c r="Q581" s="16" t="n"/>
      <c r="W581" s="12">
        <f>IF(AND(K581&lt;&gt;"",L581&lt;&gt;""),ROUND((L581-K581)/30.4375,1),"")</f>
        <v/>
      </c>
      <c r="X581" s="12">
        <f>IF(OR(A581="",M581="En ejecución",L581=""),"",YEAR(L581))</f>
        <v/>
      </c>
      <c r="Y581" s="13">
        <f>IF(X581="","",IFERROR(VLOOKUP(X581,SMMLV!$A$2:$B$38,2,FALSE),""))</f>
        <v/>
      </c>
      <c r="Z581" s="17">
        <f>IF(OR(Y581="",P581=""),"",ROUND(P581/Y581,2))</f>
        <v/>
      </c>
      <c r="AA581" s="13">
        <f>IF(Z581="","",ROUND(Z581*SMMLV!$E$4,0))</f>
        <v/>
      </c>
      <c r="AB581" s="13">
        <f>IF(AND(M581="En ejecución",P581&lt;&gt;"",Q581&lt;&gt;""),MAX(P581-Q581,0),"")</f>
        <v/>
      </c>
      <c r="AC581" s="12">
        <f>IF(A581="","",IF(B581="","Falta número de contrato; ","")&amp;IF(C581="","Falta entidad; ","")&amp;IF(E581="","Falta objeto; ","")&amp;IF(F581="","Falta especialidad; ","")&amp;IF(K581="","Falta fecha de inicio (recomendada); ","")&amp;IF(AND(M581&lt;&gt;"En ejecución",L581=""),"Falta fecha de terminación; ","")&amp;IF(AND(K581&lt;&gt;"",L581&lt;&gt;"",L581&lt;K581),"Terminación anterior al inicio; ","")&amp;IF(M581="","Falta estado; ","")&amp;IF(OR(P581="",P581&lt;=0),"Falta valor del contrato; ","")&amp;IF(AND(M581="En ejecución",Q581=""),"En ejecución sin valor ejecutado; ","")&amp;IF(AND(M581="En ejecución",L581&lt;&gt;"",L581&lt;TODAY()),"Dice en ejecución pero su terminación ya pasó; ","")&amp;IF(M581="En ejecución","En ejecución: no acredita experiencia; ","")&amp;IF(AND(M581&lt;&gt;"En ejecución",L581&lt;&gt;"",X581&lt;&gt;"",Y581=""),"El año no está en la hoja SMMLV; ","")&amp;IF(AND(B581&lt;&gt;"",COUNTIFS($B$2:$B$601,B581,$C$2:$C$601,C581)&gt;1),"Posible duplicado (mismo número y entidad); ","")&amp;IF(COUNTIF(PARTICIPACIONES!$A$2:$A$601,A581)=0,"Sin participaciones; ","")&amp;IF(SUMIFS(PARTICIPACIONES!$E$2:$E$601,PARTICIPACIONES!$A$2:$A$601,A581)&gt;1.0001,"Las participaciones suman más de 100 %; ",""))</f>
        <v/>
      </c>
    </row>
    <row r="582">
      <c r="J582" s="15" t="n"/>
      <c r="K582" s="15" t="n"/>
      <c r="L582" s="15" t="n"/>
      <c r="N582" s="15" t="n"/>
      <c r="O582" s="16" t="n"/>
      <c r="P582" s="16" t="n"/>
      <c r="Q582" s="16" t="n"/>
      <c r="W582" s="12">
        <f>IF(AND(K582&lt;&gt;"",L582&lt;&gt;""),ROUND((L582-K582)/30.4375,1),"")</f>
        <v/>
      </c>
      <c r="X582" s="12">
        <f>IF(OR(A582="",M582="En ejecución",L582=""),"",YEAR(L582))</f>
        <v/>
      </c>
      <c r="Y582" s="13">
        <f>IF(X582="","",IFERROR(VLOOKUP(X582,SMMLV!$A$2:$B$38,2,FALSE),""))</f>
        <v/>
      </c>
      <c r="Z582" s="17">
        <f>IF(OR(Y582="",P582=""),"",ROUND(P582/Y582,2))</f>
        <v/>
      </c>
      <c r="AA582" s="13">
        <f>IF(Z582="","",ROUND(Z582*SMMLV!$E$4,0))</f>
        <v/>
      </c>
      <c r="AB582" s="13">
        <f>IF(AND(M582="En ejecución",P582&lt;&gt;"",Q582&lt;&gt;""),MAX(P582-Q582,0),"")</f>
        <v/>
      </c>
      <c r="AC582" s="12">
        <f>IF(A582="","",IF(B582="","Falta número de contrato; ","")&amp;IF(C582="","Falta entidad; ","")&amp;IF(E582="","Falta objeto; ","")&amp;IF(F582="","Falta especialidad; ","")&amp;IF(K582="","Falta fecha de inicio (recomendada); ","")&amp;IF(AND(M582&lt;&gt;"En ejecución",L582=""),"Falta fecha de terminación; ","")&amp;IF(AND(K582&lt;&gt;"",L582&lt;&gt;"",L582&lt;K582),"Terminación anterior al inicio; ","")&amp;IF(M582="","Falta estado; ","")&amp;IF(OR(P582="",P582&lt;=0),"Falta valor del contrato; ","")&amp;IF(AND(M582="En ejecución",Q582=""),"En ejecución sin valor ejecutado; ","")&amp;IF(AND(M582="En ejecución",L582&lt;&gt;"",L582&lt;TODAY()),"Dice en ejecución pero su terminación ya pasó; ","")&amp;IF(M582="En ejecución","En ejecución: no acredita experiencia; ","")&amp;IF(AND(M582&lt;&gt;"En ejecución",L582&lt;&gt;"",X582&lt;&gt;"",Y582=""),"El año no está en la hoja SMMLV; ","")&amp;IF(AND(B582&lt;&gt;"",COUNTIFS($B$2:$B$601,B582,$C$2:$C$601,C582)&gt;1),"Posible duplicado (mismo número y entidad); ","")&amp;IF(COUNTIF(PARTICIPACIONES!$A$2:$A$601,A582)=0,"Sin participaciones; ","")&amp;IF(SUMIFS(PARTICIPACIONES!$E$2:$E$601,PARTICIPACIONES!$A$2:$A$601,A582)&gt;1.0001,"Las participaciones suman más de 100 %; ",""))</f>
        <v/>
      </c>
    </row>
    <row r="583">
      <c r="J583" s="15" t="n"/>
      <c r="K583" s="15" t="n"/>
      <c r="L583" s="15" t="n"/>
      <c r="N583" s="15" t="n"/>
      <c r="O583" s="16" t="n"/>
      <c r="P583" s="16" t="n"/>
      <c r="Q583" s="16" t="n"/>
      <c r="W583" s="12">
        <f>IF(AND(K583&lt;&gt;"",L583&lt;&gt;""),ROUND((L583-K583)/30.4375,1),"")</f>
        <v/>
      </c>
      <c r="X583" s="12">
        <f>IF(OR(A583="",M583="En ejecución",L583=""),"",YEAR(L583))</f>
        <v/>
      </c>
      <c r="Y583" s="13">
        <f>IF(X583="","",IFERROR(VLOOKUP(X583,SMMLV!$A$2:$B$38,2,FALSE),""))</f>
        <v/>
      </c>
      <c r="Z583" s="17">
        <f>IF(OR(Y583="",P583=""),"",ROUND(P583/Y583,2))</f>
        <v/>
      </c>
      <c r="AA583" s="13">
        <f>IF(Z583="","",ROUND(Z583*SMMLV!$E$4,0))</f>
        <v/>
      </c>
      <c r="AB583" s="13">
        <f>IF(AND(M583="En ejecución",P583&lt;&gt;"",Q583&lt;&gt;""),MAX(P583-Q583,0),"")</f>
        <v/>
      </c>
      <c r="AC583" s="12">
        <f>IF(A583="","",IF(B583="","Falta número de contrato; ","")&amp;IF(C583="","Falta entidad; ","")&amp;IF(E583="","Falta objeto; ","")&amp;IF(F583="","Falta especialidad; ","")&amp;IF(K583="","Falta fecha de inicio (recomendada); ","")&amp;IF(AND(M583&lt;&gt;"En ejecución",L583=""),"Falta fecha de terminación; ","")&amp;IF(AND(K583&lt;&gt;"",L583&lt;&gt;"",L583&lt;K583),"Terminación anterior al inicio; ","")&amp;IF(M583="","Falta estado; ","")&amp;IF(OR(P583="",P583&lt;=0),"Falta valor del contrato; ","")&amp;IF(AND(M583="En ejecución",Q583=""),"En ejecución sin valor ejecutado; ","")&amp;IF(AND(M583="En ejecución",L583&lt;&gt;"",L583&lt;TODAY()),"Dice en ejecución pero su terminación ya pasó; ","")&amp;IF(M583="En ejecución","En ejecución: no acredita experiencia; ","")&amp;IF(AND(M583&lt;&gt;"En ejecución",L583&lt;&gt;"",X583&lt;&gt;"",Y583=""),"El año no está en la hoja SMMLV; ","")&amp;IF(AND(B583&lt;&gt;"",COUNTIFS($B$2:$B$601,B583,$C$2:$C$601,C583)&gt;1),"Posible duplicado (mismo número y entidad); ","")&amp;IF(COUNTIF(PARTICIPACIONES!$A$2:$A$601,A583)=0,"Sin participaciones; ","")&amp;IF(SUMIFS(PARTICIPACIONES!$E$2:$E$601,PARTICIPACIONES!$A$2:$A$601,A583)&gt;1.0001,"Las participaciones suman más de 100 %; ",""))</f>
        <v/>
      </c>
    </row>
    <row r="584">
      <c r="J584" s="15" t="n"/>
      <c r="K584" s="15" t="n"/>
      <c r="L584" s="15" t="n"/>
      <c r="N584" s="15" t="n"/>
      <c r="O584" s="16" t="n"/>
      <c r="P584" s="16" t="n"/>
      <c r="Q584" s="16" t="n"/>
      <c r="W584" s="12">
        <f>IF(AND(K584&lt;&gt;"",L584&lt;&gt;""),ROUND((L584-K584)/30.4375,1),"")</f>
        <v/>
      </c>
      <c r="X584" s="12">
        <f>IF(OR(A584="",M584="En ejecución",L584=""),"",YEAR(L584))</f>
        <v/>
      </c>
      <c r="Y584" s="13">
        <f>IF(X584="","",IFERROR(VLOOKUP(X584,SMMLV!$A$2:$B$38,2,FALSE),""))</f>
        <v/>
      </c>
      <c r="Z584" s="17">
        <f>IF(OR(Y584="",P584=""),"",ROUND(P584/Y584,2))</f>
        <v/>
      </c>
      <c r="AA584" s="13">
        <f>IF(Z584="","",ROUND(Z584*SMMLV!$E$4,0))</f>
        <v/>
      </c>
      <c r="AB584" s="13">
        <f>IF(AND(M584="En ejecución",P584&lt;&gt;"",Q584&lt;&gt;""),MAX(P584-Q584,0),"")</f>
        <v/>
      </c>
      <c r="AC584" s="12">
        <f>IF(A584="","",IF(B584="","Falta número de contrato; ","")&amp;IF(C584="","Falta entidad; ","")&amp;IF(E584="","Falta objeto; ","")&amp;IF(F584="","Falta especialidad; ","")&amp;IF(K584="","Falta fecha de inicio (recomendada); ","")&amp;IF(AND(M584&lt;&gt;"En ejecución",L584=""),"Falta fecha de terminación; ","")&amp;IF(AND(K584&lt;&gt;"",L584&lt;&gt;"",L584&lt;K584),"Terminación anterior al inicio; ","")&amp;IF(M584="","Falta estado; ","")&amp;IF(OR(P584="",P584&lt;=0),"Falta valor del contrato; ","")&amp;IF(AND(M584="En ejecución",Q584=""),"En ejecución sin valor ejecutado; ","")&amp;IF(AND(M584="En ejecución",L584&lt;&gt;"",L584&lt;TODAY()),"Dice en ejecución pero su terminación ya pasó; ","")&amp;IF(M584="En ejecución","En ejecución: no acredita experiencia; ","")&amp;IF(AND(M584&lt;&gt;"En ejecución",L584&lt;&gt;"",X584&lt;&gt;"",Y584=""),"El año no está en la hoja SMMLV; ","")&amp;IF(AND(B584&lt;&gt;"",COUNTIFS($B$2:$B$601,B584,$C$2:$C$601,C584)&gt;1),"Posible duplicado (mismo número y entidad); ","")&amp;IF(COUNTIF(PARTICIPACIONES!$A$2:$A$601,A584)=0,"Sin participaciones; ","")&amp;IF(SUMIFS(PARTICIPACIONES!$E$2:$E$601,PARTICIPACIONES!$A$2:$A$601,A584)&gt;1.0001,"Las participaciones suman más de 100 %; ",""))</f>
        <v/>
      </c>
    </row>
    <row r="585">
      <c r="J585" s="15" t="n"/>
      <c r="K585" s="15" t="n"/>
      <c r="L585" s="15" t="n"/>
      <c r="N585" s="15" t="n"/>
      <c r="O585" s="16" t="n"/>
      <c r="P585" s="16" t="n"/>
      <c r="Q585" s="16" t="n"/>
      <c r="W585" s="12">
        <f>IF(AND(K585&lt;&gt;"",L585&lt;&gt;""),ROUND((L585-K585)/30.4375,1),"")</f>
        <v/>
      </c>
      <c r="X585" s="12">
        <f>IF(OR(A585="",M585="En ejecución",L585=""),"",YEAR(L585))</f>
        <v/>
      </c>
      <c r="Y585" s="13">
        <f>IF(X585="","",IFERROR(VLOOKUP(X585,SMMLV!$A$2:$B$38,2,FALSE),""))</f>
        <v/>
      </c>
      <c r="Z585" s="17">
        <f>IF(OR(Y585="",P585=""),"",ROUND(P585/Y585,2))</f>
        <v/>
      </c>
      <c r="AA585" s="13">
        <f>IF(Z585="","",ROUND(Z585*SMMLV!$E$4,0))</f>
        <v/>
      </c>
      <c r="AB585" s="13">
        <f>IF(AND(M585="En ejecución",P585&lt;&gt;"",Q585&lt;&gt;""),MAX(P585-Q585,0),"")</f>
        <v/>
      </c>
      <c r="AC585" s="12">
        <f>IF(A585="","",IF(B585="","Falta número de contrato; ","")&amp;IF(C585="","Falta entidad; ","")&amp;IF(E585="","Falta objeto; ","")&amp;IF(F585="","Falta especialidad; ","")&amp;IF(K585="","Falta fecha de inicio (recomendada); ","")&amp;IF(AND(M585&lt;&gt;"En ejecución",L585=""),"Falta fecha de terminación; ","")&amp;IF(AND(K585&lt;&gt;"",L585&lt;&gt;"",L585&lt;K585),"Terminación anterior al inicio; ","")&amp;IF(M585="","Falta estado; ","")&amp;IF(OR(P585="",P585&lt;=0),"Falta valor del contrato; ","")&amp;IF(AND(M585="En ejecución",Q585=""),"En ejecución sin valor ejecutado; ","")&amp;IF(AND(M585="En ejecución",L585&lt;&gt;"",L585&lt;TODAY()),"Dice en ejecución pero su terminación ya pasó; ","")&amp;IF(M585="En ejecución","En ejecución: no acredita experiencia; ","")&amp;IF(AND(M585&lt;&gt;"En ejecución",L585&lt;&gt;"",X585&lt;&gt;"",Y585=""),"El año no está en la hoja SMMLV; ","")&amp;IF(AND(B585&lt;&gt;"",COUNTIFS($B$2:$B$601,B585,$C$2:$C$601,C585)&gt;1),"Posible duplicado (mismo número y entidad); ","")&amp;IF(COUNTIF(PARTICIPACIONES!$A$2:$A$601,A585)=0,"Sin participaciones; ","")&amp;IF(SUMIFS(PARTICIPACIONES!$E$2:$E$601,PARTICIPACIONES!$A$2:$A$601,A585)&gt;1.0001,"Las participaciones suman más de 100 %; ",""))</f>
        <v/>
      </c>
    </row>
    <row r="586">
      <c r="J586" s="15" t="n"/>
      <c r="K586" s="15" t="n"/>
      <c r="L586" s="15" t="n"/>
      <c r="N586" s="15" t="n"/>
      <c r="O586" s="16" t="n"/>
      <c r="P586" s="16" t="n"/>
      <c r="Q586" s="16" t="n"/>
      <c r="W586" s="12">
        <f>IF(AND(K586&lt;&gt;"",L586&lt;&gt;""),ROUND((L586-K586)/30.4375,1),"")</f>
        <v/>
      </c>
      <c r="X586" s="12">
        <f>IF(OR(A586="",M586="En ejecución",L586=""),"",YEAR(L586))</f>
        <v/>
      </c>
      <c r="Y586" s="13">
        <f>IF(X586="","",IFERROR(VLOOKUP(X586,SMMLV!$A$2:$B$38,2,FALSE),""))</f>
        <v/>
      </c>
      <c r="Z586" s="17">
        <f>IF(OR(Y586="",P586=""),"",ROUND(P586/Y586,2))</f>
        <v/>
      </c>
      <c r="AA586" s="13">
        <f>IF(Z586="","",ROUND(Z586*SMMLV!$E$4,0))</f>
        <v/>
      </c>
      <c r="AB586" s="13">
        <f>IF(AND(M586="En ejecución",P586&lt;&gt;"",Q586&lt;&gt;""),MAX(P586-Q586,0),"")</f>
        <v/>
      </c>
      <c r="AC586" s="12">
        <f>IF(A586="","",IF(B586="","Falta número de contrato; ","")&amp;IF(C586="","Falta entidad; ","")&amp;IF(E586="","Falta objeto; ","")&amp;IF(F586="","Falta especialidad; ","")&amp;IF(K586="","Falta fecha de inicio (recomendada); ","")&amp;IF(AND(M586&lt;&gt;"En ejecución",L586=""),"Falta fecha de terminación; ","")&amp;IF(AND(K586&lt;&gt;"",L586&lt;&gt;"",L586&lt;K586),"Terminación anterior al inicio; ","")&amp;IF(M586="","Falta estado; ","")&amp;IF(OR(P586="",P586&lt;=0),"Falta valor del contrato; ","")&amp;IF(AND(M586="En ejecución",Q586=""),"En ejecución sin valor ejecutado; ","")&amp;IF(AND(M586="En ejecución",L586&lt;&gt;"",L586&lt;TODAY()),"Dice en ejecución pero su terminación ya pasó; ","")&amp;IF(M586="En ejecución","En ejecución: no acredita experiencia; ","")&amp;IF(AND(M586&lt;&gt;"En ejecución",L586&lt;&gt;"",X586&lt;&gt;"",Y586=""),"El año no está en la hoja SMMLV; ","")&amp;IF(AND(B586&lt;&gt;"",COUNTIFS($B$2:$B$601,B586,$C$2:$C$601,C586)&gt;1),"Posible duplicado (mismo número y entidad); ","")&amp;IF(COUNTIF(PARTICIPACIONES!$A$2:$A$601,A586)=0,"Sin participaciones; ","")&amp;IF(SUMIFS(PARTICIPACIONES!$E$2:$E$601,PARTICIPACIONES!$A$2:$A$601,A586)&gt;1.0001,"Las participaciones suman más de 100 %; ",""))</f>
        <v/>
      </c>
    </row>
    <row r="587">
      <c r="J587" s="15" t="n"/>
      <c r="K587" s="15" t="n"/>
      <c r="L587" s="15" t="n"/>
      <c r="N587" s="15" t="n"/>
      <c r="O587" s="16" t="n"/>
      <c r="P587" s="16" t="n"/>
      <c r="Q587" s="16" t="n"/>
      <c r="W587" s="12">
        <f>IF(AND(K587&lt;&gt;"",L587&lt;&gt;""),ROUND((L587-K587)/30.4375,1),"")</f>
        <v/>
      </c>
      <c r="X587" s="12">
        <f>IF(OR(A587="",M587="En ejecución",L587=""),"",YEAR(L587))</f>
        <v/>
      </c>
      <c r="Y587" s="13">
        <f>IF(X587="","",IFERROR(VLOOKUP(X587,SMMLV!$A$2:$B$38,2,FALSE),""))</f>
        <v/>
      </c>
      <c r="Z587" s="17">
        <f>IF(OR(Y587="",P587=""),"",ROUND(P587/Y587,2))</f>
        <v/>
      </c>
      <c r="AA587" s="13">
        <f>IF(Z587="","",ROUND(Z587*SMMLV!$E$4,0))</f>
        <v/>
      </c>
      <c r="AB587" s="13">
        <f>IF(AND(M587="En ejecución",P587&lt;&gt;"",Q587&lt;&gt;""),MAX(P587-Q587,0),"")</f>
        <v/>
      </c>
      <c r="AC587" s="12">
        <f>IF(A587="","",IF(B587="","Falta número de contrato; ","")&amp;IF(C587="","Falta entidad; ","")&amp;IF(E587="","Falta objeto; ","")&amp;IF(F587="","Falta especialidad; ","")&amp;IF(K587="","Falta fecha de inicio (recomendada); ","")&amp;IF(AND(M587&lt;&gt;"En ejecución",L587=""),"Falta fecha de terminación; ","")&amp;IF(AND(K587&lt;&gt;"",L587&lt;&gt;"",L587&lt;K587),"Terminación anterior al inicio; ","")&amp;IF(M587="","Falta estado; ","")&amp;IF(OR(P587="",P587&lt;=0),"Falta valor del contrato; ","")&amp;IF(AND(M587="En ejecución",Q587=""),"En ejecución sin valor ejecutado; ","")&amp;IF(AND(M587="En ejecución",L587&lt;&gt;"",L587&lt;TODAY()),"Dice en ejecución pero su terminación ya pasó; ","")&amp;IF(M587="En ejecución","En ejecución: no acredita experiencia; ","")&amp;IF(AND(M587&lt;&gt;"En ejecución",L587&lt;&gt;"",X587&lt;&gt;"",Y587=""),"El año no está en la hoja SMMLV; ","")&amp;IF(AND(B587&lt;&gt;"",COUNTIFS($B$2:$B$601,B587,$C$2:$C$601,C587)&gt;1),"Posible duplicado (mismo número y entidad); ","")&amp;IF(COUNTIF(PARTICIPACIONES!$A$2:$A$601,A587)=0,"Sin participaciones; ","")&amp;IF(SUMIFS(PARTICIPACIONES!$E$2:$E$601,PARTICIPACIONES!$A$2:$A$601,A587)&gt;1.0001,"Las participaciones suman más de 100 %; ",""))</f>
        <v/>
      </c>
    </row>
    <row r="588">
      <c r="J588" s="15" t="n"/>
      <c r="K588" s="15" t="n"/>
      <c r="L588" s="15" t="n"/>
      <c r="N588" s="15" t="n"/>
      <c r="O588" s="16" t="n"/>
      <c r="P588" s="16" t="n"/>
      <c r="Q588" s="16" t="n"/>
      <c r="W588" s="12">
        <f>IF(AND(K588&lt;&gt;"",L588&lt;&gt;""),ROUND((L588-K588)/30.4375,1),"")</f>
        <v/>
      </c>
      <c r="X588" s="12">
        <f>IF(OR(A588="",M588="En ejecución",L588=""),"",YEAR(L588))</f>
        <v/>
      </c>
      <c r="Y588" s="13">
        <f>IF(X588="","",IFERROR(VLOOKUP(X588,SMMLV!$A$2:$B$38,2,FALSE),""))</f>
        <v/>
      </c>
      <c r="Z588" s="17">
        <f>IF(OR(Y588="",P588=""),"",ROUND(P588/Y588,2))</f>
        <v/>
      </c>
      <c r="AA588" s="13">
        <f>IF(Z588="","",ROUND(Z588*SMMLV!$E$4,0))</f>
        <v/>
      </c>
      <c r="AB588" s="13">
        <f>IF(AND(M588="En ejecución",P588&lt;&gt;"",Q588&lt;&gt;""),MAX(P588-Q588,0),"")</f>
        <v/>
      </c>
      <c r="AC588" s="12">
        <f>IF(A588="","",IF(B588="","Falta número de contrato; ","")&amp;IF(C588="","Falta entidad; ","")&amp;IF(E588="","Falta objeto; ","")&amp;IF(F588="","Falta especialidad; ","")&amp;IF(K588="","Falta fecha de inicio (recomendada); ","")&amp;IF(AND(M588&lt;&gt;"En ejecución",L588=""),"Falta fecha de terminación; ","")&amp;IF(AND(K588&lt;&gt;"",L588&lt;&gt;"",L588&lt;K588),"Terminación anterior al inicio; ","")&amp;IF(M588="","Falta estado; ","")&amp;IF(OR(P588="",P588&lt;=0),"Falta valor del contrato; ","")&amp;IF(AND(M588="En ejecución",Q588=""),"En ejecución sin valor ejecutado; ","")&amp;IF(AND(M588="En ejecución",L588&lt;&gt;"",L588&lt;TODAY()),"Dice en ejecución pero su terminación ya pasó; ","")&amp;IF(M588="En ejecución","En ejecución: no acredita experiencia; ","")&amp;IF(AND(M588&lt;&gt;"En ejecución",L588&lt;&gt;"",X588&lt;&gt;"",Y588=""),"El año no está en la hoja SMMLV; ","")&amp;IF(AND(B588&lt;&gt;"",COUNTIFS($B$2:$B$601,B588,$C$2:$C$601,C588)&gt;1),"Posible duplicado (mismo número y entidad); ","")&amp;IF(COUNTIF(PARTICIPACIONES!$A$2:$A$601,A588)=0,"Sin participaciones; ","")&amp;IF(SUMIFS(PARTICIPACIONES!$E$2:$E$601,PARTICIPACIONES!$A$2:$A$601,A588)&gt;1.0001,"Las participaciones suman más de 100 %; ",""))</f>
        <v/>
      </c>
    </row>
    <row r="589">
      <c r="J589" s="15" t="n"/>
      <c r="K589" s="15" t="n"/>
      <c r="L589" s="15" t="n"/>
      <c r="N589" s="15" t="n"/>
      <c r="O589" s="16" t="n"/>
      <c r="P589" s="16" t="n"/>
      <c r="Q589" s="16" t="n"/>
      <c r="W589" s="12">
        <f>IF(AND(K589&lt;&gt;"",L589&lt;&gt;""),ROUND((L589-K589)/30.4375,1),"")</f>
        <v/>
      </c>
      <c r="X589" s="12">
        <f>IF(OR(A589="",M589="En ejecución",L589=""),"",YEAR(L589))</f>
        <v/>
      </c>
      <c r="Y589" s="13">
        <f>IF(X589="","",IFERROR(VLOOKUP(X589,SMMLV!$A$2:$B$38,2,FALSE),""))</f>
        <v/>
      </c>
      <c r="Z589" s="17">
        <f>IF(OR(Y589="",P589=""),"",ROUND(P589/Y589,2))</f>
        <v/>
      </c>
      <c r="AA589" s="13">
        <f>IF(Z589="","",ROUND(Z589*SMMLV!$E$4,0))</f>
        <v/>
      </c>
      <c r="AB589" s="13">
        <f>IF(AND(M589="En ejecución",P589&lt;&gt;"",Q589&lt;&gt;""),MAX(P589-Q589,0),"")</f>
        <v/>
      </c>
      <c r="AC589" s="12">
        <f>IF(A589="","",IF(B589="","Falta número de contrato; ","")&amp;IF(C589="","Falta entidad; ","")&amp;IF(E589="","Falta objeto; ","")&amp;IF(F589="","Falta especialidad; ","")&amp;IF(K589="","Falta fecha de inicio (recomendada); ","")&amp;IF(AND(M589&lt;&gt;"En ejecución",L589=""),"Falta fecha de terminación; ","")&amp;IF(AND(K589&lt;&gt;"",L589&lt;&gt;"",L589&lt;K589),"Terminación anterior al inicio; ","")&amp;IF(M589="","Falta estado; ","")&amp;IF(OR(P589="",P589&lt;=0),"Falta valor del contrato; ","")&amp;IF(AND(M589="En ejecución",Q589=""),"En ejecución sin valor ejecutado; ","")&amp;IF(AND(M589="En ejecución",L589&lt;&gt;"",L589&lt;TODAY()),"Dice en ejecución pero su terminación ya pasó; ","")&amp;IF(M589="En ejecución","En ejecución: no acredita experiencia; ","")&amp;IF(AND(M589&lt;&gt;"En ejecución",L589&lt;&gt;"",X589&lt;&gt;"",Y589=""),"El año no está en la hoja SMMLV; ","")&amp;IF(AND(B589&lt;&gt;"",COUNTIFS($B$2:$B$601,B589,$C$2:$C$601,C589)&gt;1),"Posible duplicado (mismo número y entidad); ","")&amp;IF(COUNTIF(PARTICIPACIONES!$A$2:$A$601,A589)=0,"Sin participaciones; ","")&amp;IF(SUMIFS(PARTICIPACIONES!$E$2:$E$601,PARTICIPACIONES!$A$2:$A$601,A589)&gt;1.0001,"Las participaciones suman más de 100 %; ",""))</f>
        <v/>
      </c>
    </row>
    <row r="590">
      <c r="J590" s="15" t="n"/>
      <c r="K590" s="15" t="n"/>
      <c r="L590" s="15" t="n"/>
      <c r="N590" s="15" t="n"/>
      <c r="O590" s="16" t="n"/>
      <c r="P590" s="16" t="n"/>
      <c r="Q590" s="16" t="n"/>
      <c r="W590" s="12">
        <f>IF(AND(K590&lt;&gt;"",L590&lt;&gt;""),ROUND((L590-K590)/30.4375,1),"")</f>
        <v/>
      </c>
      <c r="X590" s="12">
        <f>IF(OR(A590="",M590="En ejecución",L590=""),"",YEAR(L590))</f>
        <v/>
      </c>
      <c r="Y590" s="13">
        <f>IF(X590="","",IFERROR(VLOOKUP(X590,SMMLV!$A$2:$B$38,2,FALSE),""))</f>
        <v/>
      </c>
      <c r="Z590" s="17">
        <f>IF(OR(Y590="",P590=""),"",ROUND(P590/Y590,2))</f>
        <v/>
      </c>
      <c r="AA590" s="13">
        <f>IF(Z590="","",ROUND(Z590*SMMLV!$E$4,0))</f>
        <v/>
      </c>
      <c r="AB590" s="13">
        <f>IF(AND(M590="En ejecución",P590&lt;&gt;"",Q590&lt;&gt;""),MAX(P590-Q590,0),"")</f>
        <v/>
      </c>
      <c r="AC590" s="12">
        <f>IF(A590="","",IF(B590="","Falta número de contrato; ","")&amp;IF(C590="","Falta entidad; ","")&amp;IF(E590="","Falta objeto; ","")&amp;IF(F590="","Falta especialidad; ","")&amp;IF(K590="","Falta fecha de inicio (recomendada); ","")&amp;IF(AND(M590&lt;&gt;"En ejecución",L590=""),"Falta fecha de terminación; ","")&amp;IF(AND(K590&lt;&gt;"",L590&lt;&gt;"",L590&lt;K590),"Terminación anterior al inicio; ","")&amp;IF(M590="","Falta estado; ","")&amp;IF(OR(P590="",P590&lt;=0),"Falta valor del contrato; ","")&amp;IF(AND(M590="En ejecución",Q590=""),"En ejecución sin valor ejecutado; ","")&amp;IF(AND(M590="En ejecución",L590&lt;&gt;"",L590&lt;TODAY()),"Dice en ejecución pero su terminación ya pasó; ","")&amp;IF(M590="En ejecución","En ejecución: no acredita experiencia; ","")&amp;IF(AND(M590&lt;&gt;"En ejecución",L590&lt;&gt;"",X590&lt;&gt;"",Y590=""),"El año no está en la hoja SMMLV; ","")&amp;IF(AND(B590&lt;&gt;"",COUNTIFS($B$2:$B$601,B590,$C$2:$C$601,C590)&gt;1),"Posible duplicado (mismo número y entidad); ","")&amp;IF(COUNTIF(PARTICIPACIONES!$A$2:$A$601,A590)=0,"Sin participaciones; ","")&amp;IF(SUMIFS(PARTICIPACIONES!$E$2:$E$601,PARTICIPACIONES!$A$2:$A$601,A590)&gt;1.0001,"Las participaciones suman más de 100 %; ",""))</f>
        <v/>
      </c>
    </row>
    <row r="591">
      <c r="J591" s="15" t="n"/>
      <c r="K591" s="15" t="n"/>
      <c r="L591" s="15" t="n"/>
      <c r="N591" s="15" t="n"/>
      <c r="O591" s="16" t="n"/>
      <c r="P591" s="16" t="n"/>
      <c r="Q591" s="16" t="n"/>
      <c r="W591" s="12">
        <f>IF(AND(K591&lt;&gt;"",L591&lt;&gt;""),ROUND((L591-K591)/30.4375,1),"")</f>
        <v/>
      </c>
      <c r="X591" s="12">
        <f>IF(OR(A591="",M591="En ejecución",L591=""),"",YEAR(L591))</f>
        <v/>
      </c>
      <c r="Y591" s="13">
        <f>IF(X591="","",IFERROR(VLOOKUP(X591,SMMLV!$A$2:$B$38,2,FALSE),""))</f>
        <v/>
      </c>
      <c r="Z591" s="17">
        <f>IF(OR(Y591="",P591=""),"",ROUND(P591/Y591,2))</f>
        <v/>
      </c>
      <c r="AA591" s="13">
        <f>IF(Z591="","",ROUND(Z591*SMMLV!$E$4,0))</f>
        <v/>
      </c>
      <c r="AB591" s="13">
        <f>IF(AND(M591="En ejecución",P591&lt;&gt;"",Q591&lt;&gt;""),MAX(P591-Q591,0),"")</f>
        <v/>
      </c>
      <c r="AC591" s="12">
        <f>IF(A591="","",IF(B591="","Falta número de contrato; ","")&amp;IF(C591="","Falta entidad; ","")&amp;IF(E591="","Falta objeto; ","")&amp;IF(F591="","Falta especialidad; ","")&amp;IF(K591="","Falta fecha de inicio (recomendada); ","")&amp;IF(AND(M591&lt;&gt;"En ejecución",L591=""),"Falta fecha de terminación; ","")&amp;IF(AND(K591&lt;&gt;"",L591&lt;&gt;"",L591&lt;K591),"Terminación anterior al inicio; ","")&amp;IF(M591="","Falta estado; ","")&amp;IF(OR(P591="",P591&lt;=0),"Falta valor del contrato; ","")&amp;IF(AND(M591="En ejecución",Q591=""),"En ejecución sin valor ejecutado; ","")&amp;IF(AND(M591="En ejecución",L591&lt;&gt;"",L591&lt;TODAY()),"Dice en ejecución pero su terminación ya pasó; ","")&amp;IF(M591="En ejecución","En ejecución: no acredita experiencia; ","")&amp;IF(AND(M591&lt;&gt;"En ejecución",L591&lt;&gt;"",X591&lt;&gt;"",Y591=""),"El año no está en la hoja SMMLV; ","")&amp;IF(AND(B591&lt;&gt;"",COUNTIFS($B$2:$B$601,B591,$C$2:$C$601,C591)&gt;1),"Posible duplicado (mismo número y entidad); ","")&amp;IF(COUNTIF(PARTICIPACIONES!$A$2:$A$601,A591)=0,"Sin participaciones; ","")&amp;IF(SUMIFS(PARTICIPACIONES!$E$2:$E$601,PARTICIPACIONES!$A$2:$A$601,A591)&gt;1.0001,"Las participaciones suman más de 100 %; ",""))</f>
        <v/>
      </c>
    </row>
    <row r="592">
      <c r="J592" s="15" t="n"/>
      <c r="K592" s="15" t="n"/>
      <c r="L592" s="15" t="n"/>
      <c r="N592" s="15" t="n"/>
      <c r="O592" s="16" t="n"/>
      <c r="P592" s="16" t="n"/>
      <c r="Q592" s="16" t="n"/>
      <c r="W592" s="12">
        <f>IF(AND(K592&lt;&gt;"",L592&lt;&gt;""),ROUND((L592-K592)/30.4375,1),"")</f>
        <v/>
      </c>
      <c r="X592" s="12">
        <f>IF(OR(A592="",M592="En ejecución",L592=""),"",YEAR(L592))</f>
        <v/>
      </c>
      <c r="Y592" s="13">
        <f>IF(X592="","",IFERROR(VLOOKUP(X592,SMMLV!$A$2:$B$38,2,FALSE),""))</f>
        <v/>
      </c>
      <c r="Z592" s="17">
        <f>IF(OR(Y592="",P592=""),"",ROUND(P592/Y592,2))</f>
        <v/>
      </c>
      <c r="AA592" s="13">
        <f>IF(Z592="","",ROUND(Z592*SMMLV!$E$4,0))</f>
        <v/>
      </c>
      <c r="AB592" s="13">
        <f>IF(AND(M592="En ejecución",P592&lt;&gt;"",Q592&lt;&gt;""),MAX(P592-Q592,0),"")</f>
        <v/>
      </c>
      <c r="AC592" s="12">
        <f>IF(A592="","",IF(B592="","Falta número de contrato; ","")&amp;IF(C592="","Falta entidad; ","")&amp;IF(E592="","Falta objeto; ","")&amp;IF(F592="","Falta especialidad; ","")&amp;IF(K592="","Falta fecha de inicio (recomendada); ","")&amp;IF(AND(M592&lt;&gt;"En ejecución",L592=""),"Falta fecha de terminación; ","")&amp;IF(AND(K592&lt;&gt;"",L592&lt;&gt;"",L592&lt;K592),"Terminación anterior al inicio; ","")&amp;IF(M592="","Falta estado; ","")&amp;IF(OR(P592="",P592&lt;=0),"Falta valor del contrato; ","")&amp;IF(AND(M592="En ejecución",Q592=""),"En ejecución sin valor ejecutado; ","")&amp;IF(AND(M592="En ejecución",L592&lt;&gt;"",L592&lt;TODAY()),"Dice en ejecución pero su terminación ya pasó; ","")&amp;IF(M592="En ejecución","En ejecución: no acredita experiencia; ","")&amp;IF(AND(M592&lt;&gt;"En ejecución",L592&lt;&gt;"",X592&lt;&gt;"",Y592=""),"El año no está en la hoja SMMLV; ","")&amp;IF(AND(B592&lt;&gt;"",COUNTIFS($B$2:$B$601,B592,$C$2:$C$601,C592)&gt;1),"Posible duplicado (mismo número y entidad); ","")&amp;IF(COUNTIF(PARTICIPACIONES!$A$2:$A$601,A592)=0,"Sin participaciones; ","")&amp;IF(SUMIFS(PARTICIPACIONES!$E$2:$E$601,PARTICIPACIONES!$A$2:$A$601,A592)&gt;1.0001,"Las participaciones suman más de 100 %; ",""))</f>
        <v/>
      </c>
    </row>
    <row r="593">
      <c r="J593" s="15" t="n"/>
      <c r="K593" s="15" t="n"/>
      <c r="L593" s="15" t="n"/>
      <c r="N593" s="15" t="n"/>
      <c r="O593" s="16" t="n"/>
      <c r="P593" s="16" t="n"/>
      <c r="Q593" s="16" t="n"/>
      <c r="W593" s="12">
        <f>IF(AND(K593&lt;&gt;"",L593&lt;&gt;""),ROUND((L593-K593)/30.4375,1),"")</f>
        <v/>
      </c>
      <c r="X593" s="12">
        <f>IF(OR(A593="",M593="En ejecución",L593=""),"",YEAR(L593))</f>
        <v/>
      </c>
      <c r="Y593" s="13">
        <f>IF(X593="","",IFERROR(VLOOKUP(X593,SMMLV!$A$2:$B$38,2,FALSE),""))</f>
        <v/>
      </c>
      <c r="Z593" s="17">
        <f>IF(OR(Y593="",P593=""),"",ROUND(P593/Y593,2))</f>
        <v/>
      </c>
      <c r="AA593" s="13">
        <f>IF(Z593="","",ROUND(Z593*SMMLV!$E$4,0))</f>
        <v/>
      </c>
      <c r="AB593" s="13">
        <f>IF(AND(M593="En ejecución",P593&lt;&gt;"",Q593&lt;&gt;""),MAX(P593-Q593,0),"")</f>
        <v/>
      </c>
      <c r="AC593" s="12">
        <f>IF(A593="","",IF(B593="","Falta número de contrato; ","")&amp;IF(C593="","Falta entidad; ","")&amp;IF(E593="","Falta objeto; ","")&amp;IF(F593="","Falta especialidad; ","")&amp;IF(K593="","Falta fecha de inicio (recomendada); ","")&amp;IF(AND(M593&lt;&gt;"En ejecución",L593=""),"Falta fecha de terminación; ","")&amp;IF(AND(K593&lt;&gt;"",L593&lt;&gt;"",L593&lt;K593),"Terminación anterior al inicio; ","")&amp;IF(M593="","Falta estado; ","")&amp;IF(OR(P593="",P593&lt;=0),"Falta valor del contrato; ","")&amp;IF(AND(M593="En ejecución",Q593=""),"En ejecución sin valor ejecutado; ","")&amp;IF(AND(M593="En ejecución",L593&lt;&gt;"",L593&lt;TODAY()),"Dice en ejecución pero su terminación ya pasó; ","")&amp;IF(M593="En ejecución","En ejecución: no acredita experiencia; ","")&amp;IF(AND(M593&lt;&gt;"En ejecución",L593&lt;&gt;"",X593&lt;&gt;"",Y593=""),"El año no está en la hoja SMMLV; ","")&amp;IF(AND(B593&lt;&gt;"",COUNTIFS($B$2:$B$601,B593,$C$2:$C$601,C593)&gt;1),"Posible duplicado (mismo número y entidad); ","")&amp;IF(COUNTIF(PARTICIPACIONES!$A$2:$A$601,A593)=0,"Sin participaciones; ","")&amp;IF(SUMIFS(PARTICIPACIONES!$E$2:$E$601,PARTICIPACIONES!$A$2:$A$601,A593)&gt;1.0001,"Las participaciones suman más de 100 %; ",""))</f>
        <v/>
      </c>
    </row>
    <row r="594">
      <c r="J594" s="15" t="n"/>
      <c r="K594" s="15" t="n"/>
      <c r="L594" s="15" t="n"/>
      <c r="N594" s="15" t="n"/>
      <c r="O594" s="16" t="n"/>
      <c r="P594" s="16" t="n"/>
      <c r="Q594" s="16" t="n"/>
      <c r="W594" s="12">
        <f>IF(AND(K594&lt;&gt;"",L594&lt;&gt;""),ROUND((L594-K594)/30.4375,1),"")</f>
        <v/>
      </c>
      <c r="X594" s="12">
        <f>IF(OR(A594="",M594="En ejecución",L594=""),"",YEAR(L594))</f>
        <v/>
      </c>
      <c r="Y594" s="13">
        <f>IF(X594="","",IFERROR(VLOOKUP(X594,SMMLV!$A$2:$B$38,2,FALSE),""))</f>
        <v/>
      </c>
      <c r="Z594" s="17">
        <f>IF(OR(Y594="",P594=""),"",ROUND(P594/Y594,2))</f>
        <v/>
      </c>
      <c r="AA594" s="13">
        <f>IF(Z594="","",ROUND(Z594*SMMLV!$E$4,0))</f>
        <v/>
      </c>
      <c r="AB594" s="13">
        <f>IF(AND(M594="En ejecución",P594&lt;&gt;"",Q594&lt;&gt;""),MAX(P594-Q594,0),"")</f>
        <v/>
      </c>
      <c r="AC594" s="12">
        <f>IF(A594="","",IF(B594="","Falta número de contrato; ","")&amp;IF(C594="","Falta entidad; ","")&amp;IF(E594="","Falta objeto; ","")&amp;IF(F594="","Falta especialidad; ","")&amp;IF(K594="","Falta fecha de inicio (recomendada); ","")&amp;IF(AND(M594&lt;&gt;"En ejecución",L594=""),"Falta fecha de terminación; ","")&amp;IF(AND(K594&lt;&gt;"",L594&lt;&gt;"",L594&lt;K594),"Terminación anterior al inicio; ","")&amp;IF(M594="","Falta estado; ","")&amp;IF(OR(P594="",P594&lt;=0),"Falta valor del contrato; ","")&amp;IF(AND(M594="En ejecución",Q594=""),"En ejecución sin valor ejecutado; ","")&amp;IF(AND(M594="En ejecución",L594&lt;&gt;"",L594&lt;TODAY()),"Dice en ejecución pero su terminación ya pasó; ","")&amp;IF(M594="En ejecución","En ejecución: no acredita experiencia; ","")&amp;IF(AND(M594&lt;&gt;"En ejecución",L594&lt;&gt;"",X594&lt;&gt;"",Y594=""),"El año no está en la hoja SMMLV; ","")&amp;IF(AND(B594&lt;&gt;"",COUNTIFS($B$2:$B$601,B594,$C$2:$C$601,C594)&gt;1),"Posible duplicado (mismo número y entidad); ","")&amp;IF(COUNTIF(PARTICIPACIONES!$A$2:$A$601,A594)=0,"Sin participaciones; ","")&amp;IF(SUMIFS(PARTICIPACIONES!$E$2:$E$601,PARTICIPACIONES!$A$2:$A$601,A594)&gt;1.0001,"Las participaciones suman más de 100 %; ",""))</f>
        <v/>
      </c>
    </row>
    <row r="595">
      <c r="J595" s="15" t="n"/>
      <c r="K595" s="15" t="n"/>
      <c r="L595" s="15" t="n"/>
      <c r="N595" s="15" t="n"/>
      <c r="O595" s="16" t="n"/>
      <c r="P595" s="16" t="n"/>
      <c r="Q595" s="16" t="n"/>
      <c r="W595" s="12">
        <f>IF(AND(K595&lt;&gt;"",L595&lt;&gt;""),ROUND((L595-K595)/30.4375,1),"")</f>
        <v/>
      </c>
      <c r="X595" s="12">
        <f>IF(OR(A595="",M595="En ejecución",L595=""),"",YEAR(L595))</f>
        <v/>
      </c>
      <c r="Y595" s="13">
        <f>IF(X595="","",IFERROR(VLOOKUP(X595,SMMLV!$A$2:$B$38,2,FALSE),""))</f>
        <v/>
      </c>
      <c r="Z595" s="17">
        <f>IF(OR(Y595="",P595=""),"",ROUND(P595/Y595,2))</f>
        <v/>
      </c>
      <c r="AA595" s="13">
        <f>IF(Z595="","",ROUND(Z595*SMMLV!$E$4,0))</f>
        <v/>
      </c>
      <c r="AB595" s="13">
        <f>IF(AND(M595="En ejecución",P595&lt;&gt;"",Q595&lt;&gt;""),MAX(P595-Q595,0),"")</f>
        <v/>
      </c>
      <c r="AC595" s="12">
        <f>IF(A595="","",IF(B595="","Falta número de contrato; ","")&amp;IF(C595="","Falta entidad; ","")&amp;IF(E595="","Falta objeto; ","")&amp;IF(F595="","Falta especialidad; ","")&amp;IF(K595="","Falta fecha de inicio (recomendada); ","")&amp;IF(AND(M595&lt;&gt;"En ejecución",L595=""),"Falta fecha de terminación; ","")&amp;IF(AND(K595&lt;&gt;"",L595&lt;&gt;"",L595&lt;K595),"Terminación anterior al inicio; ","")&amp;IF(M595="","Falta estado; ","")&amp;IF(OR(P595="",P595&lt;=0),"Falta valor del contrato; ","")&amp;IF(AND(M595="En ejecución",Q595=""),"En ejecución sin valor ejecutado; ","")&amp;IF(AND(M595="En ejecución",L595&lt;&gt;"",L595&lt;TODAY()),"Dice en ejecución pero su terminación ya pasó; ","")&amp;IF(M595="En ejecución","En ejecución: no acredita experiencia; ","")&amp;IF(AND(M595&lt;&gt;"En ejecución",L595&lt;&gt;"",X595&lt;&gt;"",Y595=""),"El año no está en la hoja SMMLV; ","")&amp;IF(AND(B595&lt;&gt;"",COUNTIFS($B$2:$B$601,B595,$C$2:$C$601,C595)&gt;1),"Posible duplicado (mismo número y entidad); ","")&amp;IF(COUNTIF(PARTICIPACIONES!$A$2:$A$601,A595)=0,"Sin participaciones; ","")&amp;IF(SUMIFS(PARTICIPACIONES!$E$2:$E$601,PARTICIPACIONES!$A$2:$A$601,A595)&gt;1.0001,"Las participaciones suman más de 100 %; ",""))</f>
        <v/>
      </c>
    </row>
    <row r="596">
      <c r="J596" s="15" t="n"/>
      <c r="K596" s="15" t="n"/>
      <c r="L596" s="15" t="n"/>
      <c r="N596" s="15" t="n"/>
      <c r="O596" s="16" t="n"/>
      <c r="P596" s="16" t="n"/>
      <c r="Q596" s="16" t="n"/>
      <c r="W596" s="12">
        <f>IF(AND(K596&lt;&gt;"",L596&lt;&gt;""),ROUND((L596-K596)/30.4375,1),"")</f>
        <v/>
      </c>
      <c r="X596" s="12">
        <f>IF(OR(A596="",M596="En ejecución",L596=""),"",YEAR(L596))</f>
        <v/>
      </c>
      <c r="Y596" s="13">
        <f>IF(X596="","",IFERROR(VLOOKUP(X596,SMMLV!$A$2:$B$38,2,FALSE),""))</f>
        <v/>
      </c>
      <c r="Z596" s="17">
        <f>IF(OR(Y596="",P596=""),"",ROUND(P596/Y596,2))</f>
        <v/>
      </c>
      <c r="AA596" s="13">
        <f>IF(Z596="","",ROUND(Z596*SMMLV!$E$4,0))</f>
        <v/>
      </c>
      <c r="AB596" s="13">
        <f>IF(AND(M596="En ejecución",P596&lt;&gt;"",Q596&lt;&gt;""),MAX(P596-Q596,0),"")</f>
        <v/>
      </c>
      <c r="AC596" s="12">
        <f>IF(A596="","",IF(B596="","Falta número de contrato; ","")&amp;IF(C596="","Falta entidad; ","")&amp;IF(E596="","Falta objeto; ","")&amp;IF(F596="","Falta especialidad; ","")&amp;IF(K596="","Falta fecha de inicio (recomendada); ","")&amp;IF(AND(M596&lt;&gt;"En ejecución",L596=""),"Falta fecha de terminación; ","")&amp;IF(AND(K596&lt;&gt;"",L596&lt;&gt;"",L596&lt;K596),"Terminación anterior al inicio; ","")&amp;IF(M596="","Falta estado; ","")&amp;IF(OR(P596="",P596&lt;=0),"Falta valor del contrato; ","")&amp;IF(AND(M596="En ejecución",Q596=""),"En ejecución sin valor ejecutado; ","")&amp;IF(AND(M596="En ejecución",L596&lt;&gt;"",L596&lt;TODAY()),"Dice en ejecución pero su terminación ya pasó; ","")&amp;IF(M596="En ejecución","En ejecución: no acredita experiencia; ","")&amp;IF(AND(M596&lt;&gt;"En ejecución",L596&lt;&gt;"",X596&lt;&gt;"",Y596=""),"El año no está en la hoja SMMLV; ","")&amp;IF(AND(B596&lt;&gt;"",COUNTIFS($B$2:$B$601,B596,$C$2:$C$601,C596)&gt;1),"Posible duplicado (mismo número y entidad); ","")&amp;IF(COUNTIF(PARTICIPACIONES!$A$2:$A$601,A596)=0,"Sin participaciones; ","")&amp;IF(SUMIFS(PARTICIPACIONES!$E$2:$E$601,PARTICIPACIONES!$A$2:$A$601,A596)&gt;1.0001,"Las participaciones suman más de 100 %; ",""))</f>
        <v/>
      </c>
    </row>
    <row r="597">
      <c r="J597" s="15" t="n"/>
      <c r="K597" s="15" t="n"/>
      <c r="L597" s="15" t="n"/>
      <c r="N597" s="15" t="n"/>
      <c r="O597" s="16" t="n"/>
      <c r="P597" s="16" t="n"/>
      <c r="Q597" s="16" t="n"/>
      <c r="W597" s="12">
        <f>IF(AND(K597&lt;&gt;"",L597&lt;&gt;""),ROUND((L597-K597)/30.4375,1),"")</f>
        <v/>
      </c>
      <c r="X597" s="12">
        <f>IF(OR(A597="",M597="En ejecución",L597=""),"",YEAR(L597))</f>
        <v/>
      </c>
      <c r="Y597" s="13">
        <f>IF(X597="","",IFERROR(VLOOKUP(X597,SMMLV!$A$2:$B$38,2,FALSE),""))</f>
        <v/>
      </c>
      <c r="Z597" s="17">
        <f>IF(OR(Y597="",P597=""),"",ROUND(P597/Y597,2))</f>
        <v/>
      </c>
      <c r="AA597" s="13">
        <f>IF(Z597="","",ROUND(Z597*SMMLV!$E$4,0))</f>
        <v/>
      </c>
      <c r="AB597" s="13">
        <f>IF(AND(M597="En ejecución",P597&lt;&gt;"",Q597&lt;&gt;""),MAX(P597-Q597,0),"")</f>
        <v/>
      </c>
      <c r="AC597" s="12">
        <f>IF(A597="","",IF(B597="","Falta número de contrato; ","")&amp;IF(C597="","Falta entidad; ","")&amp;IF(E597="","Falta objeto; ","")&amp;IF(F597="","Falta especialidad; ","")&amp;IF(K597="","Falta fecha de inicio (recomendada); ","")&amp;IF(AND(M597&lt;&gt;"En ejecución",L597=""),"Falta fecha de terminación; ","")&amp;IF(AND(K597&lt;&gt;"",L597&lt;&gt;"",L597&lt;K597),"Terminación anterior al inicio; ","")&amp;IF(M597="","Falta estado; ","")&amp;IF(OR(P597="",P597&lt;=0),"Falta valor del contrato; ","")&amp;IF(AND(M597="En ejecución",Q597=""),"En ejecución sin valor ejecutado; ","")&amp;IF(AND(M597="En ejecución",L597&lt;&gt;"",L597&lt;TODAY()),"Dice en ejecución pero su terminación ya pasó; ","")&amp;IF(M597="En ejecución","En ejecución: no acredita experiencia; ","")&amp;IF(AND(M597&lt;&gt;"En ejecución",L597&lt;&gt;"",X597&lt;&gt;"",Y597=""),"El año no está en la hoja SMMLV; ","")&amp;IF(AND(B597&lt;&gt;"",COUNTIFS($B$2:$B$601,B597,$C$2:$C$601,C597)&gt;1),"Posible duplicado (mismo número y entidad); ","")&amp;IF(COUNTIF(PARTICIPACIONES!$A$2:$A$601,A597)=0,"Sin participaciones; ","")&amp;IF(SUMIFS(PARTICIPACIONES!$E$2:$E$601,PARTICIPACIONES!$A$2:$A$601,A597)&gt;1.0001,"Las participaciones suman más de 100 %; ",""))</f>
        <v/>
      </c>
    </row>
    <row r="598">
      <c r="J598" s="15" t="n"/>
      <c r="K598" s="15" t="n"/>
      <c r="L598" s="15" t="n"/>
      <c r="N598" s="15" t="n"/>
      <c r="O598" s="16" t="n"/>
      <c r="P598" s="16" t="n"/>
      <c r="Q598" s="16" t="n"/>
      <c r="W598" s="12">
        <f>IF(AND(K598&lt;&gt;"",L598&lt;&gt;""),ROUND((L598-K598)/30.4375,1),"")</f>
        <v/>
      </c>
      <c r="X598" s="12">
        <f>IF(OR(A598="",M598="En ejecución",L598=""),"",YEAR(L598))</f>
        <v/>
      </c>
      <c r="Y598" s="13">
        <f>IF(X598="","",IFERROR(VLOOKUP(X598,SMMLV!$A$2:$B$38,2,FALSE),""))</f>
        <v/>
      </c>
      <c r="Z598" s="17">
        <f>IF(OR(Y598="",P598=""),"",ROUND(P598/Y598,2))</f>
        <v/>
      </c>
      <c r="AA598" s="13">
        <f>IF(Z598="","",ROUND(Z598*SMMLV!$E$4,0))</f>
        <v/>
      </c>
      <c r="AB598" s="13">
        <f>IF(AND(M598="En ejecución",P598&lt;&gt;"",Q598&lt;&gt;""),MAX(P598-Q598,0),"")</f>
        <v/>
      </c>
      <c r="AC598" s="12">
        <f>IF(A598="","",IF(B598="","Falta número de contrato; ","")&amp;IF(C598="","Falta entidad; ","")&amp;IF(E598="","Falta objeto; ","")&amp;IF(F598="","Falta especialidad; ","")&amp;IF(K598="","Falta fecha de inicio (recomendada); ","")&amp;IF(AND(M598&lt;&gt;"En ejecución",L598=""),"Falta fecha de terminación; ","")&amp;IF(AND(K598&lt;&gt;"",L598&lt;&gt;"",L598&lt;K598),"Terminación anterior al inicio; ","")&amp;IF(M598="","Falta estado; ","")&amp;IF(OR(P598="",P598&lt;=0),"Falta valor del contrato; ","")&amp;IF(AND(M598="En ejecución",Q598=""),"En ejecución sin valor ejecutado; ","")&amp;IF(AND(M598="En ejecución",L598&lt;&gt;"",L598&lt;TODAY()),"Dice en ejecución pero su terminación ya pasó; ","")&amp;IF(M598="En ejecución","En ejecución: no acredita experiencia; ","")&amp;IF(AND(M598&lt;&gt;"En ejecución",L598&lt;&gt;"",X598&lt;&gt;"",Y598=""),"El año no está en la hoja SMMLV; ","")&amp;IF(AND(B598&lt;&gt;"",COUNTIFS($B$2:$B$601,B598,$C$2:$C$601,C598)&gt;1),"Posible duplicado (mismo número y entidad); ","")&amp;IF(COUNTIF(PARTICIPACIONES!$A$2:$A$601,A598)=0,"Sin participaciones; ","")&amp;IF(SUMIFS(PARTICIPACIONES!$E$2:$E$601,PARTICIPACIONES!$A$2:$A$601,A598)&gt;1.0001,"Las participaciones suman más de 100 %; ",""))</f>
        <v/>
      </c>
    </row>
    <row r="599">
      <c r="J599" s="15" t="n"/>
      <c r="K599" s="15" t="n"/>
      <c r="L599" s="15" t="n"/>
      <c r="N599" s="15" t="n"/>
      <c r="O599" s="16" t="n"/>
      <c r="P599" s="16" t="n"/>
      <c r="Q599" s="16" t="n"/>
      <c r="W599" s="12">
        <f>IF(AND(K599&lt;&gt;"",L599&lt;&gt;""),ROUND((L599-K599)/30.4375,1),"")</f>
        <v/>
      </c>
      <c r="X599" s="12">
        <f>IF(OR(A599="",M599="En ejecución",L599=""),"",YEAR(L599))</f>
        <v/>
      </c>
      <c r="Y599" s="13">
        <f>IF(X599="","",IFERROR(VLOOKUP(X599,SMMLV!$A$2:$B$38,2,FALSE),""))</f>
        <v/>
      </c>
      <c r="Z599" s="17">
        <f>IF(OR(Y599="",P599=""),"",ROUND(P599/Y599,2))</f>
        <v/>
      </c>
      <c r="AA599" s="13">
        <f>IF(Z599="","",ROUND(Z599*SMMLV!$E$4,0))</f>
        <v/>
      </c>
      <c r="AB599" s="13">
        <f>IF(AND(M599="En ejecución",P599&lt;&gt;"",Q599&lt;&gt;""),MAX(P599-Q599,0),"")</f>
        <v/>
      </c>
      <c r="AC599" s="12">
        <f>IF(A599="","",IF(B599="","Falta número de contrato; ","")&amp;IF(C599="","Falta entidad; ","")&amp;IF(E599="","Falta objeto; ","")&amp;IF(F599="","Falta especialidad; ","")&amp;IF(K599="","Falta fecha de inicio (recomendada); ","")&amp;IF(AND(M599&lt;&gt;"En ejecución",L599=""),"Falta fecha de terminación; ","")&amp;IF(AND(K599&lt;&gt;"",L599&lt;&gt;"",L599&lt;K599),"Terminación anterior al inicio; ","")&amp;IF(M599="","Falta estado; ","")&amp;IF(OR(P599="",P599&lt;=0),"Falta valor del contrato; ","")&amp;IF(AND(M599="En ejecución",Q599=""),"En ejecución sin valor ejecutado; ","")&amp;IF(AND(M599="En ejecución",L599&lt;&gt;"",L599&lt;TODAY()),"Dice en ejecución pero su terminación ya pasó; ","")&amp;IF(M599="En ejecución","En ejecución: no acredita experiencia; ","")&amp;IF(AND(M599&lt;&gt;"En ejecución",L599&lt;&gt;"",X599&lt;&gt;"",Y599=""),"El año no está en la hoja SMMLV; ","")&amp;IF(AND(B599&lt;&gt;"",COUNTIFS($B$2:$B$601,B599,$C$2:$C$601,C599)&gt;1),"Posible duplicado (mismo número y entidad); ","")&amp;IF(COUNTIF(PARTICIPACIONES!$A$2:$A$601,A599)=0,"Sin participaciones; ","")&amp;IF(SUMIFS(PARTICIPACIONES!$E$2:$E$601,PARTICIPACIONES!$A$2:$A$601,A599)&gt;1.0001,"Las participaciones suman más de 100 %; ",""))</f>
        <v/>
      </c>
    </row>
    <row r="600">
      <c r="J600" s="15" t="n"/>
      <c r="K600" s="15" t="n"/>
      <c r="L600" s="15" t="n"/>
      <c r="N600" s="15" t="n"/>
      <c r="O600" s="16" t="n"/>
      <c r="P600" s="16" t="n"/>
      <c r="Q600" s="16" t="n"/>
      <c r="W600" s="12">
        <f>IF(AND(K600&lt;&gt;"",L600&lt;&gt;""),ROUND((L600-K600)/30.4375,1),"")</f>
        <v/>
      </c>
      <c r="X600" s="12">
        <f>IF(OR(A600="",M600="En ejecución",L600=""),"",YEAR(L600))</f>
        <v/>
      </c>
      <c r="Y600" s="13">
        <f>IF(X600="","",IFERROR(VLOOKUP(X600,SMMLV!$A$2:$B$38,2,FALSE),""))</f>
        <v/>
      </c>
      <c r="Z600" s="17">
        <f>IF(OR(Y600="",P600=""),"",ROUND(P600/Y600,2))</f>
        <v/>
      </c>
      <c r="AA600" s="13">
        <f>IF(Z600="","",ROUND(Z600*SMMLV!$E$4,0))</f>
        <v/>
      </c>
      <c r="AB600" s="13">
        <f>IF(AND(M600="En ejecución",P600&lt;&gt;"",Q600&lt;&gt;""),MAX(P600-Q600,0),"")</f>
        <v/>
      </c>
      <c r="AC600" s="12">
        <f>IF(A600="","",IF(B600="","Falta número de contrato; ","")&amp;IF(C600="","Falta entidad; ","")&amp;IF(E600="","Falta objeto; ","")&amp;IF(F600="","Falta especialidad; ","")&amp;IF(K600="","Falta fecha de inicio (recomendada); ","")&amp;IF(AND(M600&lt;&gt;"En ejecución",L600=""),"Falta fecha de terminación; ","")&amp;IF(AND(K600&lt;&gt;"",L600&lt;&gt;"",L600&lt;K600),"Terminación anterior al inicio; ","")&amp;IF(M600="","Falta estado; ","")&amp;IF(OR(P600="",P600&lt;=0),"Falta valor del contrato; ","")&amp;IF(AND(M600="En ejecución",Q600=""),"En ejecución sin valor ejecutado; ","")&amp;IF(AND(M600="En ejecución",L600&lt;&gt;"",L600&lt;TODAY()),"Dice en ejecución pero su terminación ya pasó; ","")&amp;IF(M600="En ejecución","En ejecución: no acredita experiencia; ","")&amp;IF(AND(M600&lt;&gt;"En ejecución",L600&lt;&gt;"",X600&lt;&gt;"",Y600=""),"El año no está en la hoja SMMLV; ","")&amp;IF(AND(B600&lt;&gt;"",COUNTIFS($B$2:$B$601,B600,$C$2:$C$601,C600)&gt;1),"Posible duplicado (mismo número y entidad); ","")&amp;IF(COUNTIF(PARTICIPACIONES!$A$2:$A$601,A600)=0,"Sin participaciones; ","")&amp;IF(SUMIFS(PARTICIPACIONES!$E$2:$E$601,PARTICIPACIONES!$A$2:$A$601,A600)&gt;1.0001,"Las participaciones suman más de 100 %; ",""))</f>
        <v/>
      </c>
    </row>
    <row r="601">
      <c r="J601" s="15" t="n"/>
      <c r="K601" s="15" t="n"/>
      <c r="L601" s="15" t="n"/>
      <c r="N601" s="15" t="n"/>
      <c r="O601" s="16" t="n"/>
      <c r="P601" s="16" t="n"/>
      <c r="Q601" s="16" t="n"/>
      <c r="W601" s="12">
        <f>IF(AND(K601&lt;&gt;"",L601&lt;&gt;""),ROUND((L601-K601)/30.4375,1),"")</f>
        <v/>
      </c>
      <c r="X601" s="12">
        <f>IF(OR(A601="",M601="En ejecución",L601=""),"",YEAR(L601))</f>
        <v/>
      </c>
      <c r="Y601" s="13">
        <f>IF(X601="","",IFERROR(VLOOKUP(X601,SMMLV!$A$2:$B$38,2,FALSE),""))</f>
        <v/>
      </c>
      <c r="Z601" s="17">
        <f>IF(OR(Y601="",P601=""),"",ROUND(P601/Y601,2))</f>
        <v/>
      </c>
      <c r="AA601" s="13">
        <f>IF(Z601="","",ROUND(Z601*SMMLV!$E$4,0))</f>
        <v/>
      </c>
      <c r="AB601" s="13">
        <f>IF(AND(M601="En ejecución",P601&lt;&gt;"",Q601&lt;&gt;""),MAX(P601-Q601,0),"")</f>
        <v/>
      </c>
      <c r="AC601" s="12">
        <f>IF(A601="","",IF(B601="","Falta número de contrato; ","")&amp;IF(C601="","Falta entidad; ","")&amp;IF(E601="","Falta objeto; ","")&amp;IF(F601="","Falta especialidad; ","")&amp;IF(K601="","Falta fecha de inicio (recomendada); ","")&amp;IF(AND(M601&lt;&gt;"En ejecución",L601=""),"Falta fecha de terminación; ","")&amp;IF(AND(K601&lt;&gt;"",L601&lt;&gt;"",L601&lt;K601),"Terminación anterior al inicio; ","")&amp;IF(M601="","Falta estado; ","")&amp;IF(OR(P601="",P601&lt;=0),"Falta valor del contrato; ","")&amp;IF(AND(M601="En ejecución",Q601=""),"En ejecución sin valor ejecutado; ","")&amp;IF(AND(M601="En ejecución",L601&lt;&gt;"",L601&lt;TODAY()),"Dice en ejecución pero su terminación ya pasó; ","")&amp;IF(M601="En ejecución","En ejecución: no acredita experiencia; ","")&amp;IF(AND(M601&lt;&gt;"En ejecución",L601&lt;&gt;"",X601&lt;&gt;"",Y601=""),"El año no está en la hoja SMMLV; ","")&amp;IF(AND(B601&lt;&gt;"",COUNTIFS($B$2:$B$601,B601,$C$2:$C$601,C601)&gt;1),"Posible duplicado (mismo número y entidad); ","")&amp;IF(COUNTIF(PARTICIPACIONES!$A$2:$A$601,A601)=0,"Sin participaciones; ","")&amp;IF(SUMIFS(PARTICIPACIONES!$E$2:$E$601,PARTICIPACIONES!$A$2:$A$601,A601)&gt;1.0001,"Las participaciones suman más de 100 %; ",""))</f>
        <v/>
      </c>
    </row>
  </sheetData>
  <conditionalFormatting sqref="AC2:AC601">
    <cfRule type="expression" priority="1" dxfId="0">
      <formula>LEN($AC2)&gt;0</formula>
    </cfRule>
  </conditionalFormatting>
  <conditionalFormatting sqref="B2:B601">
    <cfRule type="expression" priority="2" dxfId="0">
      <formula>AND($A2&lt;&gt;"",B2="")</formula>
    </cfRule>
  </conditionalFormatting>
  <conditionalFormatting sqref="C2:C601">
    <cfRule type="expression" priority="3" dxfId="0">
      <formula>AND($A2&lt;&gt;"",C2="")</formula>
    </cfRule>
  </conditionalFormatting>
  <conditionalFormatting sqref="D2:D601">
    <cfRule type="expression" priority="4" dxfId="0">
      <formula>AND($A2&lt;&gt;"",D2="")</formula>
    </cfRule>
  </conditionalFormatting>
  <conditionalFormatting sqref="E2:E601">
    <cfRule type="expression" priority="5" dxfId="0">
      <formula>AND($A2&lt;&gt;"",E2="")</formula>
    </cfRule>
  </conditionalFormatting>
  <conditionalFormatting sqref="F2:F601">
    <cfRule type="expression" priority="6" dxfId="0">
      <formula>AND($A2&lt;&gt;"",F2="")</formula>
    </cfRule>
  </conditionalFormatting>
  <conditionalFormatting sqref="M2:M601">
    <cfRule type="expression" priority="7" dxfId="0">
      <formula>AND($A2&lt;&gt;"",M2="")</formula>
    </cfRule>
  </conditionalFormatting>
  <conditionalFormatting sqref="P2:P601">
    <cfRule type="expression" priority="8" dxfId="0">
      <formula>AND($A2&lt;&gt;"",P2="")</formula>
    </cfRule>
  </conditionalFormatting>
  <dataValidations count="13">
    <dataValidation sqref="C2:C601" showDropDown="0" showInputMessage="0" showErrorMessage="1" allowBlank="1" errorTitle="Entidad nueva" error="Esa entidad no está en CATALOGO_ENTIDADES. Agréguela allí para mantener un solo nombre." type="list" errorStyle="warning">
      <formula1>=L_ENTIDAD</formula1>
    </dataValidation>
    <dataValidation sqref="D2:D601" showDropDown="0" showInputMessage="0" showErrorMessage="1" allowBlank="1" errorTitle="Tipo de cliente" error="Elija un valor de la lista." type="list">
      <formula1>=L_TIPO_CLIENTE</formula1>
    </dataValidation>
    <dataValidation sqref="F2:F601" showDropDown="0" showInputMessage="0" showErrorMessage="1" allowBlank="1" errorTitle="Especialidad" error="Elija una especialidad de la lista." type="list">
      <formula1>=L_ESPECIALIDAD</formula1>
    </dataValidation>
    <dataValidation sqref="G2:G601" showDropDown="0" showInputMessage="0" showErrorMessage="1" allowBlank="1" errorTitle="Actividad" error="Elija un valor de la lista." type="list">
      <formula1>=L_ACTIVIDAD</formula1>
    </dataValidation>
    <dataValidation sqref="H2:H601" showDropDown="0" showInputMessage="0" showErrorMessage="1" allowBlank="1" errorTitle="Departamento" error="Elija un departamento de la lista." type="list">
      <formula1>=L_DEPARTAMENTO</formula1>
    </dataValidation>
    <dataValidation sqref="M2:M601" showDropDown="0" showInputMessage="0" showErrorMessage="1" allowBlank="1" errorTitle="Estado" error="Elija un estado de la lista." type="list">
      <formula1>=L_ESTADO</formula1>
    </dataValidation>
    <dataValidation sqref="J2:J601" showDropDown="0" showInputMessage="0" showErrorMessage="1" allowBlank="1" errorTitle="Fecha" error="Escriba una fecha válida (AAAA-MM-DD)." type="date" operator="between">
      <formula1>DATE(1990,1,1)</formula1>
      <formula2>DATE(2100,12,31)</formula2>
    </dataValidation>
    <dataValidation sqref="K2:K601" showDropDown="0" showInputMessage="0" showErrorMessage="1" allowBlank="1" errorTitle="Fecha" error="Escriba una fecha válida (AAAA-MM-DD)." type="date" operator="between">
      <formula1>DATE(1990,1,1)</formula1>
      <formula2>DATE(2100,12,31)</formula2>
    </dataValidation>
    <dataValidation sqref="L2:L601" showDropDown="0" showInputMessage="0" showErrorMessage="1" allowBlank="1" errorTitle="Fecha" error="Escriba una fecha válida (AAAA-MM-DD)." type="date" operator="between">
      <formula1>DATE(1990,1,1)</formula1>
      <formula2>DATE(2100,12,31)</formula2>
    </dataValidation>
    <dataValidation sqref="N2:N601" showDropDown="0" showInputMessage="0" showErrorMessage="1" allowBlank="1" errorTitle="Fecha" error="Escriba una fecha válida (AAAA-MM-DD)." type="date" operator="between">
      <formula1>DATE(1990,1,1)</formula1>
      <formula2>DATE(2100,12,31)</formula2>
    </dataValidation>
    <dataValidation sqref="O2:O601" showDropDown="0" showInputMessage="0" showErrorMessage="1" allowBlank="1" errorTitle="Valor" error="Escriba solo el número en pesos, sin signos ni texto, y no negativo." type="decimal" operator="greaterThanOrEqual">
      <formula1>0</formula1>
    </dataValidation>
    <dataValidation sqref="P2:P601" showDropDown="0" showInputMessage="0" showErrorMessage="1" allowBlank="1" errorTitle="Valor" error="Escriba solo el número en pesos, sin signos ni texto, y no negativo." type="decimal" operator="greaterThanOrEqual">
      <formula1>0</formula1>
    </dataValidation>
    <dataValidation sqref="Q2:Q601" showDropDown="0" showInputMessage="0" showErrorMessage="1" allowBlank="1" errorTitle="Valor" error="Escriba solo el número en pesos, sin signos ni texto, y no negativo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68910"/>
    <outlinePr summaryBelow="1" summaryRight="1"/>
    <pageSetUpPr/>
  </sheetPr>
  <dimension ref="A1:R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32" customWidth="1" min="4" max="4"/>
    <col width="12" customWidth="1" min="5" max="5"/>
    <col width="12" customWidth="1" min="6" max="6"/>
    <col width="20" customWidth="1" min="7" max="7"/>
    <col width="14" customWidth="1" min="8" max="8"/>
    <col width="9" customWidth="1" min="9" max="9"/>
    <col width="28" customWidth="1" min="10" max="10"/>
    <col width="18" customWidth="1" min="11" max="11"/>
    <col width="14" customWidth="1" min="12" max="12"/>
    <col width="20" customWidth="1" min="13" max="13"/>
    <col width="12" customWidth="1" min="14" max="14"/>
    <col width="24" customWidth="1" min="15" max="15"/>
    <col width="14" customWidth="1" min="16" max="16"/>
    <col width="50" customWidth="1" min="17" max="17"/>
    <col width="16" customWidth="1" min="18" max="18"/>
  </cols>
  <sheetData>
    <row r="1" ht="42" customHeight="1">
      <c r="A1" s="9" t="inlineStr">
        <is>
          <t>ID_CONTRATO</t>
        </is>
      </c>
      <c r="B1" s="9" t="inlineStr">
        <is>
          <t>ID_SUJETO</t>
        </is>
      </c>
      <c r="C1" s="9" t="inlineStr">
        <is>
          <t>FORMA_EJECUCION</t>
        </is>
      </c>
      <c r="D1" s="14" t="inlineStr">
        <is>
          <t>NOMBRE_FIGURA</t>
        </is>
      </c>
      <c r="E1" s="9" t="inlineStr">
        <is>
          <t>PORCENTAJE</t>
        </is>
      </c>
      <c r="F1" s="10" t="inlineStr">
        <is>
          <t>ROL_EN_FIGURA</t>
        </is>
      </c>
      <c r="G1" s="10" t="inlineStr">
        <is>
          <t>CARGO_PROFESIONAL</t>
        </is>
      </c>
      <c r="H1" s="14" t="inlineStr">
        <is>
          <t>CERTIFICACION</t>
        </is>
      </c>
      <c r="I1" s="14" t="inlineStr">
        <is>
          <t>EN_RUP</t>
        </is>
      </c>
      <c r="J1" s="10" t="inlineStr">
        <is>
          <t>SOPORTE_PARTICIPACION</t>
        </is>
      </c>
      <c r="K1" s="11" t="inlineStr">
        <is>
          <t>VALOR_PARTICIPADO</t>
        </is>
      </c>
      <c r="L1" s="11" t="inlineStr">
        <is>
          <t>SMMLV_PARTICIPADOS</t>
        </is>
      </c>
      <c r="M1" s="11" t="inlineStr">
        <is>
          <t>VALOR_ACTUALIZADO_PARTICIPADO</t>
        </is>
      </c>
      <c r="N1" s="11" t="inlineStr">
        <is>
          <t>SUMA_PORCENTAJES_CONTRATO</t>
        </is>
      </c>
      <c r="O1" s="11" t="inlineStr">
        <is>
          <t>ESPECIALIDAD_CONTRATO</t>
        </is>
      </c>
      <c r="P1" s="11" t="inlineStr">
        <is>
          <t>ESTADO_CONTRATO</t>
        </is>
      </c>
      <c r="Q1" s="11" t="inlineStr">
        <is>
          <t>ALERTAS</t>
        </is>
      </c>
      <c r="R1" s="11" t="inlineStr">
        <is>
          <t>EMPRESA_A_LA_QUE_CUENTA</t>
        </is>
      </c>
    </row>
    <row r="2">
      <c r="A2" t="inlineStr">
        <is>
          <t>C-0001</t>
        </is>
      </c>
      <c r="B2" t="inlineStr">
        <is>
          <t>S-001</t>
        </is>
      </c>
      <c r="C2" t="inlineStr">
        <is>
          <t>Unión temporal</t>
        </is>
      </c>
      <c r="D2" t="inlineStr">
        <is>
          <t>Unión Temporal Ejemplo</t>
        </is>
      </c>
      <c r="E2" s="18" t="n">
        <v>0.9</v>
      </c>
      <c r="F2" t="inlineStr">
        <is>
          <t>Líder</t>
        </is>
      </c>
      <c r="H2" t="inlineStr">
        <is>
          <t>Sí</t>
        </is>
      </c>
      <c r="I2" t="inlineStr">
        <is>
          <t>Sí</t>
        </is>
      </c>
      <c r="K2" s="13">
        <f>IF(OR($A2="",$E2=""),"",IFERROR(E2*INDEX(CONTRATOS!$P$2:$P$601,MATCH($A2,CONTRATOS!$A$2:$A$601,0)),""))</f>
        <v/>
      </c>
      <c r="L2" s="17">
        <f>IF(OR($A2="",$E2=""),"",IFERROR(E2*INDEX(CONTRATOS!$Z$2:$Z$601,MATCH($A2,CONTRATOS!$A$2:$A$601,0)),""))</f>
        <v/>
      </c>
      <c r="M2" s="13">
        <f>IF(OR($A2="",$E2=""),"",IFERROR(E2*INDEX(CONTRATOS!$AA$2:$AA$601,MATCH($A2,CONTRATOS!$A$2:$A$601,0)),""))</f>
        <v/>
      </c>
      <c r="N2" s="19">
        <f>IF($A2="","",SUMIFS($E$2:$E$601,$A$2:$A$601,$A2))</f>
        <v/>
      </c>
      <c r="O2" s="12">
        <f>IF($A2="","",IFERROR(INDEX(CONTRATOS!$F$2:$F$601,MATCH($A2,CONTRATOS!$A$2:$A$601,0)),""))</f>
        <v/>
      </c>
      <c r="P2" s="12">
        <f>IF($A2="","",IFERROR(INDEX(CONTRATOS!$M$2:$M$601,MATCH($A2,CONTRATOS!$A$2:$A$601,0)),""))</f>
        <v/>
      </c>
      <c r="Q2" s="12">
        <f>IF($A2="","",IF(COUNTIF(CONTRATOS!$A$2:$A$601,$A2)=0,"El contrato no existe en CONTRATOS; ","")&amp;IF($B2="","Falta sujeto; ",IF(COUNTIF(SUJETOS!$A$2:$A$601,$B2)=0,"El sujeto no existe en SUJETOS; ",""))&amp;IF($E2="","Falta porcentaje; ","")&amp;IF(N2&gt;1.0001,"Los porcentajes del contrato suman más de 100 %; ","")&amp;IF(AND($C2="Individual",$E2&lt;&gt;"",$E2&lt;&gt;1),"Individual debe ser 100 %; ","")&amp;IF(AND($C2&lt;&gt;"Individual",$C2&lt;&gt;"",$E2=1),"Consorcio o UT con 100 %: revise; ","")&amp;IF(COUNTIFS($A$2:$A$601,$A2,$B$2:$B$601,$B2)&gt;1,"Participación repetida; ","")&amp;IF(AND(IFERROR(INDEX(SUJETOS!$B$2:$B$601,MATCH($B2,SUJETOS!$A$2:$A$601,0)),"")="Persona natural",$G2=""),"Persona natural sin cargo; ",""))</f>
        <v/>
      </c>
      <c r="R2" s="12">
        <f>IF($A2="","",IFERROR(IF(LEN(INDEX(SUJETOS!$F$2:$F$601,MATCH($B2,SUJETOS!$A$2:$A$601,0)))&gt;0,INDEX(SUJETOS!$F$2:$F$601,MATCH($B2,SUJETOS!$A$2:$A$601,0)),$B2),$B2))</f>
        <v/>
      </c>
    </row>
    <row r="3">
      <c r="A3" t="inlineStr">
        <is>
          <t>C-0001</t>
        </is>
      </c>
      <c r="B3" t="inlineStr">
        <is>
          <t>S-002</t>
        </is>
      </c>
      <c r="C3" t="inlineStr">
        <is>
          <t>Unión temporal</t>
        </is>
      </c>
      <c r="D3" t="inlineStr">
        <is>
          <t>Unión Temporal Ejemplo</t>
        </is>
      </c>
      <c r="E3" s="18" t="n">
        <v>0.1</v>
      </c>
      <c r="F3" t="inlineStr">
        <is>
          <t>Integrante</t>
        </is>
      </c>
      <c r="G3" t="inlineStr">
        <is>
          <t>Contratista</t>
        </is>
      </c>
      <c r="H3" t="inlineStr">
        <is>
          <t>Sí</t>
        </is>
      </c>
      <c r="I3" t="inlineStr">
        <is>
          <t>Sí</t>
        </is>
      </c>
      <c r="K3" s="13">
        <f>IF(OR($A3="",$E3=""),"",IFERROR(E3*INDEX(CONTRATOS!$P$2:$P$601,MATCH($A3,CONTRATOS!$A$2:$A$601,0)),""))</f>
        <v/>
      </c>
      <c r="L3" s="17">
        <f>IF(OR($A3="",$E3=""),"",IFERROR(E3*INDEX(CONTRATOS!$Z$2:$Z$601,MATCH($A3,CONTRATOS!$A$2:$A$601,0)),""))</f>
        <v/>
      </c>
      <c r="M3" s="13">
        <f>IF(OR($A3="",$E3=""),"",IFERROR(E3*INDEX(CONTRATOS!$AA$2:$AA$601,MATCH($A3,CONTRATOS!$A$2:$A$601,0)),""))</f>
        <v/>
      </c>
      <c r="N3" s="19">
        <f>IF($A3="","",SUMIFS($E$2:$E$601,$A$2:$A$601,$A3))</f>
        <v/>
      </c>
      <c r="O3" s="12">
        <f>IF($A3="","",IFERROR(INDEX(CONTRATOS!$F$2:$F$601,MATCH($A3,CONTRATOS!$A$2:$A$601,0)),""))</f>
        <v/>
      </c>
      <c r="P3" s="12">
        <f>IF($A3="","",IFERROR(INDEX(CONTRATOS!$M$2:$M$601,MATCH($A3,CONTRATOS!$A$2:$A$601,0)),""))</f>
        <v/>
      </c>
      <c r="Q3" s="12">
        <f>IF($A3="","",IF(COUNTIF(CONTRATOS!$A$2:$A$601,$A3)=0,"El contrato no existe en CONTRATOS; ","")&amp;IF($B3="","Falta sujeto; ",IF(COUNTIF(SUJETOS!$A$2:$A$601,$B3)=0,"El sujeto no existe en SUJETOS; ",""))&amp;IF($E3="","Falta porcentaje; ","")&amp;IF(N3&gt;1.0001,"Los porcentajes del contrato suman más de 100 %; ","")&amp;IF(AND($C3="Individual",$E3&lt;&gt;"",$E3&lt;&gt;1),"Individual debe ser 100 %; ","")&amp;IF(AND($C3&lt;&gt;"Individual",$C3&lt;&gt;"",$E3=1),"Consorcio o UT con 100 %: revise; ","")&amp;IF(COUNTIFS($A$2:$A$601,$A3,$B$2:$B$601,$B3)&gt;1,"Participación repetida; ","")&amp;IF(AND(IFERROR(INDEX(SUJETOS!$B$2:$B$601,MATCH($B3,SUJETOS!$A$2:$A$601,0)),"")="Persona natural",$G3=""),"Persona natural sin cargo; ",""))</f>
        <v/>
      </c>
      <c r="R3" s="12">
        <f>IF($A3="","",IFERROR(IF(LEN(INDEX(SUJETOS!$F$2:$F$601,MATCH($B3,SUJETOS!$A$2:$A$601,0)))&gt;0,INDEX(SUJETOS!$F$2:$F$601,MATCH($B3,SUJETOS!$A$2:$A$601,0)),$B3),$B3))</f>
        <v/>
      </c>
    </row>
    <row r="4">
      <c r="A4" t="inlineStr">
        <is>
          <t>C-0002</t>
        </is>
      </c>
      <c r="B4" t="inlineStr">
        <is>
          <t>S-001</t>
        </is>
      </c>
      <c r="C4" t="inlineStr">
        <is>
          <t>Individual</t>
        </is>
      </c>
      <c r="E4" s="18" t="n">
        <v>1</v>
      </c>
      <c r="H4" t="inlineStr">
        <is>
          <t>Sí</t>
        </is>
      </c>
      <c r="I4" t="inlineStr">
        <is>
          <t>Sí</t>
        </is>
      </c>
      <c r="K4" s="13">
        <f>IF(OR($A4="",$E4=""),"",IFERROR(E4*INDEX(CONTRATOS!$P$2:$P$601,MATCH($A4,CONTRATOS!$A$2:$A$601,0)),""))</f>
        <v/>
      </c>
      <c r="L4" s="17">
        <f>IF(OR($A4="",$E4=""),"",IFERROR(E4*INDEX(CONTRATOS!$Z$2:$Z$601,MATCH($A4,CONTRATOS!$A$2:$A$601,0)),""))</f>
        <v/>
      </c>
      <c r="M4" s="13">
        <f>IF(OR($A4="",$E4=""),"",IFERROR(E4*INDEX(CONTRATOS!$AA$2:$AA$601,MATCH($A4,CONTRATOS!$A$2:$A$601,0)),""))</f>
        <v/>
      </c>
      <c r="N4" s="19">
        <f>IF($A4="","",SUMIFS($E$2:$E$601,$A$2:$A$601,$A4))</f>
        <v/>
      </c>
      <c r="O4" s="12">
        <f>IF($A4="","",IFERROR(INDEX(CONTRATOS!$F$2:$F$601,MATCH($A4,CONTRATOS!$A$2:$A$601,0)),""))</f>
        <v/>
      </c>
      <c r="P4" s="12">
        <f>IF($A4="","",IFERROR(INDEX(CONTRATOS!$M$2:$M$601,MATCH($A4,CONTRATOS!$A$2:$A$601,0)),""))</f>
        <v/>
      </c>
      <c r="Q4" s="12">
        <f>IF($A4="","",IF(COUNTIF(CONTRATOS!$A$2:$A$601,$A4)=0,"El contrato no existe en CONTRATOS; ","")&amp;IF($B4="","Falta sujeto; ",IF(COUNTIF(SUJETOS!$A$2:$A$601,$B4)=0,"El sujeto no existe en SUJETOS; ",""))&amp;IF($E4="","Falta porcentaje; ","")&amp;IF(N4&gt;1.0001,"Los porcentajes del contrato suman más de 100 %; ","")&amp;IF(AND($C4="Individual",$E4&lt;&gt;"",$E4&lt;&gt;1),"Individual debe ser 100 %; ","")&amp;IF(AND($C4&lt;&gt;"Individual",$C4&lt;&gt;"",$E4=1),"Consorcio o UT con 100 %: revise; ","")&amp;IF(COUNTIFS($A$2:$A$601,$A4,$B$2:$B$601,$B4)&gt;1,"Participación repetida; ","")&amp;IF(AND(IFERROR(INDEX(SUJETOS!$B$2:$B$601,MATCH($B4,SUJETOS!$A$2:$A$601,0)),"")="Persona natural",$G4=""),"Persona natural sin cargo; ",""))</f>
        <v/>
      </c>
      <c r="R4" s="12">
        <f>IF($A4="","",IFERROR(IF(LEN(INDEX(SUJETOS!$F$2:$F$601,MATCH($B4,SUJETOS!$A$2:$A$601,0)))&gt;0,INDEX(SUJETOS!$F$2:$F$601,MATCH($B4,SUJETOS!$A$2:$A$601,0)),$B4),$B4))</f>
        <v/>
      </c>
    </row>
    <row r="5">
      <c r="A5" t="inlineStr">
        <is>
          <t>C-0003</t>
        </is>
      </c>
      <c r="B5" t="inlineStr">
        <is>
          <t>S-003</t>
        </is>
      </c>
      <c r="C5" t="inlineStr">
        <is>
          <t>Individual</t>
        </is>
      </c>
      <c r="E5" s="18" t="n">
        <v>1</v>
      </c>
      <c r="H5" t="inlineStr">
        <is>
          <t>Pendiente</t>
        </is>
      </c>
      <c r="I5" t="inlineStr">
        <is>
          <t>Sí</t>
        </is>
      </c>
      <c r="K5" s="13">
        <f>IF(OR($A5="",$E5=""),"",IFERROR(E5*INDEX(CONTRATOS!$P$2:$P$601,MATCH($A5,CONTRATOS!$A$2:$A$601,0)),""))</f>
        <v/>
      </c>
      <c r="L5" s="17">
        <f>IF(OR($A5="",$E5=""),"",IFERROR(E5*INDEX(CONTRATOS!$Z$2:$Z$601,MATCH($A5,CONTRATOS!$A$2:$A$601,0)),""))</f>
        <v/>
      </c>
      <c r="M5" s="13">
        <f>IF(OR($A5="",$E5=""),"",IFERROR(E5*INDEX(CONTRATOS!$AA$2:$AA$601,MATCH($A5,CONTRATOS!$A$2:$A$601,0)),""))</f>
        <v/>
      </c>
      <c r="N5" s="19">
        <f>IF($A5="","",SUMIFS($E$2:$E$601,$A$2:$A$601,$A5))</f>
        <v/>
      </c>
      <c r="O5" s="12">
        <f>IF($A5="","",IFERROR(INDEX(CONTRATOS!$F$2:$F$601,MATCH($A5,CONTRATOS!$A$2:$A$601,0)),""))</f>
        <v/>
      </c>
      <c r="P5" s="12">
        <f>IF($A5="","",IFERROR(INDEX(CONTRATOS!$M$2:$M$601,MATCH($A5,CONTRATOS!$A$2:$A$601,0)),""))</f>
        <v/>
      </c>
      <c r="Q5" s="12">
        <f>IF($A5="","",IF(COUNTIF(CONTRATOS!$A$2:$A$601,$A5)=0,"El contrato no existe en CONTRATOS; ","")&amp;IF($B5="","Falta sujeto; ",IF(COUNTIF(SUJETOS!$A$2:$A$601,$B5)=0,"El sujeto no existe en SUJETOS; ",""))&amp;IF($E5="","Falta porcentaje; ","")&amp;IF(N5&gt;1.0001,"Los porcentajes del contrato suman más de 100 %; ","")&amp;IF(AND($C5="Individual",$E5&lt;&gt;"",$E5&lt;&gt;1),"Individual debe ser 100 %; ","")&amp;IF(AND($C5&lt;&gt;"Individual",$C5&lt;&gt;"",$E5=1),"Consorcio o UT con 100 %: revise; ","")&amp;IF(COUNTIFS($A$2:$A$601,$A5,$B$2:$B$601,$B5)&gt;1,"Participación repetida; ","")&amp;IF(AND(IFERROR(INDEX(SUJETOS!$B$2:$B$601,MATCH($B5,SUJETOS!$A$2:$A$601,0)),"")="Persona natural",$G5=""),"Persona natural sin cargo; ",""))</f>
        <v/>
      </c>
      <c r="R5" s="12">
        <f>IF($A5="","",IFERROR(IF(LEN(INDEX(SUJETOS!$F$2:$F$601,MATCH($B5,SUJETOS!$A$2:$A$601,0)))&gt;0,INDEX(SUJETOS!$F$2:$F$601,MATCH($B5,SUJETOS!$A$2:$A$601,0)),$B5),$B5))</f>
        <v/>
      </c>
    </row>
    <row r="6">
      <c r="E6" s="18" t="n"/>
      <c r="K6" s="13">
        <f>IF(OR($A6="",$E6=""),"",IFERROR(E6*INDEX(CONTRATOS!$P$2:$P$601,MATCH($A6,CONTRATOS!$A$2:$A$601,0)),""))</f>
        <v/>
      </c>
      <c r="L6" s="17">
        <f>IF(OR($A6="",$E6=""),"",IFERROR(E6*INDEX(CONTRATOS!$Z$2:$Z$601,MATCH($A6,CONTRATOS!$A$2:$A$601,0)),""))</f>
        <v/>
      </c>
      <c r="M6" s="13">
        <f>IF(OR($A6="",$E6=""),"",IFERROR(E6*INDEX(CONTRATOS!$AA$2:$AA$601,MATCH($A6,CONTRATOS!$A$2:$A$601,0)),""))</f>
        <v/>
      </c>
      <c r="N6" s="19">
        <f>IF($A6="","",SUMIFS($E$2:$E$601,$A$2:$A$601,$A6))</f>
        <v/>
      </c>
      <c r="O6" s="12">
        <f>IF($A6="","",IFERROR(INDEX(CONTRATOS!$F$2:$F$601,MATCH($A6,CONTRATOS!$A$2:$A$601,0)),""))</f>
        <v/>
      </c>
      <c r="P6" s="12">
        <f>IF($A6="","",IFERROR(INDEX(CONTRATOS!$M$2:$M$601,MATCH($A6,CONTRATOS!$A$2:$A$601,0)),""))</f>
        <v/>
      </c>
      <c r="Q6" s="12">
        <f>IF($A6="","",IF(COUNTIF(CONTRATOS!$A$2:$A$601,$A6)=0,"El contrato no existe en CONTRATOS; ","")&amp;IF($B6="","Falta sujeto; ",IF(COUNTIF(SUJETOS!$A$2:$A$601,$B6)=0,"El sujeto no existe en SUJETOS; ",""))&amp;IF($E6="","Falta porcentaje; ","")&amp;IF(N6&gt;1.0001,"Los porcentajes del contrato suman más de 100 %; ","")&amp;IF(AND($C6="Individual",$E6&lt;&gt;"",$E6&lt;&gt;1),"Individual debe ser 100 %; ","")&amp;IF(AND($C6&lt;&gt;"Individual",$C6&lt;&gt;"",$E6=1),"Consorcio o UT con 100 %: revise; ","")&amp;IF(COUNTIFS($A$2:$A$601,$A6,$B$2:$B$601,$B6)&gt;1,"Participación repetida; ","")&amp;IF(AND(IFERROR(INDEX(SUJETOS!$B$2:$B$601,MATCH($B6,SUJETOS!$A$2:$A$601,0)),"")="Persona natural",$G6=""),"Persona natural sin cargo; ",""))</f>
        <v/>
      </c>
      <c r="R6" s="12">
        <f>IF($A6="","",IFERROR(IF(LEN(INDEX(SUJETOS!$F$2:$F$601,MATCH($B6,SUJETOS!$A$2:$A$601,0)))&gt;0,INDEX(SUJETOS!$F$2:$F$601,MATCH($B6,SUJETOS!$A$2:$A$601,0)),$B6),$B6))</f>
        <v/>
      </c>
    </row>
    <row r="7">
      <c r="E7" s="18" t="n"/>
      <c r="K7" s="13">
        <f>IF(OR($A7="",$E7=""),"",IFERROR(E7*INDEX(CONTRATOS!$P$2:$P$601,MATCH($A7,CONTRATOS!$A$2:$A$601,0)),""))</f>
        <v/>
      </c>
      <c r="L7" s="17">
        <f>IF(OR($A7="",$E7=""),"",IFERROR(E7*INDEX(CONTRATOS!$Z$2:$Z$601,MATCH($A7,CONTRATOS!$A$2:$A$601,0)),""))</f>
        <v/>
      </c>
      <c r="M7" s="13">
        <f>IF(OR($A7="",$E7=""),"",IFERROR(E7*INDEX(CONTRATOS!$AA$2:$AA$601,MATCH($A7,CONTRATOS!$A$2:$A$601,0)),""))</f>
        <v/>
      </c>
      <c r="N7" s="19">
        <f>IF($A7="","",SUMIFS($E$2:$E$601,$A$2:$A$601,$A7))</f>
        <v/>
      </c>
      <c r="O7" s="12">
        <f>IF($A7="","",IFERROR(INDEX(CONTRATOS!$F$2:$F$601,MATCH($A7,CONTRATOS!$A$2:$A$601,0)),""))</f>
        <v/>
      </c>
      <c r="P7" s="12">
        <f>IF($A7="","",IFERROR(INDEX(CONTRATOS!$M$2:$M$601,MATCH($A7,CONTRATOS!$A$2:$A$601,0)),""))</f>
        <v/>
      </c>
      <c r="Q7" s="12">
        <f>IF($A7="","",IF(COUNTIF(CONTRATOS!$A$2:$A$601,$A7)=0,"El contrato no existe en CONTRATOS; ","")&amp;IF($B7="","Falta sujeto; ",IF(COUNTIF(SUJETOS!$A$2:$A$601,$B7)=0,"El sujeto no existe en SUJETOS; ",""))&amp;IF($E7="","Falta porcentaje; ","")&amp;IF(N7&gt;1.0001,"Los porcentajes del contrato suman más de 100 %; ","")&amp;IF(AND($C7="Individual",$E7&lt;&gt;"",$E7&lt;&gt;1),"Individual debe ser 100 %; ","")&amp;IF(AND($C7&lt;&gt;"Individual",$C7&lt;&gt;"",$E7=1),"Consorcio o UT con 100 %: revise; ","")&amp;IF(COUNTIFS($A$2:$A$601,$A7,$B$2:$B$601,$B7)&gt;1,"Participación repetida; ","")&amp;IF(AND(IFERROR(INDEX(SUJETOS!$B$2:$B$601,MATCH($B7,SUJETOS!$A$2:$A$601,0)),"")="Persona natural",$G7=""),"Persona natural sin cargo; ",""))</f>
        <v/>
      </c>
      <c r="R7" s="12">
        <f>IF($A7="","",IFERROR(IF(LEN(INDEX(SUJETOS!$F$2:$F$601,MATCH($B7,SUJETOS!$A$2:$A$601,0)))&gt;0,INDEX(SUJETOS!$F$2:$F$601,MATCH($B7,SUJETOS!$A$2:$A$601,0)),$B7),$B7))</f>
        <v/>
      </c>
    </row>
    <row r="8">
      <c r="E8" s="18" t="n"/>
      <c r="K8" s="13">
        <f>IF(OR($A8="",$E8=""),"",IFERROR(E8*INDEX(CONTRATOS!$P$2:$P$601,MATCH($A8,CONTRATOS!$A$2:$A$601,0)),""))</f>
        <v/>
      </c>
      <c r="L8" s="17">
        <f>IF(OR($A8="",$E8=""),"",IFERROR(E8*INDEX(CONTRATOS!$Z$2:$Z$601,MATCH($A8,CONTRATOS!$A$2:$A$601,0)),""))</f>
        <v/>
      </c>
      <c r="M8" s="13">
        <f>IF(OR($A8="",$E8=""),"",IFERROR(E8*INDEX(CONTRATOS!$AA$2:$AA$601,MATCH($A8,CONTRATOS!$A$2:$A$601,0)),""))</f>
        <v/>
      </c>
      <c r="N8" s="19">
        <f>IF($A8="","",SUMIFS($E$2:$E$601,$A$2:$A$601,$A8))</f>
        <v/>
      </c>
      <c r="O8" s="12">
        <f>IF($A8="","",IFERROR(INDEX(CONTRATOS!$F$2:$F$601,MATCH($A8,CONTRATOS!$A$2:$A$601,0)),""))</f>
        <v/>
      </c>
      <c r="P8" s="12">
        <f>IF($A8="","",IFERROR(INDEX(CONTRATOS!$M$2:$M$601,MATCH($A8,CONTRATOS!$A$2:$A$601,0)),""))</f>
        <v/>
      </c>
      <c r="Q8" s="12">
        <f>IF($A8="","",IF(COUNTIF(CONTRATOS!$A$2:$A$601,$A8)=0,"El contrato no existe en CONTRATOS; ","")&amp;IF($B8="","Falta sujeto; ",IF(COUNTIF(SUJETOS!$A$2:$A$601,$B8)=0,"El sujeto no existe en SUJETOS; ",""))&amp;IF($E8="","Falta porcentaje; ","")&amp;IF(N8&gt;1.0001,"Los porcentajes del contrato suman más de 100 %; ","")&amp;IF(AND($C8="Individual",$E8&lt;&gt;"",$E8&lt;&gt;1),"Individual debe ser 100 %; ","")&amp;IF(AND($C8&lt;&gt;"Individual",$C8&lt;&gt;"",$E8=1),"Consorcio o UT con 100 %: revise; ","")&amp;IF(COUNTIFS($A$2:$A$601,$A8,$B$2:$B$601,$B8)&gt;1,"Participación repetida; ","")&amp;IF(AND(IFERROR(INDEX(SUJETOS!$B$2:$B$601,MATCH($B8,SUJETOS!$A$2:$A$601,0)),"")="Persona natural",$G8=""),"Persona natural sin cargo; ",""))</f>
        <v/>
      </c>
      <c r="R8" s="12">
        <f>IF($A8="","",IFERROR(IF(LEN(INDEX(SUJETOS!$F$2:$F$601,MATCH($B8,SUJETOS!$A$2:$A$601,0)))&gt;0,INDEX(SUJETOS!$F$2:$F$601,MATCH($B8,SUJETOS!$A$2:$A$601,0)),$B8),$B8))</f>
        <v/>
      </c>
    </row>
    <row r="9">
      <c r="E9" s="18" t="n"/>
      <c r="K9" s="13">
        <f>IF(OR($A9="",$E9=""),"",IFERROR(E9*INDEX(CONTRATOS!$P$2:$P$601,MATCH($A9,CONTRATOS!$A$2:$A$601,0)),""))</f>
        <v/>
      </c>
      <c r="L9" s="17">
        <f>IF(OR($A9="",$E9=""),"",IFERROR(E9*INDEX(CONTRATOS!$Z$2:$Z$601,MATCH($A9,CONTRATOS!$A$2:$A$601,0)),""))</f>
        <v/>
      </c>
      <c r="M9" s="13">
        <f>IF(OR($A9="",$E9=""),"",IFERROR(E9*INDEX(CONTRATOS!$AA$2:$AA$601,MATCH($A9,CONTRATOS!$A$2:$A$601,0)),""))</f>
        <v/>
      </c>
      <c r="N9" s="19">
        <f>IF($A9="","",SUMIFS($E$2:$E$601,$A$2:$A$601,$A9))</f>
        <v/>
      </c>
      <c r="O9" s="12">
        <f>IF($A9="","",IFERROR(INDEX(CONTRATOS!$F$2:$F$601,MATCH($A9,CONTRATOS!$A$2:$A$601,0)),""))</f>
        <v/>
      </c>
      <c r="P9" s="12">
        <f>IF($A9="","",IFERROR(INDEX(CONTRATOS!$M$2:$M$601,MATCH($A9,CONTRATOS!$A$2:$A$601,0)),""))</f>
        <v/>
      </c>
      <c r="Q9" s="12">
        <f>IF($A9="","",IF(COUNTIF(CONTRATOS!$A$2:$A$601,$A9)=0,"El contrato no existe en CONTRATOS; ","")&amp;IF($B9="","Falta sujeto; ",IF(COUNTIF(SUJETOS!$A$2:$A$601,$B9)=0,"El sujeto no existe en SUJETOS; ",""))&amp;IF($E9="","Falta porcentaje; ","")&amp;IF(N9&gt;1.0001,"Los porcentajes del contrato suman más de 100 %; ","")&amp;IF(AND($C9="Individual",$E9&lt;&gt;"",$E9&lt;&gt;1),"Individual debe ser 100 %; ","")&amp;IF(AND($C9&lt;&gt;"Individual",$C9&lt;&gt;"",$E9=1),"Consorcio o UT con 100 %: revise; ","")&amp;IF(COUNTIFS($A$2:$A$601,$A9,$B$2:$B$601,$B9)&gt;1,"Participación repetida; ","")&amp;IF(AND(IFERROR(INDEX(SUJETOS!$B$2:$B$601,MATCH($B9,SUJETOS!$A$2:$A$601,0)),"")="Persona natural",$G9=""),"Persona natural sin cargo; ",""))</f>
        <v/>
      </c>
      <c r="R9" s="12">
        <f>IF($A9="","",IFERROR(IF(LEN(INDEX(SUJETOS!$F$2:$F$601,MATCH($B9,SUJETOS!$A$2:$A$601,0)))&gt;0,INDEX(SUJETOS!$F$2:$F$601,MATCH($B9,SUJETOS!$A$2:$A$601,0)),$B9),$B9))</f>
        <v/>
      </c>
    </row>
    <row r="10">
      <c r="E10" s="18" t="n"/>
      <c r="K10" s="13">
        <f>IF(OR($A10="",$E10=""),"",IFERROR(E10*INDEX(CONTRATOS!$P$2:$P$601,MATCH($A10,CONTRATOS!$A$2:$A$601,0)),""))</f>
        <v/>
      </c>
      <c r="L10" s="17">
        <f>IF(OR($A10="",$E10=""),"",IFERROR(E10*INDEX(CONTRATOS!$Z$2:$Z$601,MATCH($A10,CONTRATOS!$A$2:$A$601,0)),""))</f>
        <v/>
      </c>
      <c r="M10" s="13">
        <f>IF(OR($A10="",$E10=""),"",IFERROR(E10*INDEX(CONTRATOS!$AA$2:$AA$601,MATCH($A10,CONTRATOS!$A$2:$A$601,0)),""))</f>
        <v/>
      </c>
      <c r="N10" s="19">
        <f>IF($A10="","",SUMIFS($E$2:$E$601,$A$2:$A$601,$A10))</f>
        <v/>
      </c>
      <c r="O10" s="12">
        <f>IF($A10="","",IFERROR(INDEX(CONTRATOS!$F$2:$F$601,MATCH($A10,CONTRATOS!$A$2:$A$601,0)),""))</f>
        <v/>
      </c>
      <c r="P10" s="12">
        <f>IF($A10="","",IFERROR(INDEX(CONTRATOS!$M$2:$M$601,MATCH($A10,CONTRATOS!$A$2:$A$601,0)),""))</f>
        <v/>
      </c>
      <c r="Q10" s="12">
        <f>IF($A10="","",IF(COUNTIF(CONTRATOS!$A$2:$A$601,$A10)=0,"El contrato no existe en CONTRATOS; ","")&amp;IF($B10="","Falta sujeto; ",IF(COUNTIF(SUJETOS!$A$2:$A$601,$B10)=0,"El sujeto no existe en SUJETOS; ",""))&amp;IF($E10="","Falta porcentaje; ","")&amp;IF(N10&gt;1.0001,"Los porcentajes del contrato suman más de 100 %; ","")&amp;IF(AND($C10="Individual",$E10&lt;&gt;"",$E10&lt;&gt;1),"Individual debe ser 100 %; ","")&amp;IF(AND($C10&lt;&gt;"Individual",$C10&lt;&gt;"",$E10=1),"Consorcio o UT con 100 %: revise; ","")&amp;IF(COUNTIFS($A$2:$A$601,$A10,$B$2:$B$601,$B10)&gt;1,"Participación repetida; ","")&amp;IF(AND(IFERROR(INDEX(SUJETOS!$B$2:$B$601,MATCH($B10,SUJETOS!$A$2:$A$601,0)),"")="Persona natural",$G10=""),"Persona natural sin cargo; ",""))</f>
        <v/>
      </c>
      <c r="R10" s="12">
        <f>IF($A10="","",IFERROR(IF(LEN(INDEX(SUJETOS!$F$2:$F$601,MATCH($B10,SUJETOS!$A$2:$A$601,0)))&gt;0,INDEX(SUJETOS!$F$2:$F$601,MATCH($B10,SUJETOS!$A$2:$A$601,0)),$B10),$B10))</f>
        <v/>
      </c>
    </row>
    <row r="11">
      <c r="E11" s="18" t="n"/>
      <c r="K11" s="13">
        <f>IF(OR($A11="",$E11=""),"",IFERROR(E11*INDEX(CONTRATOS!$P$2:$P$601,MATCH($A11,CONTRATOS!$A$2:$A$601,0)),""))</f>
        <v/>
      </c>
      <c r="L11" s="17">
        <f>IF(OR($A11="",$E11=""),"",IFERROR(E11*INDEX(CONTRATOS!$Z$2:$Z$601,MATCH($A11,CONTRATOS!$A$2:$A$601,0)),""))</f>
        <v/>
      </c>
      <c r="M11" s="13">
        <f>IF(OR($A11="",$E11=""),"",IFERROR(E11*INDEX(CONTRATOS!$AA$2:$AA$601,MATCH($A11,CONTRATOS!$A$2:$A$601,0)),""))</f>
        <v/>
      </c>
      <c r="N11" s="19">
        <f>IF($A11="","",SUMIFS($E$2:$E$601,$A$2:$A$601,$A11))</f>
        <v/>
      </c>
      <c r="O11" s="12">
        <f>IF($A11="","",IFERROR(INDEX(CONTRATOS!$F$2:$F$601,MATCH($A11,CONTRATOS!$A$2:$A$601,0)),""))</f>
        <v/>
      </c>
      <c r="P11" s="12">
        <f>IF($A11="","",IFERROR(INDEX(CONTRATOS!$M$2:$M$601,MATCH($A11,CONTRATOS!$A$2:$A$601,0)),""))</f>
        <v/>
      </c>
      <c r="Q11" s="12">
        <f>IF($A11="","",IF(COUNTIF(CONTRATOS!$A$2:$A$601,$A11)=0,"El contrato no existe en CONTRATOS; ","")&amp;IF($B11="","Falta sujeto; ",IF(COUNTIF(SUJETOS!$A$2:$A$601,$B11)=0,"El sujeto no existe en SUJETOS; ",""))&amp;IF($E11="","Falta porcentaje; ","")&amp;IF(N11&gt;1.0001,"Los porcentajes del contrato suman más de 100 %; ","")&amp;IF(AND($C11="Individual",$E11&lt;&gt;"",$E11&lt;&gt;1),"Individual debe ser 100 %; ","")&amp;IF(AND($C11&lt;&gt;"Individual",$C11&lt;&gt;"",$E11=1),"Consorcio o UT con 100 %: revise; ","")&amp;IF(COUNTIFS($A$2:$A$601,$A11,$B$2:$B$601,$B11)&gt;1,"Participación repetida; ","")&amp;IF(AND(IFERROR(INDEX(SUJETOS!$B$2:$B$601,MATCH($B11,SUJETOS!$A$2:$A$601,0)),"")="Persona natural",$G11=""),"Persona natural sin cargo; ",""))</f>
        <v/>
      </c>
      <c r="R11" s="12">
        <f>IF($A11="","",IFERROR(IF(LEN(INDEX(SUJETOS!$F$2:$F$601,MATCH($B11,SUJETOS!$A$2:$A$601,0)))&gt;0,INDEX(SUJETOS!$F$2:$F$601,MATCH($B11,SUJETOS!$A$2:$A$601,0)),$B11),$B11))</f>
        <v/>
      </c>
    </row>
    <row r="12">
      <c r="E12" s="18" t="n"/>
      <c r="K12" s="13">
        <f>IF(OR($A12="",$E12=""),"",IFERROR(E12*INDEX(CONTRATOS!$P$2:$P$601,MATCH($A12,CONTRATOS!$A$2:$A$601,0)),""))</f>
        <v/>
      </c>
      <c r="L12" s="17">
        <f>IF(OR($A12="",$E12=""),"",IFERROR(E12*INDEX(CONTRATOS!$Z$2:$Z$601,MATCH($A12,CONTRATOS!$A$2:$A$601,0)),""))</f>
        <v/>
      </c>
      <c r="M12" s="13">
        <f>IF(OR($A12="",$E12=""),"",IFERROR(E12*INDEX(CONTRATOS!$AA$2:$AA$601,MATCH($A12,CONTRATOS!$A$2:$A$601,0)),""))</f>
        <v/>
      </c>
      <c r="N12" s="19">
        <f>IF($A12="","",SUMIFS($E$2:$E$601,$A$2:$A$601,$A12))</f>
        <v/>
      </c>
      <c r="O12" s="12">
        <f>IF($A12="","",IFERROR(INDEX(CONTRATOS!$F$2:$F$601,MATCH($A12,CONTRATOS!$A$2:$A$601,0)),""))</f>
        <v/>
      </c>
      <c r="P12" s="12">
        <f>IF($A12="","",IFERROR(INDEX(CONTRATOS!$M$2:$M$601,MATCH($A12,CONTRATOS!$A$2:$A$601,0)),""))</f>
        <v/>
      </c>
      <c r="Q12" s="12">
        <f>IF($A12="","",IF(COUNTIF(CONTRATOS!$A$2:$A$601,$A12)=0,"El contrato no existe en CONTRATOS; ","")&amp;IF($B12="","Falta sujeto; ",IF(COUNTIF(SUJETOS!$A$2:$A$601,$B12)=0,"El sujeto no existe en SUJETOS; ",""))&amp;IF($E12="","Falta porcentaje; ","")&amp;IF(N12&gt;1.0001,"Los porcentajes del contrato suman más de 100 %; ","")&amp;IF(AND($C12="Individual",$E12&lt;&gt;"",$E12&lt;&gt;1),"Individual debe ser 100 %; ","")&amp;IF(AND($C12&lt;&gt;"Individual",$C12&lt;&gt;"",$E12=1),"Consorcio o UT con 100 %: revise; ","")&amp;IF(COUNTIFS($A$2:$A$601,$A12,$B$2:$B$601,$B12)&gt;1,"Participación repetida; ","")&amp;IF(AND(IFERROR(INDEX(SUJETOS!$B$2:$B$601,MATCH($B12,SUJETOS!$A$2:$A$601,0)),"")="Persona natural",$G12=""),"Persona natural sin cargo; ",""))</f>
        <v/>
      </c>
      <c r="R12" s="12">
        <f>IF($A12="","",IFERROR(IF(LEN(INDEX(SUJETOS!$F$2:$F$601,MATCH($B12,SUJETOS!$A$2:$A$601,0)))&gt;0,INDEX(SUJETOS!$F$2:$F$601,MATCH($B12,SUJETOS!$A$2:$A$601,0)),$B12),$B12))</f>
        <v/>
      </c>
    </row>
    <row r="13">
      <c r="E13" s="18" t="n"/>
      <c r="K13" s="13">
        <f>IF(OR($A13="",$E13=""),"",IFERROR(E13*INDEX(CONTRATOS!$P$2:$P$601,MATCH($A13,CONTRATOS!$A$2:$A$601,0)),""))</f>
        <v/>
      </c>
      <c r="L13" s="17">
        <f>IF(OR($A13="",$E13=""),"",IFERROR(E13*INDEX(CONTRATOS!$Z$2:$Z$601,MATCH($A13,CONTRATOS!$A$2:$A$601,0)),""))</f>
        <v/>
      </c>
      <c r="M13" s="13">
        <f>IF(OR($A13="",$E13=""),"",IFERROR(E13*INDEX(CONTRATOS!$AA$2:$AA$601,MATCH($A13,CONTRATOS!$A$2:$A$601,0)),""))</f>
        <v/>
      </c>
      <c r="N13" s="19">
        <f>IF($A13="","",SUMIFS($E$2:$E$601,$A$2:$A$601,$A13))</f>
        <v/>
      </c>
      <c r="O13" s="12">
        <f>IF($A13="","",IFERROR(INDEX(CONTRATOS!$F$2:$F$601,MATCH($A13,CONTRATOS!$A$2:$A$601,0)),""))</f>
        <v/>
      </c>
      <c r="P13" s="12">
        <f>IF($A13="","",IFERROR(INDEX(CONTRATOS!$M$2:$M$601,MATCH($A13,CONTRATOS!$A$2:$A$601,0)),""))</f>
        <v/>
      </c>
      <c r="Q13" s="12">
        <f>IF($A13="","",IF(COUNTIF(CONTRATOS!$A$2:$A$601,$A13)=0,"El contrato no existe en CONTRATOS; ","")&amp;IF($B13="","Falta sujeto; ",IF(COUNTIF(SUJETOS!$A$2:$A$601,$B13)=0,"El sujeto no existe en SUJETOS; ",""))&amp;IF($E13="","Falta porcentaje; ","")&amp;IF(N13&gt;1.0001,"Los porcentajes del contrato suman más de 100 %; ","")&amp;IF(AND($C13="Individual",$E13&lt;&gt;"",$E13&lt;&gt;1),"Individual debe ser 100 %; ","")&amp;IF(AND($C13&lt;&gt;"Individual",$C13&lt;&gt;"",$E13=1),"Consorcio o UT con 100 %: revise; ","")&amp;IF(COUNTIFS($A$2:$A$601,$A13,$B$2:$B$601,$B13)&gt;1,"Participación repetida; ","")&amp;IF(AND(IFERROR(INDEX(SUJETOS!$B$2:$B$601,MATCH($B13,SUJETOS!$A$2:$A$601,0)),"")="Persona natural",$G13=""),"Persona natural sin cargo; ",""))</f>
        <v/>
      </c>
      <c r="R13" s="12">
        <f>IF($A13="","",IFERROR(IF(LEN(INDEX(SUJETOS!$F$2:$F$601,MATCH($B13,SUJETOS!$A$2:$A$601,0)))&gt;0,INDEX(SUJETOS!$F$2:$F$601,MATCH($B13,SUJETOS!$A$2:$A$601,0)),$B13),$B13))</f>
        <v/>
      </c>
    </row>
    <row r="14">
      <c r="E14" s="18" t="n"/>
      <c r="K14" s="13">
        <f>IF(OR($A14="",$E14=""),"",IFERROR(E14*INDEX(CONTRATOS!$P$2:$P$601,MATCH($A14,CONTRATOS!$A$2:$A$601,0)),""))</f>
        <v/>
      </c>
      <c r="L14" s="17">
        <f>IF(OR($A14="",$E14=""),"",IFERROR(E14*INDEX(CONTRATOS!$Z$2:$Z$601,MATCH($A14,CONTRATOS!$A$2:$A$601,0)),""))</f>
        <v/>
      </c>
      <c r="M14" s="13">
        <f>IF(OR($A14="",$E14=""),"",IFERROR(E14*INDEX(CONTRATOS!$AA$2:$AA$601,MATCH($A14,CONTRATOS!$A$2:$A$601,0)),""))</f>
        <v/>
      </c>
      <c r="N14" s="19">
        <f>IF($A14="","",SUMIFS($E$2:$E$601,$A$2:$A$601,$A14))</f>
        <v/>
      </c>
      <c r="O14" s="12">
        <f>IF($A14="","",IFERROR(INDEX(CONTRATOS!$F$2:$F$601,MATCH($A14,CONTRATOS!$A$2:$A$601,0)),""))</f>
        <v/>
      </c>
      <c r="P14" s="12">
        <f>IF($A14="","",IFERROR(INDEX(CONTRATOS!$M$2:$M$601,MATCH($A14,CONTRATOS!$A$2:$A$601,0)),""))</f>
        <v/>
      </c>
      <c r="Q14" s="12">
        <f>IF($A14="","",IF(COUNTIF(CONTRATOS!$A$2:$A$601,$A14)=0,"El contrato no existe en CONTRATOS; ","")&amp;IF($B14="","Falta sujeto; ",IF(COUNTIF(SUJETOS!$A$2:$A$601,$B14)=0,"El sujeto no existe en SUJETOS; ",""))&amp;IF($E14="","Falta porcentaje; ","")&amp;IF(N14&gt;1.0001,"Los porcentajes del contrato suman más de 100 %; ","")&amp;IF(AND($C14="Individual",$E14&lt;&gt;"",$E14&lt;&gt;1),"Individual debe ser 100 %; ","")&amp;IF(AND($C14&lt;&gt;"Individual",$C14&lt;&gt;"",$E14=1),"Consorcio o UT con 100 %: revise; ","")&amp;IF(COUNTIFS($A$2:$A$601,$A14,$B$2:$B$601,$B14)&gt;1,"Participación repetida; ","")&amp;IF(AND(IFERROR(INDEX(SUJETOS!$B$2:$B$601,MATCH($B14,SUJETOS!$A$2:$A$601,0)),"")="Persona natural",$G14=""),"Persona natural sin cargo; ",""))</f>
        <v/>
      </c>
      <c r="R14" s="12">
        <f>IF($A14="","",IFERROR(IF(LEN(INDEX(SUJETOS!$F$2:$F$601,MATCH($B14,SUJETOS!$A$2:$A$601,0)))&gt;0,INDEX(SUJETOS!$F$2:$F$601,MATCH($B14,SUJETOS!$A$2:$A$601,0)),$B14),$B14))</f>
        <v/>
      </c>
    </row>
    <row r="15">
      <c r="E15" s="18" t="n"/>
      <c r="K15" s="13">
        <f>IF(OR($A15="",$E15=""),"",IFERROR(E15*INDEX(CONTRATOS!$P$2:$P$601,MATCH($A15,CONTRATOS!$A$2:$A$601,0)),""))</f>
        <v/>
      </c>
      <c r="L15" s="17">
        <f>IF(OR($A15="",$E15=""),"",IFERROR(E15*INDEX(CONTRATOS!$Z$2:$Z$601,MATCH($A15,CONTRATOS!$A$2:$A$601,0)),""))</f>
        <v/>
      </c>
      <c r="M15" s="13">
        <f>IF(OR($A15="",$E15=""),"",IFERROR(E15*INDEX(CONTRATOS!$AA$2:$AA$601,MATCH($A15,CONTRATOS!$A$2:$A$601,0)),""))</f>
        <v/>
      </c>
      <c r="N15" s="19">
        <f>IF($A15="","",SUMIFS($E$2:$E$601,$A$2:$A$601,$A15))</f>
        <v/>
      </c>
      <c r="O15" s="12">
        <f>IF($A15="","",IFERROR(INDEX(CONTRATOS!$F$2:$F$601,MATCH($A15,CONTRATOS!$A$2:$A$601,0)),""))</f>
        <v/>
      </c>
      <c r="P15" s="12">
        <f>IF($A15="","",IFERROR(INDEX(CONTRATOS!$M$2:$M$601,MATCH($A15,CONTRATOS!$A$2:$A$601,0)),""))</f>
        <v/>
      </c>
      <c r="Q15" s="12">
        <f>IF($A15="","",IF(COUNTIF(CONTRATOS!$A$2:$A$601,$A15)=0,"El contrato no existe en CONTRATOS; ","")&amp;IF($B15="","Falta sujeto; ",IF(COUNTIF(SUJETOS!$A$2:$A$601,$B15)=0,"El sujeto no existe en SUJETOS; ",""))&amp;IF($E15="","Falta porcentaje; ","")&amp;IF(N15&gt;1.0001,"Los porcentajes del contrato suman más de 100 %; ","")&amp;IF(AND($C15="Individual",$E15&lt;&gt;"",$E15&lt;&gt;1),"Individual debe ser 100 %; ","")&amp;IF(AND($C15&lt;&gt;"Individual",$C15&lt;&gt;"",$E15=1),"Consorcio o UT con 100 %: revise; ","")&amp;IF(COUNTIFS($A$2:$A$601,$A15,$B$2:$B$601,$B15)&gt;1,"Participación repetida; ","")&amp;IF(AND(IFERROR(INDEX(SUJETOS!$B$2:$B$601,MATCH($B15,SUJETOS!$A$2:$A$601,0)),"")="Persona natural",$G15=""),"Persona natural sin cargo; ",""))</f>
        <v/>
      </c>
      <c r="R15" s="12">
        <f>IF($A15="","",IFERROR(IF(LEN(INDEX(SUJETOS!$F$2:$F$601,MATCH($B15,SUJETOS!$A$2:$A$601,0)))&gt;0,INDEX(SUJETOS!$F$2:$F$601,MATCH($B15,SUJETOS!$A$2:$A$601,0)),$B15),$B15))</f>
        <v/>
      </c>
    </row>
    <row r="16">
      <c r="E16" s="18" t="n"/>
      <c r="K16" s="13">
        <f>IF(OR($A16="",$E16=""),"",IFERROR(E16*INDEX(CONTRATOS!$P$2:$P$601,MATCH($A16,CONTRATOS!$A$2:$A$601,0)),""))</f>
        <v/>
      </c>
      <c r="L16" s="17">
        <f>IF(OR($A16="",$E16=""),"",IFERROR(E16*INDEX(CONTRATOS!$Z$2:$Z$601,MATCH($A16,CONTRATOS!$A$2:$A$601,0)),""))</f>
        <v/>
      </c>
      <c r="M16" s="13">
        <f>IF(OR($A16="",$E16=""),"",IFERROR(E16*INDEX(CONTRATOS!$AA$2:$AA$601,MATCH($A16,CONTRATOS!$A$2:$A$601,0)),""))</f>
        <v/>
      </c>
      <c r="N16" s="19">
        <f>IF($A16="","",SUMIFS($E$2:$E$601,$A$2:$A$601,$A16))</f>
        <v/>
      </c>
      <c r="O16" s="12">
        <f>IF($A16="","",IFERROR(INDEX(CONTRATOS!$F$2:$F$601,MATCH($A16,CONTRATOS!$A$2:$A$601,0)),""))</f>
        <v/>
      </c>
      <c r="P16" s="12">
        <f>IF($A16="","",IFERROR(INDEX(CONTRATOS!$M$2:$M$601,MATCH($A16,CONTRATOS!$A$2:$A$601,0)),""))</f>
        <v/>
      </c>
      <c r="Q16" s="12">
        <f>IF($A16="","",IF(COUNTIF(CONTRATOS!$A$2:$A$601,$A16)=0,"El contrato no existe en CONTRATOS; ","")&amp;IF($B16="","Falta sujeto; ",IF(COUNTIF(SUJETOS!$A$2:$A$601,$B16)=0,"El sujeto no existe en SUJETOS; ",""))&amp;IF($E16="","Falta porcentaje; ","")&amp;IF(N16&gt;1.0001,"Los porcentajes del contrato suman más de 100 %; ","")&amp;IF(AND($C16="Individual",$E16&lt;&gt;"",$E16&lt;&gt;1),"Individual debe ser 100 %; ","")&amp;IF(AND($C16&lt;&gt;"Individual",$C16&lt;&gt;"",$E16=1),"Consorcio o UT con 100 %: revise; ","")&amp;IF(COUNTIFS($A$2:$A$601,$A16,$B$2:$B$601,$B16)&gt;1,"Participación repetida; ","")&amp;IF(AND(IFERROR(INDEX(SUJETOS!$B$2:$B$601,MATCH($B16,SUJETOS!$A$2:$A$601,0)),"")="Persona natural",$G16=""),"Persona natural sin cargo; ",""))</f>
        <v/>
      </c>
      <c r="R16" s="12">
        <f>IF($A16="","",IFERROR(IF(LEN(INDEX(SUJETOS!$F$2:$F$601,MATCH($B16,SUJETOS!$A$2:$A$601,0)))&gt;0,INDEX(SUJETOS!$F$2:$F$601,MATCH($B16,SUJETOS!$A$2:$A$601,0)),$B16),$B16))</f>
        <v/>
      </c>
    </row>
    <row r="17">
      <c r="E17" s="18" t="n"/>
      <c r="K17" s="13">
        <f>IF(OR($A17="",$E17=""),"",IFERROR(E17*INDEX(CONTRATOS!$P$2:$P$601,MATCH($A17,CONTRATOS!$A$2:$A$601,0)),""))</f>
        <v/>
      </c>
      <c r="L17" s="17">
        <f>IF(OR($A17="",$E17=""),"",IFERROR(E17*INDEX(CONTRATOS!$Z$2:$Z$601,MATCH($A17,CONTRATOS!$A$2:$A$601,0)),""))</f>
        <v/>
      </c>
      <c r="M17" s="13">
        <f>IF(OR($A17="",$E17=""),"",IFERROR(E17*INDEX(CONTRATOS!$AA$2:$AA$601,MATCH($A17,CONTRATOS!$A$2:$A$601,0)),""))</f>
        <v/>
      </c>
      <c r="N17" s="19">
        <f>IF($A17="","",SUMIFS($E$2:$E$601,$A$2:$A$601,$A17))</f>
        <v/>
      </c>
      <c r="O17" s="12">
        <f>IF($A17="","",IFERROR(INDEX(CONTRATOS!$F$2:$F$601,MATCH($A17,CONTRATOS!$A$2:$A$601,0)),""))</f>
        <v/>
      </c>
      <c r="P17" s="12">
        <f>IF($A17="","",IFERROR(INDEX(CONTRATOS!$M$2:$M$601,MATCH($A17,CONTRATOS!$A$2:$A$601,0)),""))</f>
        <v/>
      </c>
      <c r="Q17" s="12">
        <f>IF($A17="","",IF(COUNTIF(CONTRATOS!$A$2:$A$601,$A17)=0,"El contrato no existe en CONTRATOS; ","")&amp;IF($B17="","Falta sujeto; ",IF(COUNTIF(SUJETOS!$A$2:$A$601,$B17)=0,"El sujeto no existe en SUJETOS; ",""))&amp;IF($E17="","Falta porcentaje; ","")&amp;IF(N17&gt;1.0001,"Los porcentajes del contrato suman más de 100 %; ","")&amp;IF(AND($C17="Individual",$E17&lt;&gt;"",$E17&lt;&gt;1),"Individual debe ser 100 %; ","")&amp;IF(AND($C17&lt;&gt;"Individual",$C17&lt;&gt;"",$E17=1),"Consorcio o UT con 100 %: revise; ","")&amp;IF(COUNTIFS($A$2:$A$601,$A17,$B$2:$B$601,$B17)&gt;1,"Participación repetida; ","")&amp;IF(AND(IFERROR(INDEX(SUJETOS!$B$2:$B$601,MATCH($B17,SUJETOS!$A$2:$A$601,0)),"")="Persona natural",$G17=""),"Persona natural sin cargo; ",""))</f>
        <v/>
      </c>
      <c r="R17" s="12">
        <f>IF($A17="","",IFERROR(IF(LEN(INDEX(SUJETOS!$F$2:$F$601,MATCH($B17,SUJETOS!$A$2:$A$601,0)))&gt;0,INDEX(SUJETOS!$F$2:$F$601,MATCH($B17,SUJETOS!$A$2:$A$601,0)),$B17),$B17))</f>
        <v/>
      </c>
    </row>
    <row r="18">
      <c r="E18" s="18" t="n"/>
      <c r="K18" s="13">
        <f>IF(OR($A18="",$E18=""),"",IFERROR(E18*INDEX(CONTRATOS!$P$2:$P$601,MATCH($A18,CONTRATOS!$A$2:$A$601,0)),""))</f>
        <v/>
      </c>
      <c r="L18" s="17">
        <f>IF(OR($A18="",$E18=""),"",IFERROR(E18*INDEX(CONTRATOS!$Z$2:$Z$601,MATCH($A18,CONTRATOS!$A$2:$A$601,0)),""))</f>
        <v/>
      </c>
      <c r="M18" s="13">
        <f>IF(OR($A18="",$E18=""),"",IFERROR(E18*INDEX(CONTRATOS!$AA$2:$AA$601,MATCH($A18,CONTRATOS!$A$2:$A$601,0)),""))</f>
        <v/>
      </c>
      <c r="N18" s="19">
        <f>IF($A18="","",SUMIFS($E$2:$E$601,$A$2:$A$601,$A18))</f>
        <v/>
      </c>
      <c r="O18" s="12">
        <f>IF($A18="","",IFERROR(INDEX(CONTRATOS!$F$2:$F$601,MATCH($A18,CONTRATOS!$A$2:$A$601,0)),""))</f>
        <v/>
      </c>
      <c r="P18" s="12">
        <f>IF($A18="","",IFERROR(INDEX(CONTRATOS!$M$2:$M$601,MATCH($A18,CONTRATOS!$A$2:$A$601,0)),""))</f>
        <v/>
      </c>
      <c r="Q18" s="12">
        <f>IF($A18="","",IF(COUNTIF(CONTRATOS!$A$2:$A$601,$A18)=0,"El contrato no existe en CONTRATOS; ","")&amp;IF($B18="","Falta sujeto; ",IF(COUNTIF(SUJETOS!$A$2:$A$601,$B18)=0,"El sujeto no existe en SUJETOS; ",""))&amp;IF($E18="","Falta porcentaje; ","")&amp;IF(N18&gt;1.0001,"Los porcentajes del contrato suman más de 100 %; ","")&amp;IF(AND($C18="Individual",$E18&lt;&gt;"",$E18&lt;&gt;1),"Individual debe ser 100 %; ","")&amp;IF(AND($C18&lt;&gt;"Individual",$C18&lt;&gt;"",$E18=1),"Consorcio o UT con 100 %: revise; ","")&amp;IF(COUNTIFS($A$2:$A$601,$A18,$B$2:$B$601,$B18)&gt;1,"Participación repetida; ","")&amp;IF(AND(IFERROR(INDEX(SUJETOS!$B$2:$B$601,MATCH($B18,SUJETOS!$A$2:$A$601,0)),"")="Persona natural",$G18=""),"Persona natural sin cargo; ",""))</f>
        <v/>
      </c>
      <c r="R18" s="12">
        <f>IF($A18="","",IFERROR(IF(LEN(INDEX(SUJETOS!$F$2:$F$601,MATCH($B18,SUJETOS!$A$2:$A$601,0)))&gt;0,INDEX(SUJETOS!$F$2:$F$601,MATCH($B18,SUJETOS!$A$2:$A$601,0)),$B18),$B18))</f>
        <v/>
      </c>
    </row>
    <row r="19">
      <c r="E19" s="18" t="n"/>
      <c r="K19" s="13">
        <f>IF(OR($A19="",$E19=""),"",IFERROR(E19*INDEX(CONTRATOS!$P$2:$P$601,MATCH($A19,CONTRATOS!$A$2:$A$601,0)),""))</f>
        <v/>
      </c>
      <c r="L19" s="17">
        <f>IF(OR($A19="",$E19=""),"",IFERROR(E19*INDEX(CONTRATOS!$Z$2:$Z$601,MATCH($A19,CONTRATOS!$A$2:$A$601,0)),""))</f>
        <v/>
      </c>
      <c r="M19" s="13">
        <f>IF(OR($A19="",$E19=""),"",IFERROR(E19*INDEX(CONTRATOS!$AA$2:$AA$601,MATCH($A19,CONTRATOS!$A$2:$A$601,0)),""))</f>
        <v/>
      </c>
      <c r="N19" s="19">
        <f>IF($A19="","",SUMIFS($E$2:$E$601,$A$2:$A$601,$A19))</f>
        <v/>
      </c>
      <c r="O19" s="12">
        <f>IF($A19="","",IFERROR(INDEX(CONTRATOS!$F$2:$F$601,MATCH($A19,CONTRATOS!$A$2:$A$601,0)),""))</f>
        <v/>
      </c>
      <c r="P19" s="12">
        <f>IF($A19="","",IFERROR(INDEX(CONTRATOS!$M$2:$M$601,MATCH($A19,CONTRATOS!$A$2:$A$601,0)),""))</f>
        <v/>
      </c>
      <c r="Q19" s="12">
        <f>IF($A19="","",IF(COUNTIF(CONTRATOS!$A$2:$A$601,$A19)=0,"El contrato no existe en CONTRATOS; ","")&amp;IF($B19="","Falta sujeto; ",IF(COUNTIF(SUJETOS!$A$2:$A$601,$B19)=0,"El sujeto no existe en SUJETOS; ",""))&amp;IF($E19="","Falta porcentaje; ","")&amp;IF(N19&gt;1.0001,"Los porcentajes del contrato suman más de 100 %; ","")&amp;IF(AND($C19="Individual",$E19&lt;&gt;"",$E19&lt;&gt;1),"Individual debe ser 100 %; ","")&amp;IF(AND($C19&lt;&gt;"Individual",$C19&lt;&gt;"",$E19=1),"Consorcio o UT con 100 %: revise; ","")&amp;IF(COUNTIFS($A$2:$A$601,$A19,$B$2:$B$601,$B19)&gt;1,"Participación repetida; ","")&amp;IF(AND(IFERROR(INDEX(SUJETOS!$B$2:$B$601,MATCH($B19,SUJETOS!$A$2:$A$601,0)),"")="Persona natural",$G19=""),"Persona natural sin cargo; ",""))</f>
        <v/>
      </c>
      <c r="R19" s="12">
        <f>IF($A19="","",IFERROR(IF(LEN(INDEX(SUJETOS!$F$2:$F$601,MATCH($B19,SUJETOS!$A$2:$A$601,0)))&gt;0,INDEX(SUJETOS!$F$2:$F$601,MATCH($B19,SUJETOS!$A$2:$A$601,0)),$B19),$B19))</f>
        <v/>
      </c>
    </row>
    <row r="20">
      <c r="E20" s="18" t="n"/>
      <c r="K20" s="13">
        <f>IF(OR($A20="",$E20=""),"",IFERROR(E20*INDEX(CONTRATOS!$P$2:$P$601,MATCH($A20,CONTRATOS!$A$2:$A$601,0)),""))</f>
        <v/>
      </c>
      <c r="L20" s="17">
        <f>IF(OR($A20="",$E20=""),"",IFERROR(E20*INDEX(CONTRATOS!$Z$2:$Z$601,MATCH($A20,CONTRATOS!$A$2:$A$601,0)),""))</f>
        <v/>
      </c>
      <c r="M20" s="13">
        <f>IF(OR($A20="",$E20=""),"",IFERROR(E20*INDEX(CONTRATOS!$AA$2:$AA$601,MATCH($A20,CONTRATOS!$A$2:$A$601,0)),""))</f>
        <v/>
      </c>
      <c r="N20" s="19">
        <f>IF($A20="","",SUMIFS($E$2:$E$601,$A$2:$A$601,$A20))</f>
        <v/>
      </c>
      <c r="O20" s="12">
        <f>IF($A20="","",IFERROR(INDEX(CONTRATOS!$F$2:$F$601,MATCH($A20,CONTRATOS!$A$2:$A$601,0)),""))</f>
        <v/>
      </c>
      <c r="P20" s="12">
        <f>IF($A20="","",IFERROR(INDEX(CONTRATOS!$M$2:$M$601,MATCH($A20,CONTRATOS!$A$2:$A$601,0)),""))</f>
        <v/>
      </c>
      <c r="Q20" s="12">
        <f>IF($A20="","",IF(COUNTIF(CONTRATOS!$A$2:$A$601,$A20)=0,"El contrato no existe en CONTRATOS; ","")&amp;IF($B20="","Falta sujeto; ",IF(COUNTIF(SUJETOS!$A$2:$A$601,$B20)=0,"El sujeto no existe en SUJETOS; ",""))&amp;IF($E20="","Falta porcentaje; ","")&amp;IF(N20&gt;1.0001,"Los porcentajes del contrato suman más de 100 %; ","")&amp;IF(AND($C20="Individual",$E20&lt;&gt;"",$E20&lt;&gt;1),"Individual debe ser 100 %; ","")&amp;IF(AND($C20&lt;&gt;"Individual",$C20&lt;&gt;"",$E20=1),"Consorcio o UT con 100 %: revise; ","")&amp;IF(COUNTIFS($A$2:$A$601,$A20,$B$2:$B$601,$B20)&gt;1,"Participación repetida; ","")&amp;IF(AND(IFERROR(INDEX(SUJETOS!$B$2:$B$601,MATCH($B20,SUJETOS!$A$2:$A$601,0)),"")="Persona natural",$G20=""),"Persona natural sin cargo; ",""))</f>
        <v/>
      </c>
      <c r="R20" s="12">
        <f>IF($A20="","",IFERROR(IF(LEN(INDEX(SUJETOS!$F$2:$F$601,MATCH($B20,SUJETOS!$A$2:$A$601,0)))&gt;0,INDEX(SUJETOS!$F$2:$F$601,MATCH($B20,SUJETOS!$A$2:$A$601,0)),$B20),$B20))</f>
        <v/>
      </c>
    </row>
    <row r="21">
      <c r="E21" s="18" t="n"/>
      <c r="K21" s="13">
        <f>IF(OR($A21="",$E21=""),"",IFERROR(E21*INDEX(CONTRATOS!$P$2:$P$601,MATCH($A21,CONTRATOS!$A$2:$A$601,0)),""))</f>
        <v/>
      </c>
      <c r="L21" s="17">
        <f>IF(OR($A21="",$E21=""),"",IFERROR(E21*INDEX(CONTRATOS!$Z$2:$Z$601,MATCH($A21,CONTRATOS!$A$2:$A$601,0)),""))</f>
        <v/>
      </c>
      <c r="M21" s="13">
        <f>IF(OR($A21="",$E21=""),"",IFERROR(E21*INDEX(CONTRATOS!$AA$2:$AA$601,MATCH($A21,CONTRATOS!$A$2:$A$601,0)),""))</f>
        <v/>
      </c>
      <c r="N21" s="19">
        <f>IF($A21="","",SUMIFS($E$2:$E$601,$A$2:$A$601,$A21))</f>
        <v/>
      </c>
      <c r="O21" s="12">
        <f>IF($A21="","",IFERROR(INDEX(CONTRATOS!$F$2:$F$601,MATCH($A21,CONTRATOS!$A$2:$A$601,0)),""))</f>
        <v/>
      </c>
      <c r="P21" s="12">
        <f>IF($A21="","",IFERROR(INDEX(CONTRATOS!$M$2:$M$601,MATCH($A21,CONTRATOS!$A$2:$A$601,0)),""))</f>
        <v/>
      </c>
      <c r="Q21" s="12">
        <f>IF($A21="","",IF(COUNTIF(CONTRATOS!$A$2:$A$601,$A21)=0,"El contrato no existe en CONTRATOS; ","")&amp;IF($B21="","Falta sujeto; ",IF(COUNTIF(SUJETOS!$A$2:$A$601,$B21)=0,"El sujeto no existe en SUJETOS; ",""))&amp;IF($E21="","Falta porcentaje; ","")&amp;IF(N21&gt;1.0001,"Los porcentajes del contrato suman más de 100 %; ","")&amp;IF(AND($C21="Individual",$E21&lt;&gt;"",$E21&lt;&gt;1),"Individual debe ser 100 %; ","")&amp;IF(AND($C21&lt;&gt;"Individual",$C21&lt;&gt;"",$E21=1),"Consorcio o UT con 100 %: revise; ","")&amp;IF(COUNTIFS($A$2:$A$601,$A21,$B$2:$B$601,$B21)&gt;1,"Participación repetida; ","")&amp;IF(AND(IFERROR(INDEX(SUJETOS!$B$2:$B$601,MATCH($B21,SUJETOS!$A$2:$A$601,0)),"")="Persona natural",$G21=""),"Persona natural sin cargo; ",""))</f>
        <v/>
      </c>
      <c r="R21" s="12">
        <f>IF($A21="","",IFERROR(IF(LEN(INDEX(SUJETOS!$F$2:$F$601,MATCH($B21,SUJETOS!$A$2:$A$601,0)))&gt;0,INDEX(SUJETOS!$F$2:$F$601,MATCH($B21,SUJETOS!$A$2:$A$601,0)),$B21),$B21))</f>
        <v/>
      </c>
    </row>
    <row r="22">
      <c r="E22" s="18" t="n"/>
      <c r="K22" s="13">
        <f>IF(OR($A22="",$E22=""),"",IFERROR(E22*INDEX(CONTRATOS!$P$2:$P$601,MATCH($A22,CONTRATOS!$A$2:$A$601,0)),""))</f>
        <v/>
      </c>
      <c r="L22" s="17">
        <f>IF(OR($A22="",$E22=""),"",IFERROR(E22*INDEX(CONTRATOS!$Z$2:$Z$601,MATCH($A22,CONTRATOS!$A$2:$A$601,0)),""))</f>
        <v/>
      </c>
      <c r="M22" s="13">
        <f>IF(OR($A22="",$E22=""),"",IFERROR(E22*INDEX(CONTRATOS!$AA$2:$AA$601,MATCH($A22,CONTRATOS!$A$2:$A$601,0)),""))</f>
        <v/>
      </c>
      <c r="N22" s="19">
        <f>IF($A22="","",SUMIFS($E$2:$E$601,$A$2:$A$601,$A22))</f>
        <v/>
      </c>
      <c r="O22" s="12">
        <f>IF($A22="","",IFERROR(INDEX(CONTRATOS!$F$2:$F$601,MATCH($A22,CONTRATOS!$A$2:$A$601,0)),""))</f>
        <v/>
      </c>
      <c r="P22" s="12">
        <f>IF($A22="","",IFERROR(INDEX(CONTRATOS!$M$2:$M$601,MATCH($A22,CONTRATOS!$A$2:$A$601,0)),""))</f>
        <v/>
      </c>
      <c r="Q22" s="12">
        <f>IF($A22="","",IF(COUNTIF(CONTRATOS!$A$2:$A$601,$A22)=0,"El contrato no existe en CONTRATOS; ","")&amp;IF($B22="","Falta sujeto; ",IF(COUNTIF(SUJETOS!$A$2:$A$601,$B22)=0,"El sujeto no existe en SUJETOS; ",""))&amp;IF($E22="","Falta porcentaje; ","")&amp;IF(N22&gt;1.0001,"Los porcentajes del contrato suman más de 100 %; ","")&amp;IF(AND($C22="Individual",$E22&lt;&gt;"",$E22&lt;&gt;1),"Individual debe ser 100 %; ","")&amp;IF(AND($C22&lt;&gt;"Individual",$C22&lt;&gt;"",$E22=1),"Consorcio o UT con 100 %: revise; ","")&amp;IF(COUNTIFS($A$2:$A$601,$A22,$B$2:$B$601,$B22)&gt;1,"Participación repetida; ","")&amp;IF(AND(IFERROR(INDEX(SUJETOS!$B$2:$B$601,MATCH($B22,SUJETOS!$A$2:$A$601,0)),"")="Persona natural",$G22=""),"Persona natural sin cargo; ",""))</f>
        <v/>
      </c>
      <c r="R22" s="12">
        <f>IF($A22="","",IFERROR(IF(LEN(INDEX(SUJETOS!$F$2:$F$601,MATCH($B22,SUJETOS!$A$2:$A$601,0)))&gt;0,INDEX(SUJETOS!$F$2:$F$601,MATCH($B22,SUJETOS!$A$2:$A$601,0)),$B22),$B22))</f>
        <v/>
      </c>
    </row>
    <row r="23">
      <c r="E23" s="18" t="n"/>
      <c r="K23" s="13">
        <f>IF(OR($A23="",$E23=""),"",IFERROR(E23*INDEX(CONTRATOS!$P$2:$P$601,MATCH($A23,CONTRATOS!$A$2:$A$601,0)),""))</f>
        <v/>
      </c>
      <c r="L23" s="17">
        <f>IF(OR($A23="",$E23=""),"",IFERROR(E23*INDEX(CONTRATOS!$Z$2:$Z$601,MATCH($A23,CONTRATOS!$A$2:$A$601,0)),""))</f>
        <v/>
      </c>
      <c r="M23" s="13">
        <f>IF(OR($A23="",$E23=""),"",IFERROR(E23*INDEX(CONTRATOS!$AA$2:$AA$601,MATCH($A23,CONTRATOS!$A$2:$A$601,0)),""))</f>
        <v/>
      </c>
      <c r="N23" s="19">
        <f>IF($A23="","",SUMIFS($E$2:$E$601,$A$2:$A$601,$A23))</f>
        <v/>
      </c>
      <c r="O23" s="12">
        <f>IF($A23="","",IFERROR(INDEX(CONTRATOS!$F$2:$F$601,MATCH($A23,CONTRATOS!$A$2:$A$601,0)),""))</f>
        <v/>
      </c>
      <c r="P23" s="12">
        <f>IF($A23="","",IFERROR(INDEX(CONTRATOS!$M$2:$M$601,MATCH($A23,CONTRATOS!$A$2:$A$601,0)),""))</f>
        <v/>
      </c>
      <c r="Q23" s="12">
        <f>IF($A23="","",IF(COUNTIF(CONTRATOS!$A$2:$A$601,$A23)=0,"El contrato no existe en CONTRATOS; ","")&amp;IF($B23="","Falta sujeto; ",IF(COUNTIF(SUJETOS!$A$2:$A$601,$B23)=0,"El sujeto no existe en SUJETOS; ",""))&amp;IF($E23="","Falta porcentaje; ","")&amp;IF(N23&gt;1.0001,"Los porcentajes del contrato suman más de 100 %; ","")&amp;IF(AND($C23="Individual",$E23&lt;&gt;"",$E23&lt;&gt;1),"Individual debe ser 100 %; ","")&amp;IF(AND($C23&lt;&gt;"Individual",$C23&lt;&gt;"",$E23=1),"Consorcio o UT con 100 %: revise; ","")&amp;IF(COUNTIFS($A$2:$A$601,$A23,$B$2:$B$601,$B23)&gt;1,"Participación repetida; ","")&amp;IF(AND(IFERROR(INDEX(SUJETOS!$B$2:$B$601,MATCH($B23,SUJETOS!$A$2:$A$601,0)),"")="Persona natural",$G23=""),"Persona natural sin cargo; ",""))</f>
        <v/>
      </c>
      <c r="R23" s="12">
        <f>IF($A23="","",IFERROR(IF(LEN(INDEX(SUJETOS!$F$2:$F$601,MATCH($B23,SUJETOS!$A$2:$A$601,0)))&gt;0,INDEX(SUJETOS!$F$2:$F$601,MATCH($B23,SUJETOS!$A$2:$A$601,0)),$B23),$B23))</f>
        <v/>
      </c>
    </row>
    <row r="24">
      <c r="E24" s="18" t="n"/>
      <c r="K24" s="13">
        <f>IF(OR($A24="",$E24=""),"",IFERROR(E24*INDEX(CONTRATOS!$P$2:$P$601,MATCH($A24,CONTRATOS!$A$2:$A$601,0)),""))</f>
        <v/>
      </c>
      <c r="L24" s="17">
        <f>IF(OR($A24="",$E24=""),"",IFERROR(E24*INDEX(CONTRATOS!$Z$2:$Z$601,MATCH($A24,CONTRATOS!$A$2:$A$601,0)),""))</f>
        <v/>
      </c>
      <c r="M24" s="13">
        <f>IF(OR($A24="",$E24=""),"",IFERROR(E24*INDEX(CONTRATOS!$AA$2:$AA$601,MATCH($A24,CONTRATOS!$A$2:$A$601,0)),""))</f>
        <v/>
      </c>
      <c r="N24" s="19">
        <f>IF($A24="","",SUMIFS($E$2:$E$601,$A$2:$A$601,$A24))</f>
        <v/>
      </c>
      <c r="O24" s="12">
        <f>IF($A24="","",IFERROR(INDEX(CONTRATOS!$F$2:$F$601,MATCH($A24,CONTRATOS!$A$2:$A$601,0)),""))</f>
        <v/>
      </c>
      <c r="P24" s="12">
        <f>IF($A24="","",IFERROR(INDEX(CONTRATOS!$M$2:$M$601,MATCH($A24,CONTRATOS!$A$2:$A$601,0)),""))</f>
        <v/>
      </c>
      <c r="Q24" s="12">
        <f>IF($A24="","",IF(COUNTIF(CONTRATOS!$A$2:$A$601,$A24)=0,"El contrato no existe en CONTRATOS; ","")&amp;IF($B24="","Falta sujeto; ",IF(COUNTIF(SUJETOS!$A$2:$A$601,$B24)=0,"El sujeto no existe en SUJETOS; ",""))&amp;IF($E24="","Falta porcentaje; ","")&amp;IF(N24&gt;1.0001,"Los porcentajes del contrato suman más de 100 %; ","")&amp;IF(AND($C24="Individual",$E24&lt;&gt;"",$E24&lt;&gt;1),"Individual debe ser 100 %; ","")&amp;IF(AND($C24&lt;&gt;"Individual",$C24&lt;&gt;"",$E24=1),"Consorcio o UT con 100 %: revise; ","")&amp;IF(COUNTIFS($A$2:$A$601,$A24,$B$2:$B$601,$B24)&gt;1,"Participación repetida; ","")&amp;IF(AND(IFERROR(INDEX(SUJETOS!$B$2:$B$601,MATCH($B24,SUJETOS!$A$2:$A$601,0)),"")="Persona natural",$G24=""),"Persona natural sin cargo; ",""))</f>
        <v/>
      </c>
      <c r="R24" s="12">
        <f>IF($A24="","",IFERROR(IF(LEN(INDEX(SUJETOS!$F$2:$F$601,MATCH($B24,SUJETOS!$A$2:$A$601,0)))&gt;0,INDEX(SUJETOS!$F$2:$F$601,MATCH($B24,SUJETOS!$A$2:$A$601,0)),$B24),$B24))</f>
        <v/>
      </c>
    </row>
    <row r="25">
      <c r="E25" s="18" t="n"/>
      <c r="K25" s="13">
        <f>IF(OR($A25="",$E25=""),"",IFERROR(E25*INDEX(CONTRATOS!$P$2:$P$601,MATCH($A25,CONTRATOS!$A$2:$A$601,0)),""))</f>
        <v/>
      </c>
      <c r="L25" s="17">
        <f>IF(OR($A25="",$E25=""),"",IFERROR(E25*INDEX(CONTRATOS!$Z$2:$Z$601,MATCH($A25,CONTRATOS!$A$2:$A$601,0)),""))</f>
        <v/>
      </c>
      <c r="M25" s="13">
        <f>IF(OR($A25="",$E25=""),"",IFERROR(E25*INDEX(CONTRATOS!$AA$2:$AA$601,MATCH($A25,CONTRATOS!$A$2:$A$601,0)),""))</f>
        <v/>
      </c>
      <c r="N25" s="19">
        <f>IF($A25="","",SUMIFS($E$2:$E$601,$A$2:$A$601,$A25))</f>
        <v/>
      </c>
      <c r="O25" s="12">
        <f>IF($A25="","",IFERROR(INDEX(CONTRATOS!$F$2:$F$601,MATCH($A25,CONTRATOS!$A$2:$A$601,0)),""))</f>
        <v/>
      </c>
      <c r="P25" s="12">
        <f>IF($A25="","",IFERROR(INDEX(CONTRATOS!$M$2:$M$601,MATCH($A25,CONTRATOS!$A$2:$A$601,0)),""))</f>
        <v/>
      </c>
      <c r="Q25" s="12">
        <f>IF($A25="","",IF(COUNTIF(CONTRATOS!$A$2:$A$601,$A25)=0,"El contrato no existe en CONTRATOS; ","")&amp;IF($B25="","Falta sujeto; ",IF(COUNTIF(SUJETOS!$A$2:$A$601,$B25)=0,"El sujeto no existe en SUJETOS; ",""))&amp;IF($E25="","Falta porcentaje; ","")&amp;IF(N25&gt;1.0001,"Los porcentajes del contrato suman más de 100 %; ","")&amp;IF(AND($C25="Individual",$E25&lt;&gt;"",$E25&lt;&gt;1),"Individual debe ser 100 %; ","")&amp;IF(AND($C25&lt;&gt;"Individual",$C25&lt;&gt;"",$E25=1),"Consorcio o UT con 100 %: revise; ","")&amp;IF(COUNTIFS($A$2:$A$601,$A25,$B$2:$B$601,$B25)&gt;1,"Participación repetida; ","")&amp;IF(AND(IFERROR(INDEX(SUJETOS!$B$2:$B$601,MATCH($B25,SUJETOS!$A$2:$A$601,0)),"")="Persona natural",$G25=""),"Persona natural sin cargo; ",""))</f>
        <v/>
      </c>
      <c r="R25" s="12">
        <f>IF($A25="","",IFERROR(IF(LEN(INDEX(SUJETOS!$F$2:$F$601,MATCH($B25,SUJETOS!$A$2:$A$601,0)))&gt;0,INDEX(SUJETOS!$F$2:$F$601,MATCH($B25,SUJETOS!$A$2:$A$601,0)),$B25),$B25))</f>
        <v/>
      </c>
    </row>
    <row r="26">
      <c r="E26" s="18" t="n"/>
      <c r="K26" s="13">
        <f>IF(OR($A26="",$E26=""),"",IFERROR(E26*INDEX(CONTRATOS!$P$2:$P$601,MATCH($A26,CONTRATOS!$A$2:$A$601,0)),""))</f>
        <v/>
      </c>
      <c r="L26" s="17">
        <f>IF(OR($A26="",$E26=""),"",IFERROR(E26*INDEX(CONTRATOS!$Z$2:$Z$601,MATCH($A26,CONTRATOS!$A$2:$A$601,0)),""))</f>
        <v/>
      </c>
      <c r="M26" s="13">
        <f>IF(OR($A26="",$E26=""),"",IFERROR(E26*INDEX(CONTRATOS!$AA$2:$AA$601,MATCH($A26,CONTRATOS!$A$2:$A$601,0)),""))</f>
        <v/>
      </c>
      <c r="N26" s="19">
        <f>IF($A26="","",SUMIFS($E$2:$E$601,$A$2:$A$601,$A26))</f>
        <v/>
      </c>
      <c r="O26" s="12">
        <f>IF($A26="","",IFERROR(INDEX(CONTRATOS!$F$2:$F$601,MATCH($A26,CONTRATOS!$A$2:$A$601,0)),""))</f>
        <v/>
      </c>
      <c r="P26" s="12">
        <f>IF($A26="","",IFERROR(INDEX(CONTRATOS!$M$2:$M$601,MATCH($A26,CONTRATOS!$A$2:$A$601,0)),""))</f>
        <v/>
      </c>
      <c r="Q26" s="12">
        <f>IF($A26="","",IF(COUNTIF(CONTRATOS!$A$2:$A$601,$A26)=0,"El contrato no existe en CONTRATOS; ","")&amp;IF($B26="","Falta sujeto; ",IF(COUNTIF(SUJETOS!$A$2:$A$601,$B26)=0,"El sujeto no existe en SUJETOS; ",""))&amp;IF($E26="","Falta porcentaje; ","")&amp;IF(N26&gt;1.0001,"Los porcentajes del contrato suman más de 100 %; ","")&amp;IF(AND($C26="Individual",$E26&lt;&gt;"",$E26&lt;&gt;1),"Individual debe ser 100 %; ","")&amp;IF(AND($C26&lt;&gt;"Individual",$C26&lt;&gt;"",$E26=1),"Consorcio o UT con 100 %: revise; ","")&amp;IF(COUNTIFS($A$2:$A$601,$A26,$B$2:$B$601,$B26)&gt;1,"Participación repetida; ","")&amp;IF(AND(IFERROR(INDEX(SUJETOS!$B$2:$B$601,MATCH($B26,SUJETOS!$A$2:$A$601,0)),"")="Persona natural",$G26=""),"Persona natural sin cargo; ",""))</f>
        <v/>
      </c>
      <c r="R26" s="12">
        <f>IF($A26="","",IFERROR(IF(LEN(INDEX(SUJETOS!$F$2:$F$601,MATCH($B26,SUJETOS!$A$2:$A$601,0)))&gt;0,INDEX(SUJETOS!$F$2:$F$601,MATCH($B26,SUJETOS!$A$2:$A$601,0)),$B26),$B26))</f>
        <v/>
      </c>
    </row>
    <row r="27">
      <c r="E27" s="18" t="n"/>
      <c r="K27" s="13">
        <f>IF(OR($A27="",$E27=""),"",IFERROR(E27*INDEX(CONTRATOS!$P$2:$P$601,MATCH($A27,CONTRATOS!$A$2:$A$601,0)),""))</f>
        <v/>
      </c>
      <c r="L27" s="17">
        <f>IF(OR($A27="",$E27=""),"",IFERROR(E27*INDEX(CONTRATOS!$Z$2:$Z$601,MATCH($A27,CONTRATOS!$A$2:$A$601,0)),""))</f>
        <v/>
      </c>
      <c r="M27" s="13">
        <f>IF(OR($A27="",$E27=""),"",IFERROR(E27*INDEX(CONTRATOS!$AA$2:$AA$601,MATCH($A27,CONTRATOS!$A$2:$A$601,0)),""))</f>
        <v/>
      </c>
      <c r="N27" s="19">
        <f>IF($A27="","",SUMIFS($E$2:$E$601,$A$2:$A$601,$A27))</f>
        <v/>
      </c>
      <c r="O27" s="12">
        <f>IF($A27="","",IFERROR(INDEX(CONTRATOS!$F$2:$F$601,MATCH($A27,CONTRATOS!$A$2:$A$601,0)),""))</f>
        <v/>
      </c>
      <c r="P27" s="12">
        <f>IF($A27="","",IFERROR(INDEX(CONTRATOS!$M$2:$M$601,MATCH($A27,CONTRATOS!$A$2:$A$601,0)),""))</f>
        <v/>
      </c>
      <c r="Q27" s="12">
        <f>IF($A27="","",IF(COUNTIF(CONTRATOS!$A$2:$A$601,$A27)=0,"El contrato no existe en CONTRATOS; ","")&amp;IF($B27="","Falta sujeto; ",IF(COUNTIF(SUJETOS!$A$2:$A$601,$B27)=0,"El sujeto no existe en SUJETOS; ",""))&amp;IF($E27="","Falta porcentaje; ","")&amp;IF(N27&gt;1.0001,"Los porcentajes del contrato suman más de 100 %; ","")&amp;IF(AND($C27="Individual",$E27&lt;&gt;"",$E27&lt;&gt;1),"Individual debe ser 100 %; ","")&amp;IF(AND($C27&lt;&gt;"Individual",$C27&lt;&gt;"",$E27=1),"Consorcio o UT con 100 %: revise; ","")&amp;IF(COUNTIFS($A$2:$A$601,$A27,$B$2:$B$601,$B27)&gt;1,"Participación repetida; ","")&amp;IF(AND(IFERROR(INDEX(SUJETOS!$B$2:$B$601,MATCH($B27,SUJETOS!$A$2:$A$601,0)),"")="Persona natural",$G27=""),"Persona natural sin cargo; ",""))</f>
        <v/>
      </c>
      <c r="R27" s="12">
        <f>IF($A27="","",IFERROR(IF(LEN(INDEX(SUJETOS!$F$2:$F$601,MATCH($B27,SUJETOS!$A$2:$A$601,0)))&gt;0,INDEX(SUJETOS!$F$2:$F$601,MATCH($B27,SUJETOS!$A$2:$A$601,0)),$B27),$B27))</f>
        <v/>
      </c>
    </row>
    <row r="28">
      <c r="E28" s="18" t="n"/>
      <c r="K28" s="13">
        <f>IF(OR($A28="",$E28=""),"",IFERROR(E28*INDEX(CONTRATOS!$P$2:$P$601,MATCH($A28,CONTRATOS!$A$2:$A$601,0)),""))</f>
        <v/>
      </c>
      <c r="L28" s="17">
        <f>IF(OR($A28="",$E28=""),"",IFERROR(E28*INDEX(CONTRATOS!$Z$2:$Z$601,MATCH($A28,CONTRATOS!$A$2:$A$601,0)),""))</f>
        <v/>
      </c>
      <c r="M28" s="13">
        <f>IF(OR($A28="",$E28=""),"",IFERROR(E28*INDEX(CONTRATOS!$AA$2:$AA$601,MATCH($A28,CONTRATOS!$A$2:$A$601,0)),""))</f>
        <v/>
      </c>
      <c r="N28" s="19">
        <f>IF($A28="","",SUMIFS($E$2:$E$601,$A$2:$A$601,$A28))</f>
        <v/>
      </c>
      <c r="O28" s="12">
        <f>IF($A28="","",IFERROR(INDEX(CONTRATOS!$F$2:$F$601,MATCH($A28,CONTRATOS!$A$2:$A$601,0)),""))</f>
        <v/>
      </c>
      <c r="P28" s="12">
        <f>IF($A28="","",IFERROR(INDEX(CONTRATOS!$M$2:$M$601,MATCH($A28,CONTRATOS!$A$2:$A$601,0)),""))</f>
        <v/>
      </c>
      <c r="Q28" s="12">
        <f>IF($A28="","",IF(COUNTIF(CONTRATOS!$A$2:$A$601,$A28)=0,"El contrato no existe en CONTRATOS; ","")&amp;IF($B28="","Falta sujeto; ",IF(COUNTIF(SUJETOS!$A$2:$A$601,$B28)=0,"El sujeto no existe en SUJETOS; ",""))&amp;IF($E28="","Falta porcentaje; ","")&amp;IF(N28&gt;1.0001,"Los porcentajes del contrato suman más de 100 %; ","")&amp;IF(AND($C28="Individual",$E28&lt;&gt;"",$E28&lt;&gt;1),"Individual debe ser 100 %; ","")&amp;IF(AND($C28&lt;&gt;"Individual",$C28&lt;&gt;"",$E28=1),"Consorcio o UT con 100 %: revise; ","")&amp;IF(COUNTIFS($A$2:$A$601,$A28,$B$2:$B$601,$B28)&gt;1,"Participación repetida; ","")&amp;IF(AND(IFERROR(INDEX(SUJETOS!$B$2:$B$601,MATCH($B28,SUJETOS!$A$2:$A$601,0)),"")="Persona natural",$G28=""),"Persona natural sin cargo; ",""))</f>
        <v/>
      </c>
      <c r="R28" s="12">
        <f>IF($A28="","",IFERROR(IF(LEN(INDEX(SUJETOS!$F$2:$F$601,MATCH($B28,SUJETOS!$A$2:$A$601,0)))&gt;0,INDEX(SUJETOS!$F$2:$F$601,MATCH($B28,SUJETOS!$A$2:$A$601,0)),$B28),$B28))</f>
        <v/>
      </c>
    </row>
    <row r="29">
      <c r="E29" s="18" t="n"/>
      <c r="K29" s="13">
        <f>IF(OR($A29="",$E29=""),"",IFERROR(E29*INDEX(CONTRATOS!$P$2:$P$601,MATCH($A29,CONTRATOS!$A$2:$A$601,0)),""))</f>
        <v/>
      </c>
      <c r="L29" s="17">
        <f>IF(OR($A29="",$E29=""),"",IFERROR(E29*INDEX(CONTRATOS!$Z$2:$Z$601,MATCH($A29,CONTRATOS!$A$2:$A$601,0)),""))</f>
        <v/>
      </c>
      <c r="M29" s="13">
        <f>IF(OR($A29="",$E29=""),"",IFERROR(E29*INDEX(CONTRATOS!$AA$2:$AA$601,MATCH($A29,CONTRATOS!$A$2:$A$601,0)),""))</f>
        <v/>
      </c>
      <c r="N29" s="19">
        <f>IF($A29="","",SUMIFS($E$2:$E$601,$A$2:$A$601,$A29))</f>
        <v/>
      </c>
      <c r="O29" s="12">
        <f>IF($A29="","",IFERROR(INDEX(CONTRATOS!$F$2:$F$601,MATCH($A29,CONTRATOS!$A$2:$A$601,0)),""))</f>
        <v/>
      </c>
      <c r="P29" s="12">
        <f>IF($A29="","",IFERROR(INDEX(CONTRATOS!$M$2:$M$601,MATCH($A29,CONTRATOS!$A$2:$A$601,0)),""))</f>
        <v/>
      </c>
      <c r="Q29" s="12">
        <f>IF($A29="","",IF(COUNTIF(CONTRATOS!$A$2:$A$601,$A29)=0,"El contrato no existe en CONTRATOS; ","")&amp;IF($B29="","Falta sujeto; ",IF(COUNTIF(SUJETOS!$A$2:$A$601,$B29)=0,"El sujeto no existe en SUJETOS; ",""))&amp;IF($E29="","Falta porcentaje; ","")&amp;IF(N29&gt;1.0001,"Los porcentajes del contrato suman más de 100 %; ","")&amp;IF(AND($C29="Individual",$E29&lt;&gt;"",$E29&lt;&gt;1),"Individual debe ser 100 %; ","")&amp;IF(AND($C29&lt;&gt;"Individual",$C29&lt;&gt;"",$E29=1),"Consorcio o UT con 100 %: revise; ","")&amp;IF(COUNTIFS($A$2:$A$601,$A29,$B$2:$B$601,$B29)&gt;1,"Participación repetida; ","")&amp;IF(AND(IFERROR(INDEX(SUJETOS!$B$2:$B$601,MATCH($B29,SUJETOS!$A$2:$A$601,0)),"")="Persona natural",$G29=""),"Persona natural sin cargo; ",""))</f>
        <v/>
      </c>
      <c r="R29" s="12">
        <f>IF($A29="","",IFERROR(IF(LEN(INDEX(SUJETOS!$F$2:$F$601,MATCH($B29,SUJETOS!$A$2:$A$601,0)))&gt;0,INDEX(SUJETOS!$F$2:$F$601,MATCH($B29,SUJETOS!$A$2:$A$601,0)),$B29),$B29))</f>
        <v/>
      </c>
    </row>
    <row r="30">
      <c r="E30" s="18" t="n"/>
      <c r="K30" s="13">
        <f>IF(OR($A30="",$E30=""),"",IFERROR(E30*INDEX(CONTRATOS!$P$2:$P$601,MATCH($A30,CONTRATOS!$A$2:$A$601,0)),""))</f>
        <v/>
      </c>
      <c r="L30" s="17">
        <f>IF(OR($A30="",$E30=""),"",IFERROR(E30*INDEX(CONTRATOS!$Z$2:$Z$601,MATCH($A30,CONTRATOS!$A$2:$A$601,0)),""))</f>
        <v/>
      </c>
      <c r="M30" s="13">
        <f>IF(OR($A30="",$E30=""),"",IFERROR(E30*INDEX(CONTRATOS!$AA$2:$AA$601,MATCH($A30,CONTRATOS!$A$2:$A$601,0)),""))</f>
        <v/>
      </c>
      <c r="N30" s="19">
        <f>IF($A30="","",SUMIFS($E$2:$E$601,$A$2:$A$601,$A30))</f>
        <v/>
      </c>
      <c r="O30" s="12">
        <f>IF($A30="","",IFERROR(INDEX(CONTRATOS!$F$2:$F$601,MATCH($A30,CONTRATOS!$A$2:$A$601,0)),""))</f>
        <v/>
      </c>
      <c r="P30" s="12">
        <f>IF($A30="","",IFERROR(INDEX(CONTRATOS!$M$2:$M$601,MATCH($A30,CONTRATOS!$A$2:$A$601,0)),""))</f>
        <v/>
      </c>
      <c r="Q30" s="12">
        <f>IF($A30="","",IF(COUNTIF(CONTRATOS!$A$2:$A$601,$A30)=0,"El contrato no existe en CONTRATOS; ","")&amp;IF($B30="","Falta sujeto; ",IF(COUNTIF(SUJETOS!$A$2:$A$601,$B30)=0,"El sujeto no existe en SUJETOS; ",""))&amp;IF($E30="","Falta porcentaje; ","")&amp;IF(N30&gt;1.0001,"Los porcentajes del contrato suman más de 100 %; ","")&amp;IF(AND($C30="Individual",$E30&lt;&gt;"",$E30&lt;&gt;1),"Individual debe ser 100 %; ","")&amp;IF(AND($C30&lt;&gt;"Individual",$C30&lt;&gt;"",$E30=1),"Consorcio o UT con 100 %: revise; ","")&amp;IF(COUNTIFS($A$2:$A$601,$A30,$B$2:$B$601,$B30)&gt;1,"Participación repetida; ","")&amp;IF(AND(IFERROR(INDEX(SUJETOS!$B$2:$B$601,MATCH($B30,SUJETOS!$A$2:$A$601,0)),"")="Persona natural",$G30=""),"Persona natural sin cargo; ",""))</f>
        <v/>
      </c>
      <c r="R30" s="12">
        <f>IF($A30="","",IFERROR(IF(LEN(INDEX(SUJETOS!$F$2:$F$601,MATCH($B30,SUJETOS!$A$2:$A$601,0)))&gt;0,INDEX(SUJETOS!$F$2:$F$601,MATCH($B30,SUJETOS!$A$2:$A$601,0)),$B30),$B30))</f>
        <v/>
      </c>
    </row>
    <row r="31">
      <c r="E31" s="18" t="n"/>
      <c r="K31" s="13">
        <f>IF(OR($A31="",$E31=""),"",IFERROR(E31*INDEX(CONTRATOS!$P$2:$P$601,MATCH($A31,CONTRATOS!$A$2:$A$601,0)),""))</f>
        <v/>
      </c>
      <c r="L31" s="17">
        <f>IF(OR($A31="",$E31=""),"",IFERROR(E31*INDEX(CONTRATOS!$Z$2:$Z$601,MATCH($A31,CONTRATOS!$A$2:$A$601,0)),""))</f>
        <v/>
      </c>
      <c r="M31" s="13">
        <f>IF(OR($A31="",$E31=""),"",IFERROR(E31*INDEX(CONTRATOS!$AA$2:$AA$601,MATCH($A31,CONTRATOS!$A$2:$A$601,0)),""))</f>
        <v/>
      </c>
      <c r="N31" s="19">
        <f>IF($A31="","",SUMIFS($E$2:$E$601,$A$2:$A$601,$A31))</f>
        <v/>
      </c>
      <c r="O31" s="12">
        <f>IF($A31="","",IFERROR(INDEX(CONTRATOS!$F$2:$F$601,MATCH($A31,CONTRATOS!$A$2:$A$601,0)),""))</f>
        <v/>
      </c>
      <c r="P31" s="12">
        <f>IF($A31="","",IFERROR(INDEX(CONTRATOS!$M$2:$M$601,MATCH($A31,CONTRATOS!$A$2:$A$601,0)),""))</f>
        <v/>
      </c>
      <c r="Q31" s="12">
        <f>IF($A31="","",IF(COUNTIF(CONTRATOS!$A$2:$A$601,$A31)=0,"El contrato no existe en CONTRATOS; ","")&amp;IF($B31="","Falta sujeto; ",IF(COUNTIF(SUJETOS!$A$2:$A$601,$B31)=0,"El sujeto no existe en SUJETOS; ",""))&amp;IF($E31="","Falta porcentaje; ","")&amp;IF(N31&gt;1.0001,"Los porcentajes del contrato suman más de 100 %; ","")&amp;IF(AND($C31="Individual",$E31&lt;&gt;"",$E31&lt;&gt;1),"Individual debe ser 100 %; ","")&amp;IF(AND($C31&lt;&gt;"Individual",$C31&lt;&gt;"",$E31=1),"Consorcio o UT con 100 %: revise; ","")&amp;IF(COUNTIFS($A$2:$A$601,$A31,$B$2:$B$601,$B31)&gt;1,"Participación repetida; ","")&amp;IF(AND(IFERROR(INDEX(SUJETOS!$B$2:$B$601,MATCH($B31,SUJETOS!$A$2:$A$601,0)),"")="Persona natural",$G31=""),"Persona natural sin cargo; ",""))</f>
        <v/>
      </c>
      <c r="R31" s="12">
        <f>IF($A31="","",IFERROR(IF(LEN(INDEX(SUJETOS!$F$2:$F$601,MATCH($B31,SUJETOS!$A$2:$A$601,0)))&gt;0,INDEX(SUJETOS!$F$2:$F$601,MATCH($B31,SUJETOS!$A$2:$A$601,0)),$B31),$B31))</f>
        <v/>
      </c>
    </row>
    <row r="32">
      <c r="E32" s="18" t="n"/>
      <c r="K32" s="13">
        <f>IF(OR($A32="",$E32=""),"",IFERROR(E32*INDEX(CONTRATOS!$P$2:$P$601,MATCH($A32,CONTRATOS!$A$2:$A$601,0)),""))</f>
        <v/>
      </c>
      <c r="L32" s="17">
        <f>IF(OR($A32="",$E32=""),"",IFERROR(E32*INDEX(CONTRATOS!$Z$2:$Z$601,MATCH($A32,CONTRATOS!$A$2:$A$601,0)),""))</f>
        <v/>
      </c>
      <c r="M32" s="13">
        <f>IF(OR($A32="",$E32=""),"",IFERROR(E32*INDEX(CONTRATOS!$AA$2:$AA$601,MATCH($A32,CONTRATOS!$A$2:$A$601,0)),""))</f>
        <v/>
      </c>
      <c r="N32" s="19">
        <f>IF($A32="","",SUMIFS($E$2:$E$601,$A$2:$A$601,$A32))</f>
        <v/>
      </c>
      <c r="O32" s="12">
        <f>IF($A32="","",IFERROR(INDEX(CONTRATOS!$F$2:$F$601,MATCH($A32,CONTRATOS!$A$2:$A$601,0)),""))</f>
        <v/>
      </c>
      <c r="P32" s="12">
        <f>IF($A32="","",IFERROR(INDEX(CONTRATOS!$M$2:$M$601,MATCH($A32,CONTRATOS!$A$2:$A$601,0)),""))</f>
        <v/>
      </c>
      <c r="Q32" s="12">
        <f>IF($A32="","",IF(COUNTIF(CONTRATOS!$A$2:$A$601,$A32)=0,"El contrato no existe en CONTRATOS; ","")&amp;IF($B32="","Falta sujeto; ",IF(COUNTIF(SUJETOS!$A$2:$A$601,$B32)=0,"El sujeto no existe en SUJETOS; ",""))&amp;IF($E32="","Falta porcentaje; ","")&amp;IF(N32&gt;1.0001,"Los porcentajes del contrato suman más de 100 %; ","")&amp;IF(AND($C32="Individual",$E32&lt;&gt;"",$E32&lt;&gt;1),"Individual debe ser 100 %; ","")&amp;IF(AND($C32&lt;&gt;"Individual",$C32&lt;&gt;"",$E32=1),"Consorcio o UT con 100 %: revise; ","")&amp;IF(COUNTIFS($A$2:$A$601,$A32,$B$2:$B$601,$B32)&gt;1,"Participación repetida; ","")&amp;IF(AND(IFERROR(INDEX(SUJETOS!$B$2:$B$601,MATCH($B32,SUJETOS!$A$2:$A$601,0)),"")="Persona natural",$G32=""),"Persona natural sin cargo; ",""))</f>
        <v/>
      </c>
      <c r="R32" s="12">
        <f>IF($A32="","",IFERROR(IF(LEN(INDEX(SUJETOS!$F$2:$F$601,MATCH($B32,SUJETOS!$A$2:$A$601,0)))&gt;0,INDEX(SUJETOS!$F$2:$F$601,MATCH($B32,SUJETOS!$A$2:$A$601,0)),$B32),$B32))</f>
        <v/>
      </c>
    </row>
    <row r="33">
      <c r="E33" s="18" t="n"/>
      <c r="K33" s="13">
        <f>IF(OR($A33="",$E33=""),"",IFERROR(E33*INDEX(CONTRATOS!$P$2:$P$601,MATCH($A33,CONTRATOS!$A$2:$A$601,0)),""))</f>
        <v/>
      </c>
      <c r="L33" s="17">
        <f>IF(OR($A33="",$E33=""),"",IFERROR(E33*INDEX(CONTRATOS!$Z$2:$Z$601,MATCH($A33,CONTRATOS!$A$2:$A$601,0)),""))</f>
        <v/>
      </c>
      <c r="M33" s="13">
        <f>IF(OR($A33="",$E33=""),"",IFERROR(E33*INDEX(CONTRATOS!$AA$2:$AA$601,MATCH($A33,CONTRATOS!$A$2:$A$601,0)),""))</f>
        <v/>
      </c>
      <c r="N33" s="19">
        <f>IF($A33="","",SUMIFS($E$2:$E$601,$A$2:$A$601,$A33))</f>
        <v/>
      </c>
      <c r="O33" s="12">
        <f>IF($A33="","",IFERROR(INDEX(CONTRATOS!$F$2:$F$601,MATCH($A33,CONTRATOS!$A$2:$A$601,0)),""))</f>
        <v/>
      </c>
      <c r="P33" s="12">
        <f>IF($A33="","",IFERROR(INDEX(CONTRATOS!$M$2:$M$601,MATCH($A33,CONTRATOS!$A$2:$A$601,0)),""))</f>
        <v/>
      </c>
      <c r="Q33" s="12">
        <f>IF($A33="","",IF(COUNTIF(CONTRATOS!$A$2:$A$601,$A33)=0,"El contrato no existe en CONTRATOS; ","")&amp;IF($B33="","Falta sujeto; ",IF(COUNTIF(SUJETOS!$A$2:$A$601,$B33)=0,"El sujeto no existe en SUJETOS; ",""))&amp;IF($E33="","Falta porcentaje; ","")&amp;IF(N33&gt;1.0001,"Los porcentajes del contrato suman más de 100 %; ","")&amp;IF(AND($C33="Individual",$E33&lt;&gt;"",$E33&lt;&gt;1),"Individual debe ser 100 %; ","")&amp;IF(AND($C33&lt;&gt;"Individual",$C33&lt;&gt;"",$E33=1),"Consorcio o UT con 100 %: revise; ","")&amp;IF(COUNTIFS($A$2:$A$601,$A33,$B$2:$B$601,$B33)&gt;1,"Participación repetida; ","")&amp;IF(AND(IFERROR(INDEX(SUJETOS!$B$2:$B$601,MATCH($B33,SUJETOS!$A$2:$A$601,0)),"")="Persona natural",$G33=""),"Persona natural sin cargo; ",""))</f>
        <v/>
      </c>
      <c r="R33" s="12">
        <f>IF($A33="","",IFERROR(IF(LEN(INDEX(SUJETOS!$F$2:$F$601,MATCH($B33,SUJETOS!$A$2:$A$601,0)))&gt;0,INDEX(SUJETOS!$F$2:$F$601,MATCH($B33,SUJETOS!$A$2:$A$601,0)),$B33),$B33))</f>
        <v/>
      </c>
    </row>
    <row r="34">
      <c r="E34" s="18" t="n"/>
      <c r="K34" s="13">
        <f>IF(OR($A34="",$E34=""),"",IFERROR(E34*INDEX(CONTRATOS!$P$2:$P$601,MATCH($A34,CONTRATOS!$A$2:$A$601,0)),""))</f>
        <v/>
      </c>
      <c r="L34" s="17">
        <f>IF(OR($A34="",$E34=""),"",IFERROR(E34*INDEX(CONTRATOS!$Z$2:$Z$601,MATCH($A34,CONTRATOS!$A$2:$A$601,0)),""))</f>
        <v/>
      </c>
      <c r="M34" s="13">
        <f>IF(OR($A34="",$E34=""),"",IFERROR(E34*INDEX(CONTRATOS!$AA$2:$AA$601,MATCH($A34,CONTRATOS!$A$2:$A$601,0)),""))</f>
        <v/>
      </c>
      <c r="N34" s="19">
        <f>IF($A34="","",SUMIFS($E$2:$E$601,$A$2:$A$601,$A34))</f>
        <v/>
      </c>
      <c r="O34" s="12">
        <f>IF($A34="","",IFERROR(INDEX(CONTRATOS!$F$2:$F$601,MATCH($A34,CONTRATOS!$A$2:$A$601,0)),""))</f>
        <v/>
      </c>
      <c r="P34" s="12">
        <f>IF($A34="","",IFERROR(INDEX(CONTRATOS!$M$2:$M$601,MATCH($A34,CONTRATOS!$A$2:$A$601,0)),""))</f>
        <v/>
      </c>
      <c r="Q34" s="12">
        <f>IF($A34="","",IF(COUNTIF(CONTRATOS!$A$2:$A$601,$A34)=0,"El contrato no existe en CONTRATOS; ","")&amp;IF($B34="","Falta sujeto; ",IF(COUNTIF(SUJETOS!$A$2:$A$601,$B34)=0,"El sujeto no existe en SUJETOS; ",""))&amp;IF($E34="","Falta porcentaje; ","")&amp;IF(N34&gt;1.0001,"Los porcentajes del contrato suman más de 100 %; ","")&amp;IF(AND($C34="Individual",$E34&lt;&gt;"",$E34&lt;&gt;1),"Individual debe ser 100 %; ","")&amp;IF(AND($C34&lt;&gt;"Individual",$C34&lt;&gt;"",$E34=1),"Consorcio o UT con 100 %: revise; ","")&amp;IF(COUNTIFS($A$2:$A$601,$A34,$B$2:$B$601,$B34)&gt;1,"Participación repetida; ","")&amp;IF(AND(IFERROR(INDEX(SUJETOS!$B$2:$B$601,MATCH($B34,SUJETOS!$A$2:$A$601,0)),"")="Persona natural",$G34=""),"Persona natural sin cargo; ",""))</f>
        <v/>
      </c>
      <c r="R34" s="12">
        <f>IF($A34="","",IFERROR(IF(LEN(INDEX(SUJETOS!$F$2:$F$601,MATCH($B34,SUJETOS!$A$2:$A$601,0)))&gt;0,INDEX(SUJETOS!$F$2:$F$601,MATCH($B34,SUJETOS!$A$2:$A$601,0)),$B34),$B34))</f>
        <v/>
      </c>
    </row>
    <row r="35">
      <c r="E35" s="18" t="n"/>
      <c r="K35" s="13">
        <f>IF(OR($A35="",$E35=""),"",IFERROR(E35*INDEX(CONTRATOS!$P$2:$P$601,MATCH($A35,CONTRATOS!$A$2:$A$601,0)),""))</f>
        <v/>
      </c>
      <c r="L35" s="17">
        <f>IF(OR($A35="",$E35=""),"",IFERROR(E35*INDEX(CONTRATOS!$Z$2:$Z$601,MATCH($A35,CONTRATOS!$A$2:$A$601,0)),""))</f>
        <v/>
      </c>
      <c r="M35" s="13">
        <f>IF(OR($A35="",$E35=""),"",IFERROR(E35*INDEX(CONTRATOS!$AA$2:$AA$601,MATCH($A35,CONTRATOS!$A$2:$A$601,0)),""))</f>
        <v/>
      </c>
      <c r="N35" s="19">
        <f>IF($A35="","",SUMIFS($E$2:$E$601,$A$2:$A$601,$A35))</f>
        <v/>
      </c>
      <c r="O35" s="12">
        <f>IF($A35="","",IFERROR(INDEX(CONTRATOS!$F$2:$F$601,MATCH($A35,CONTRATOS!$A$2:$A$601,0)),""))</f>
        <v/>
      </c>
      <c r="P35" s="12">
        <f>IF($A35="","",IFERROR(INDEX(CONTRATOS!$M$2:$M$601,MATCH($A35,CONTRATOS!$A$2:$A$601,0)),""))</f>
        <v/>
      </c>
      <c r="Q35" s="12">
        <f>IF($A35="","",IF(COUNTIF(CONTRATOS!$A$2:$A$601,$A35)=0,"El contrato no existe en CONTRATOS; ","")&amp;IF($B35="","Falta sujeto; ",IF(COUNTIF(SUJETOS!$A$2:$A$601,$B35)=0,"El sujeto no existe en SUJETOS; ",""))&amp;IF($E35="","Falta porcentaje; ","")&amp;IF(N35&gt;1.0001,"Los porcentajes del contrato suman más de 100 %; ","")&amp;IF(AND($C35="Individual",$E35&lt;&gt;"",$E35&lt;&gt;1),"Individual debe ser 100 %; ","")&amp;IF(AND($C35&lt;&gt;"Individual",$C35&lt;&gt;"",$E35=1),"Consorcio o UT con 100 %: revise; ","")&amp;IF(COUNTIFS($A$2:$A$601,$A35,$B$2:$B$601,$B35)&gt;1,"Participación repetida; ","")&amp;IF(AND(IFERROR(INDEX(SUJETOS!$B$2:$B$601,MATCH($B35,SUJETOS!$A$2:$A$601,0)),"")="Persona natural",$G35=""),"Persona natural sin cargo; ",""))</f>
        <v/>
      </c>
      <c r="R35" s="12">
        <f>IF($A35="","",IFERROR(IF(LEN(INDEX(SUJETOS!$F$2:$F$601,MATCH($B35,SUJETOS!$A$2:$A$601,0)))&gt;0,INDEX(SUJETOS!$F$2:$F$601,MATCH($B35,SUJETOS!$A$2:$A$601,0)),$B35),$B35))</f>
        <v/>
      </c>
    </row>
    <row r="36">
      <c r="E36" s="18" t="n"/>
      <c r="K36" s="13">
        <f>IF(OR($A36="",$E36=""),"",IFERROR(E36*INDEX(CONTRATOS!$P$2:$P$601,MATCH($A36,CONTRATOS!$A$2:$A$601,0)),""))</f>
        <v/>
      </c>
      <c r="L36" s="17">
        <f>IF(OR($A36="",$E36=""),"",IFERROR(E36*INDEX(CONTRATOS!$Z$2:$Z$601,MATCH($A36,CONTRATOS!$A$2:$A$601,0)),""))</f>
        <v/>
      </c>
      <c r="M36" s="13">
        <f>IF(OR($A36="",$E36=""),"",IFERROR(E36*INDEX(CONTRATOS!$AA$2:$AA$601,MATCH($A36,CONTRATOS!$A$2:$A$601,0)),""))</f>
        <v/>
      </c>
      <c r="N36" s="19">
        <f>IF($A36="","",SUMIFS($E$2:$E$601,$A$2:$A$601,$A36))</f>
        <v/>
      </c>
      <c r="O36" s="12">
        <f>IF($A36="","",IFERROR(INDEX(CONTRATOS!$F$2:$F$601,MATCH($A36,CONTRATOS!$A$2:$A$601,0)),""))</f>
        <v/>
      </c>
      <c r="P36" s="12">
        <f>IF($A36="","",IFERROR(INDEX(CONTRATOS!$M$2:$M$601,MATCH($A36,CONTRATOS!$A$2:$A$601,0)),""))</f>
        <v/>
      </c>
      <c r="Q36" s="12">
        <f>IF($A36="","",IF(COUNTIF(CONTRATOS!$A$2:$A$601,$A36)=0,"El contrato no existe en CONTRATOS; ","")&amp;IF($B36="","Falta sujeto; ",IF(COUNTIF(SUJETOS!$A$2:$A$601,$B36)=0,"El sujeto no existe en SUJETOS; ",""))&amp;IF($E36="","Falta porcentaje; ","")&amp;IF(N36&gt;1.0001,"Los porcentajes del contrato suman más de 100 %; ","")&amp;IF(AND($C36="Individual",$E36&lt;&gt;"",$E36&lt;&gt;1),"Individual debe ser 100 %; ","")&amp;IF(AND($C36&lt;&gt;"Individual",$C36&lt;&gt;"",$E36=1),"Consorcio o UT con 100 %: revise; ","")&amp;IF(COUNTIFS($A$2:$A$601,$A36,$B$2:$B$601,$B36)&gt;1,"Participación repetida; ","")&amp;IF(AND(IFERROR(INDEX(SUJETOS!$B$2:$B$601,MATCH($B36,SUJETOS!$A$2:$A$601,0)),"")="Persona natural",$G36=""),"Persona natural sin cargo; ",""))</f>
        <v/>
      </c>
      <c r="R36" s="12">
        <f>IF($A36="","",IFERROR(IF(LEN(INDEX(SUJETOS!$F$2:$F$601,MATCH($B36,SUJETOS!$A$2:$A$601,0)))&gt;0,INDEX(SUJETOS!$F$2:$F$601,MATCH($B36,SUJETOS!$A$2:$A$601,0)),$B36),$B36))</f>
        <v/>
      </c>
    </row>
    <row r="37">
      <c r="E37" s="18" t="n"/>
      <c r="K37" s="13">
        <f>IF(OR($A37="",$E37=""),"",IFERROR(E37*INDEX(CONTRATOS!$P$2:$P$601,MATCH($A37,CONTRATOS!$A$2:$A$601,0)),""))</f>
        <v/>
      </c>
      <c r="L37" s="17">
        <f>IF(OR($A37="",$E37=""),"",IFERROR(E37*INDEX(CONTRATOS!$Z$2:$Z$601,MATCH($A37,CONTRATOS!$A$2:$A$601,0)),""))</f>
        <v/>
      </c>
      <c r="M37" s="13">
        <f>IF(OR($A37="",$E37=""),"",IFERROR(E37*INDEX(CONTRATOS!$AA$2:$AA$601,MATCH($A37,CONTRATOS!$A$2:$A$601,0)),""))</f>
        <v/>
      </c>
      <c r="N37" s="19">
        <f>IF($A37="","",SUMIFS($E$2:$E$601,$A$2:$A$601,$A37))</f>
        <v/>
      </c>
      <c r="O37" s="12">
        <f>IF($A37="","",IFERROR(INDEX(CONTRATOS!$F$2:$F$601,MATCH($A37,CONTRATOS!$A$2:$A$601,0)),""))</f>
        <v/>
      </c>
      <c r="P37" s="12">
        <f>IF($A37="","",IFERROR(INDEX(CONTRATOS!$M$2:$M$601,MATCH($A37,CONTRATOS!$A$2:$A$601,0)),""))</f>
        <v/>
      </c>
      <c r="Q37" s="12">
        <f>IF($A37="","",IF(COUNTIF(CONTRATOS!$A$2:$A$601,$A37)=0,"El contrato no existe en CONTRATOS; ","")&amp;IF($B37="","Falta sujeto; ",IF(COUNTIF(SUJETOS!$A$2:$A$601,$B37)=0,"El sujeto no existe en SUJETOS; ",""))&amp;IF($E37="","Falta porcentaje; ","")&amp;IF(N37&gt;1.0001,"Los porcentajes del contrato suman más de 100 %; ","")&amp;IF(AND($C37="Individual",$E37&lt;&gt;"",$E37&lt;&gt;1),"Individual debe ser 100 %; ","")&amp;IF(AND($C37&lt;&gt;"Individual",$C37&lt;&gt;"",$E37=1),"Consorcio o UT con 100 %: revise; ","")&amp;IF(COUNTIFS($A$2:$A$601,$A37,$B$2:$B$601,$B37)&gt;1,"Participación repetida; ","")&amp;IF(AND(IFERROR(INDEX(SUJETOS!$B$2:$B$601,MATCH($B37,SUJETOS!$A$2:$A$601,0)),"")="Persona natural",$G37=""),"Persona natural sin cargo; ",""))</f>
        <v/>
      </c>
      <c r="R37" s="12">
        <f>IF($A37="","",IFERROR(IF(LEN(INDEX(SUJETOS!$F$2:$F$601,MATCH($B37,SUJETOS!$A$2:$A$601,0)))&gt;0,INDEX(SUJETOS!$F$2:$F$601,MATCH($B37,SUJETOS!$A$2:$A$601,0)),$B37),$B37))</f>
        <v/>
      </c>
    </row>
    <row r="38">
      <c r="E38" s="18" t="n"/>
      <c r="K38" s="13">
        <f>IF(OR($A38="",$E38=""),"",IFERROR(E38*INDEX(CONTRATOS!$P$2:$P$601,MATCH($A38,CONTRATOS!$A$2:$A$601,0)),""))</f>
        <v/>
      </c>
      <c r="L38" s="17">
        <f>IF(OR($A38="",$E38=""),"",IFERROR(E38*INDEX(CONTRATOS!$Z$2:$Z$601,MATCH($A38,CONTRATOS!$A$2:$A$601,0)),""))</f>
        <v/>
      </c>
      <c r="M38" s="13">
        <f>IF(OR($A38="",$E38=""),"",IFERROR(E38*INDEX(CONTRATOS!$AA$2:$AA$601,MATCH($A38,CONTRATOS!$A$2:$A$601,0)),""))</f>
        <v/>
      </c>
      <c r="N38" s="19">
        <f>IF($A38="","",SUMIFS($E$2:$E$601,$A$2:$A$601,$A38))</f>
        <v/>
      </c>
      <c r="O38" s="12">
        <f>IF($A38="","",IFERROR(INDEX(CONTRATOS!$F$2:$F$601,MATCH($A38,CONTRATOS!$A$2:$A$601,0)),""))</f>
        <v/>
      </c>
      <c r="P38" s="12">
        <f>IF($A38="","",IFERROR(INDEX(CONTRATOS!$M$2:$M$601,MATCH($A38,CONTRATOS!$A$2:$A$601,0)),""))</f>
        <v/>
      </c>
      <c r="Q38" s="12">
        <f>IF($A38="","",IF(COUNTIF(CONTRATOS!$A$2:$A$601,$A38)=0,"El contrato no existe en CONTRATOS; ","")&amp;IF($B38="","Falta sujeto; ",IF(COUNTIF(SUJETOS!$A$2:$A$601,$B38)=0,"El sujeto no existe en SUJETOS; ",""))&amp;IF($E38="","Falta porcentaje; ","")&amp;IF(N38&gt;1.0001,"Los porcentajes del contrato suman más de 100 %; ","")&amp;IF(AND($C38="Individual",$E38&lt;&gt;"",$E38&lt;&gt;1),"Individual debe ser 100 %; ","")&amp;IF(AND($C38&lt;&gt;"Individual",$C38&lt;&gt;"",$E38=1),"Consorcio o UT con 100 %: revise; ","")&amp;IF(COUNTIFS($A$2:$A$601,$A38,$B$2:$B$601,$B38)&gt;1,"Participación repetida; ","")&amp;IF(AND(IFERROR(INDEX(SUJETOS!$B$2:$B$601,MATCH($B38,SUJETOS!$A$2:$A$601,0)),"")="Persona natural",$G38=""),"Persona natural sin cargo; ",""))</f>
        <v/>
      </c>
      <c r="R38" s="12">
        <f>IF($A38="","",IFERROR(IF(LEN(INDEX(SUJETOS!$F$2:$F$601,MATCH($B38,SUJETOS!$A$2:$A$601,0)))&gt;0,INDEX(SUJETOS!$F$2:$F$601,MATCH($B38,SUJETOS!$A$2:$A$601,0)),$B38),$B38))</f>
        <v/>
      </c>
    </row>
    <row r="39">
      <c r="E39" s="18" t="n"/>
      <c r="K39" s="13">
        <f>IF(OR($A39="",$E39=""),"",IFERROR(E39*INDEX(CONTRATOS!$P$2:$P$601,MATCH($A39,CONTRATOS!$A$2:$A$601,0)),""))</f>
        <v/>
      </c>
      <c r="L39" s="17">
        <f>IF(OR($A39="",$E39=""),"",IFERROR(E39*INDEX(CONTRATOS!$Z$2:$Z$601,MATCH($A39,CONTRATOS!$A$2:$A$601,0)),""))</f>
        <v/>
      </c>
      <c r="M39" s="13">
        <f>IF(OR($A39="",$E39=""),"",IFERROR(E39*INDEX(CONTRATOS!$AA$2:$AA$601,MATCH($A39,CONTRATOS!$A$2:$A$601,0)),""))</f>
        <v/>
      </c>
      <c r="N39" s="19">
        <f>IF($A39="","",SUMIFS($E$2:$E$601,$A$2:$A$601,$A39))</f>
        <v/>
      </c>
      <c r="O39" s="12">
        <f>IF($A39="","",IFERROR(INDEX(CONTRATOS!$F$2:$F$601,MATCH($A39,CONTRATOS!$A$2:$A$601,0)),""))</f>
        <v/>
      </c>
      <c r="P39" s="12">
        <f>IF($A39="","",IFERROR(INDEX(CONTRATOS!$M$2:$M$601,MATCH($A39,CONTRATOS!$A$2:$A$601,0)),""))</f>
        <v/>
      </c>
      <c r="Q39" s="12">
        <f>IF($A39="","",IF(COUNTIF(CONTRATOS!$A$2:$A$601,$A39)=0,"El contrato no existe en CONTRATOS; ","")&amp;IF($B39="","Falta sujeto; ",IF(COUNTIF(SUJETOS!$A$2:$A$601,$B39)=0,"El sujeto no existe en SUJETOS; ",""))&amp;IF($E39="","Falta porcentaje; ","")&amp;IF(N39&gt;1.0001,"Los porcentajes del contrato suman más de 100 %; ","")&amp;IF(AND($C39="Individual",$E39&lt;&gt;"",$E39&lt;&gt;1),"Individual debe ser 100 %; ","")&amp;IF(AND($C39&lt;&gt;"Individual",$C39&lt;&gt;"",$E39=1),"Consorcio o UT con 100 %: revise; ","")&amp;IF(COUNTIFS($A$2:$A$601,$A39,$B$2:$B$601,$B39)&gt;1,"Participación repetida; ","")&amp;IF(AND(IFERROR(INDEX(SUJETOS!$B$2:$B$601,MATCH($B39,SUJETOS!$A$2:$A$601,0)),"")="Persona natural",$G39=""),"Persona natural sin cargo; ",""))</f>
        <v/>
      </c>
      <c r="R39" s="12">
        <f>IF($A39="","",IFERROR(IF(LEN(INDEX(SUJETOS!$F$2:$F$601,MATCH($B39,SUJETOS!$A$2:$A$601,0)))&gt;0,INDEX(SUJETOS!$F$2:$F$601,MATCH($B39,SUJETOS!$A$2:$A$601,0)),$B39),$B39))</f>
        <v/>
      </c>
    </row>
    <row r="40">
      <c r="E40" s="18" t="n"/>
      <c r="K40" s="13">
        <f>IF(OR($A40="",$E40=""),"",IFERROR(E40*INDEX(CONTRATOS!$P$2:$P$601,MATCH($A40,CONTRATOS!$A$2:$A$601,0)),""))</f>
        <v/>
      </c>
      <c r="L40" s="17">
        <f>IF(OR($A40="",$E40=""),"",IFERROR(E40*INDEX(CONTRATOS!$Z$2:$Z$601,MATCH($A40,CONTRATOS!$A$2:$A$601,0)),""))</f>
        <v/>
      </c>
      <c r="M40" s="13">
        <f>IF(OR($A40="",$E40=""),"",IFERROR(E40*INDEX(CONTRATOS!$AA$2:$AA$601,MATCH($A40,CONTRATOS!$A$2:$A$601,0)),""))</f>
        <v/>
      </c>
      <c r="N40" s="19">
        <f>IF($A40="","",SUMIFS($E$2:$E$601,$A$2:$A$601,$A40))</f>
        <v/>
      </c>
      <c r="O40" s="12">
        <f>IF($A40="","",IFERROR(INDEX(CONTRATOS!$F$2:$F$601,MATCH($A40,CONTRATOS!$A$2:$A$601,0)),""))</f>
        <v/>
      </c>
      <c r="P40" s="12">
        <f>IF($A40="","",IFERROR(INDEX(CONTRATOS!$M$2:$M$601,MATCH($A40,CONTRATOS!$A$2:$A$601,0)),""))</f>
        <v/>
      </c>
      <c r="Q40" s="12">
        <f>IF($A40="","",IF(COUNTIF(CONTRATOS!$A$2:$A$601,$A40)=0,"El contrato no existe en CONTRATOS; ","")&amp;IF($B40="","Falta sujeto; ",IF(COUNTIF(SUJETOS!$A$2:$A$601,$B40)=0,"El sujeto no existe en SUJETOS; ",""))&amp;IF($E40="","Falta porcentaje; ","")&amp;IF(N40&gt;1.0001,"Los porcentajes del contrato suman más de 100 %; ","")&amp;IF(AND($C40="Individual",$E40&lt;&gt;"",$E40&lt;&gt;1),"Individual debe ser 100 %; ","")&amp;IF(AND($C40&lt;&gt;"Individual",$C40&lt;&gt;"",$E40=1),"Consorcio o UT con 100 %: revise; ","")&amp;IF(COUNTIFS($A$2:$A$601,$A40,$B$2:$B$601,$B40)&gt;1,"Participación repetida; ","")&amp;IF(AND(IFERROR(INDEX(SUJETOS!$B$2:$B$601,MATCH($B40,SUJETOS!$A$2:$A$601,0)),"")="Persona natural",$G40=""),"Persona natural sin cargo; ",""))</f>
        <v/>
      </c>
      <c r="R40" s="12">
        <f>IF($A40="","",IFERROR(IF(LEN(INDEX(SUJETOS!$F$2:$F$601,MATCH($B40,SUJETOS!$A$2:$A$601,0)))&gt;0,INDEX(SUJETOS!$F$2:$F$601,MATCH($B40,SUJETOS!$A$2:$A$601,0)),$B40),$B40))</f>
        <v/>
      </c>
    </row>
    <row r="41">
      <c r="E41" s="18" t="n"/>
      <c r="K41" s="13">
        <f>IF(OR($A41="",$E41=""),"",IFERROR(E41*INDEX(CONTRATOS!$P$2:$P$601,MATCH($A41,CONTRATOS!$A$2:$A$601,0)),""))</f>
        <v/>
      </c>
      <c r="L41" s="17">
        <f>IF(OR($A41="",$E41=""),"",IFERROR(E41*INDEX(CONTRATOS!$Z$2:$Z$601,MATCH($A41,CONTRATOS!$A$2:$A$601,0)),""))</f>
        <v/>
      </c>
      <c r="M41" s="13">
        <f>IF(OR($A41="",$E41=""),"",IFERROR(E41*INDEX(CONTRATOS!$AA$2:$AA$601,MATCH($A41,CONTRATOS!$A$2:$A$601,0)),""))</f>
        <v/>
      </c>
      <c r="N41" s="19">
        <f>IF($A41="","",SUMIFS($E$2:$E$601,$A$2:$A$601,$A41))</f>
        <v/>
      </c>
      <c r="O41" s="12">
        <f>IF($A41="","",IFERROR(INDEX(CONTRATOS!$F$2:$F$601,MATCH($A41,CONTRATOS!$A$2:$A$601,0)),""))</f>
        <v/>
      </c>
      <c r="P41" s="12">
        <f>IF($A41="","",IFERROR(INDEX(CONTRATOS!$M$2:$M$601,MATCH($A41,CONTRATOS!$A$2:$A$601,0)),""))</f>
        <v/>
      </c>
      <c r="Q41" s="12">
        <f>IF($A41="","",IF(COUNTIF(CONTRATOS!$A$2:$A$601,$A41)=0,"El contrato no existe en CONTRATOS; ","")&amp;IF($B41="","Falta sujeto; ",IF(COUNTIF(SUJETOS!$A$2:$A$601,$B41)=0,"El sujeto no existe en SUJETOS; ",""))&amp;IF($E41="","Falta porcentaje; ","")&amp;IF(N41&gt;1.0001,"Los porcentajes del contrato suman más de 100 %; ","")&amp;IF(AND($C41="Individual",$E41&lt;&gt;"",$E41&lt;&gt;1),"Individual debe ser 100 %; ","")&amp;IF(AND($C41&lt;&gt;"Individual",$C41&lt;&gt;"",$E41=1),"Consorcio o UT con 100 %: revise; ","")&amp;IF(COUNTIFS($A$2:$A$601,$A41,$B$2:$B$601,$B41)&gt;1,"Participación repetida; ","")&amp;IF(AND(IFERROR(INDEX(SUJETOS!$B$2:$B$601,MATCH($B41,SUJETOS!$A$2:$A$601,0)),"")="Persona natural",$G41=""),"Persona natural sin cargo; ",""))</f>
        <v/>
      </c>
      <c r="R41" s="12">
        <f>IF($A41="","",IFERROR(IF(LEN(INDEX(SUJETOS!$F$2:$F$601,MATCH($B41,SUJETOS!$A$2:$A$601,0)))&gt;0,INDEX(SUJETOS!$F$2:$F$601,MATCH($B41,SUJETOS!$A$2:$A$601,0)),$B41),$B41))</f>
        <v/>
      </c>
    </row>
    <row r="42">
      <c r="E42" s="18" t="n"/>
      <c r="K42" s="13">
        <f>IF(OR($A42="",$E42=""),"",IFERROR(E42*INDEX(CONTRATOS!$P$2:$P$601,MATCH($A42,CONTRATOS!$A$2:$A$601,0)),""))</f>
        <v/>
      </c>
      <c r="L42" s="17">
        <f>IF(OR($A42="",$E42=""),"",IFERROR(E42*INDEX(CONTRATOS!$Z$2:$Z$601,MATCH($A42,CONTRATOS!$A$2:$A$601,0)),""))</f>
        <v/>
      </c>
      <c r="M42" s="13">
        <f>IF(OR($A42="",$E42=""),"",IFERROR(E42*INDEX(CONTRATOS!$AA$2:$AA$601,MATCH($A42,CONTRATOS!$A$2:$A$601,0)),""))</f>
        <v/>
      </c>
      <c r="N42" s="19">
        <f>IF($A42="","",SUMIFS($E$2:$E$601,$A$2:$A$601,$A42))</f>
        <v/>
      </c>
      <c r="O42" s="12">
        <f>IF($A42="","",IFERROR(INDEX(CONTRATOS!$F$2:$F$601,MATCH($A42,CONTRATOS!$A$2:$A$601,0)),""))</f>
        <v/>
      </c>
      <c r="P42" s="12">
        <f>IF($A42="","",IFERROR(INDEX(CONTRATOS!$M$2:$M$601,MATCH($A42,CONTRATOS!$A$2:$A$601,0)),""))</f>
        <v/>
      </c>
      <c r="Q42" s="12">
        <f>IF($A42="","",IF(COUNTIF(CONTRATOS!$A$2:$A$601,$A42)=0,"El contrato no existe en CONTRATOS; ","")&amp;IF($B42="","Falta sujeto; ",IF(COUNTIF(SUJETOS!$A$2:$A$601,$B42)=0,"El sujeto no existe en SUJETOS; ",""))&amp;IF($E42="","Falta porcentaje; ","")&amp;IF(N42&gt;1.0001,"Los porcentajes del contrato suman más de 100 %; ","")&amp;IF(AND($C42="Individual",$E42&lt;&gt;"",$E42&lt;&gt;1),"Individual debe ser 100 %; ","")&amp;IF(AND($C42&lt;&gt;"Individual",$C42&lt;&gt;"",$E42=1),"Consorcio o UT con 100 %: revise; ","")&amp;IF(COUNTIFS($A$2:$A$601,$A42,$B$2:$B$601,$B42)&gt;1,"Participación repetida; ","")&amp;IF(AND(IFERROR(INDEX(SUJETOS!$B$2:$B$601,MATCH($B42,SUJETOS!$A$2:$A$601,0)),"")="Persona natural",$G42=""),"Persona natural sin cargo; ",""))</f>
        <v/>
      </c>
      <c r="R42" s="12">
        <f>IF($A42="","",IFERROR(IF(LEN(INDEX(SUJETOS!$F$2:$F$601,MATCH($B42,SUJETOS!$A$2:$A$601,0)))&gt;0,INDEX(SUJETOS!$F$2:$F$601,MATCH($B42,SUJETOS!$A$2:$A$601,0)),$B42),$B42))</f>
        <v/>
      </c>
    </row>
    <row r="43">
      <c r="E43" s="18" t="n"/>
      <c r="K43" s="13">
        <f>IF(OR($A43="",$E43=""),"",IFERROR(E43*INDEX(CONTRATOS!$P$2:$P$601,MATCH($A43,CONTRATOS!$A$2:$A$601,0)),""))</f>
        <v/>
      </c>
      <c r="L43" s="17">
        <f>IF(OR($A43="",$E43=""),"",IFERROR(E43*INDEX(CONTRATOS!$Z$2:$Z$601,MATCH($A43,CONTRATOS!$A$2:$A$601,0)),""))</f>
        <v/>
      </c>
      <c r="M43" s="13">
        <f>IF(OR($A43="",$E43=""),"",IFERROR(E43*INDEX(CONTRATOS!$AA$2:$AA$601,MATCH($A43,CONTRATOS!$A$2:$A$601,0)),""))</f>
        <v/>
      </c>
      <c r="N43" s="19">
        <f>IF($A43="","",SUMIFS($E$2:$E$601,$A$2:$A$601,$A43))</f>
        <v/>
      </c>
      <c r="O43" s="12">
        <f>IF($A43="","",IFERROR(INDEX(CONTRATOS!$F$2:$F$601,MATCH($A43,CONTRATOS!$A$2:$A$601,0)),""))</f>
        <v/>
      </c>
      <c r="P43" s="12">
        <f>IF($A43="","",IFERROR(INDEX(CONTRATOS!$M$2:$M$601,MATCH($A43,CONTRATOS!$A$2:$A$601,0)),""))</f>
        <v/>
      </c>
      <c r="Q43" s="12">
        <f>IF($A43="","",IF(COUNTIF(CONTRATOS!$A$2:$A$601,$A43)=0,"El contrato no existe en CONTRATOS; ","")&amp;IF($B43="","Falta sujeto; ",IF(COUNTIF(SUJETOS!$A$2:$A$601,$B43)=0,"El sujeto no existe en SUJETOS; ",""))&amp;IF($E43="","Falta porcentaje; ","")&amp;IF(N43&gt;1.0001,"Los porcentajes del contrato suman más de 100 %; ","")&amp;IF(AND($C43="Individual",$E43&lt;&gt;"",$E43&lt;&gt;1),"Individual debe ser 100 %; ","")&amp;IF(AND($C43&lt;&gt;"Individual",$C43&lt;&gt;"",$E43=1),"Consorcio o UT con 100 %: revise; ","")&amp;IF(COUNTIFS($A$2:$A$601,$A43,$B$2:$B$601,$B43)&gt;1,"Participación repetida; ","")&amp;IF(AND(IFERROR(INDEX(SUJETOS!$B$2:$B$601,MATCH($B43,SUJETOS!$A$2:$A$601,0)),"")="Persona natural",$G43=""),"Persona natural sin cargo; ",""))</f>
        <v/>
      </c>
      <c r="R43" s="12">
        <f>IF($A43="","",IFERROR(IF(LEN(INDEX(SUJETOS!$F$2:$F$601,MATCH($B43,SUJETOS!$A$2:$A$601,0)))&gt;0,INDEX(SUJETOS!$F$2:$F$601,MATCH($B43,SUJETOS!$A$2:$A$601,0)),$B43),$B43))</f>
        <v/>
      </c>
    </row>
    <row r="44">
      <c r="E44" s="18" t="n"/>
      <c r="K44" s="13">
        <f>IF(OR($A44="",$E44=""),"",IFERROR(E44*INDEX(CONTRATOS!$P$2:$P$601,MATCH($A44,CONTRATOS!$A$2:$A$601,0)),""))</f>
        <v/>
      </c>
      <c r="L44" s="17">
        <f>IF(OR($A44="",$E44=""),"",IFERROR(E44*INDEX(CONTRATOS!$Z$2:$Z$601,MATCH($A44,CONTRATOS!$A$2:$A$601,0)),""))</f>
        <v/>
      </c>
      <c r="M44" s="13">
        <f>IF(OR($A44="",$E44=""),"",IFERROR(E44*INDEX(CONTRATOS!$AA$2:$AA$601,MATCH($A44,CONTRATOS!$A$2:$A$601,0)),""))</f>
        <v/>
      </c>
      <c r="N44" s="19">
        <f>IF($A44="","",SUMIFS($E$2:$E$601,$A$2:$A$601,$A44))</f>
        <v/>
      </c>
      <c r="O44" s="12">
        <f>IF($A44="","",IFERROR(INDEX(CONTRATOS!$F$2:$F$601,MATCH($A44,CONTRATOS!$A$2:$A$601,0)),""))</f>
        <v/>
      </c>
      <c r="P44" s="12">
        <f>IF($A44="","",IFERROR(INDEX(CONTRATOS!$M$2:$M$601,MATCH($A44,CONTRATOS!$A$2:$A$601,0)),""))</f>
        <v/>
      </c>
      <c r="Q44" s="12">
        <f>IF($A44="","",IF(COUNTIF(CONTRATOS!$A$2:$A$601,$A44)=0,"El contrato no existe en CONTRATOS; ","")&amp;IF($B44="","Falta sujeto; ",IF(COUNTIF(SUJETOS!$A$2:$A$601,$B44)=0,"El sujeto no existe en SUJETOS; ",""))&amp;IF($E44="","Falta porcentaje; ","")&amp;IF(N44&gt;1.0001,"Los porcentajes del contrato suman más de 100 %; ","")&amp;IF(AND($C44="Individual",$E44&lt;&gt;"",$E44&lt;&gt;1),"Individual debe ser 100 %; ","")&amp;IF(AND($C44&lt;&gt;"Individual",$C44&lt;&gt;"",$E44=1),"Consorcio o UT con 100 %: revise; ","")&amp;IF(COUNTIFS($A$2:$A$601,$A44,$B$2:$B$601,$B44)&gt;1,"Participación repetida; ","")&amp;IF(AND(IFERROR(INDEX(SUJETOS!$B$2:$B$601,MATCH($B44,SUJETOS!$A$2:$A$601,0)),"")="Persona natural",$G44=""),"Persona natural sin cargo; ",""))</f>
        <v/>
      </c>
      <c r="R44" s="12">
        <f>IF($A44="","",IFERROR(IF(LEN(INDEX(SUJETOS!$F$2:$F$601,MATCH($B44,SUJETOS!$A$2:$A$601,0)))&gt;0,INDEX(SUJETOS!$F$2:$F$601,MATCH($B44,SUJETOS!$A$2:$A$601,0)),$B44),$B44))</f>
        <v/>
      </c>
    </row>
    <row r="45">
      <c r="E45" s="18" t="n"/>
      <c r="K45" s="13">
        <f>IF(OR($A45="",$E45=""),"",IFERROR(E45*INDEX(CONTRATOS!$P$2:$P$601,MATCH($A45,CONTRATOS!$A$2:$A$601,0)),""))</f>
        <v/>
      </c>
      <c r="L45" s="17">
        <f>IF(OR($A45="",$E45=""),"",IFERROR(E45*INDEX(CONTRATOS!$Z$2:$Z$601,MATCH($A45,CONTRATOS!$A$2:$A$601,0)),""))</f>
        <v/>
      </c>
      <c r="M45" s="13">
        <f>IF(OR($A45="",$E45=""),"",IFERROR(E45*INDEX(CONTRATOS!$AA$2:$AA$601,MATCH($A45,CONTRATOS!$A$2:$A$601,0)),""))</f>
        <v/>
      </c>
      <c r="N45" s="19">
        <f>IF($A45="","",SUMIFS($E$2:$E$601,$A$2:$A$601,$A45))</f>
        <v/>
      </c>
      <c r="O45" s="12">
        <f>IF($A45="","",IFERROR(INDEX(CONTRATOS!$F$2:$F$601,MATCH($A45,CONTRATOS!$A$2:$A$601,0)),""))</f>
        <v/>
      </c>
      <c r="P45" s="12">
        <f>IF($A45="","",IFERROR(INDEX(CONTRATOS!$M$2:$M$601,MATCH($A45,CONTRATOS!$A$2:$A$601,0)),""))</f>
        <v/>
      </c>
      <c r="Q45" s="12">
        <f>IF($A45="","",IF(COUNTIF(CONTRATOS!$A$2:$A$601,$A45)=0,"El contrato no existe en CONTRATOS; ","")&amp;IF($B45="","Falta sujeto; ",IF(COUNTIF(SUJETOS!$A$2:$A$601,$B45)=0,"El sujeto no existe en SUJETOS; ",""))&amp;IF($E45="","Falta porcentaje; ","")&amp;IF(N45&gt;1.0001,"Los porcentajes del contrato suman más de 100 %; ","")&amp;IF(AND($C45="Individual",$E45&lt;&gt;"",$E45&lt;&gt;1),"Individual debe ser 100 %; ","")&amp;IF(AND($C45&lt;&gt;"Individual",$C45&lt;&gt;"",$E45=1),"Consorcio o UT con 100 %: revise; ","")&amp;IF(COUNTIFS($A$2:$A$601,$A45,$B$2:$B$601,$B45)&gt;1,"Participación repetida; ","")&amp;IF(AND(IFERROR(INDEX(SUJETOS!$B$2:$B$601,MATCH($B45,SUJETOS!$A$2:$A$601,0)),"")="Persona natural",$G45=""),"Persona natural sin cargo; ",""))</f>
        <v/>
      </c>
      <c r="R45" s="12">
        <f>IF($A45="","",IFERROR(IF(LEN(INDEX(SUJETOS!$F$2:$F$601,MATCH($B45,SUJETOS!$A$2:$A$601,0)))&gt;0,INDEX(SUJETOS!$F$2:$F$601,MATCH($B45,SUJETOS!$A$2:$A$601,0)),$B45),$B45))</f>
        <v/>
      </c>
    </row>
    <row r="46">
      <c r="E46" s="18" t="n"/>
      <c r="K46" s="13">
        <f>IF(OR($A46="",$E46=""),"",IFERROR(E46*INDEX(CONTRATOS!$P$2:$P$601,MATCH($A46,CONTRATOS!$A$2:$A$601,0)),""))</f>
        <v/>
      </c>
      <c r="L46" s="17">
        <f>IF(OR($A46="",$E46=""),"",IFERROR(E46*INDEX(CONTRATOS!$Z$2:$Z$601,MATCH($A46,CONTRATOS!$A$2:$A$601,0)),""))</f>
        <v/>
      </c>
      <c r="M46" s="13">
        <f>IF(OR($A46="",$E46=""),"",IFERROR(E46*INDEX(CONTRATOS!$AA$2:$AA$601,MATCH($A46,CONTRATOS!$A$2:$A$601,0)),""))</f>
        <v/>
      </c>
      <c r="N46" s="19">
        <f>IF($A46="","",SUMIFS($E$2:$E$601,$A$2:$A$601,$A46))</f>
        <v/>
      </c>
      <c r="O46" s="12">
        <f>IF($A46="","",IFERROR(INDEX(CONTRATOS!$F$2:$F$601,MATCH($A46,CONTRATOS!$A$2:$A$601,0)),""))</f>
        <v/>
      </c>
      <c r="P46" s="12">
        <f>IF($A46="","",IFERROR(INDEX(CONTRATOS!$M$2:$M$601,MATCH($A46,CONTRATOS!$A$2:$A$601,0)),""))</f>
        <v/>
      </c>
      <c r="Q46" s="12">
        <f>IF($A46="","",IF(COUNTIF(CONTRATOS!$A$2:$A$601,$A46)=0,"El contrato no existe en CONTRATOS; ","")&amp;IF($B46="","Falta sujeto; ",IF(COUNTIF(SUJETOS!$A$2:$A$601,$B46)=0,"El sujeto no existe en SUJETOS; ",""))&amp;IF($E46="","Falta porcentaje; ","")&amp;IF(N46&gt;1.0001,"Los porcentajes del contrato suman más de 100 %; ","")&amp;IF(AND($C46="Individual",$E46&lt;&gt;"",$E46&lt;&gt;1),"Individual debe ser 100 %; ","")&amp;IF(AND($C46&lt;&gt;"Individual",$C46&lt;&gt;"",$E46=1),"Consorcio o UT con 100 %: revise; ","")&amp;IF(COUNTIFS($A$2:$A$601,$A46,$B$2:$B$601,$B46)&gt;1,"Participación repetida; ","")&amp;IF(AND(IFERROR(INDEX(SUJETOS!$B$2:$B$601,MATCH($B46,SUJETOS!$A$2:$A$601,0)),"")="Persona natural",$G46=""),"Persona natural sin cargo; ",""))</f>
        <v/>
      </c>
      <c r="R46" s="12">
        <f>IF($A46="","",IFERROR(IF(LEN(INDEX(SUJETOS!$F$2:$F$601,MATCH($B46,SUJETOS!$A$2:$A$601,0)))&gt;0,INDEX(SUJETOS!$F$2:$F$601,MATCH($B46,SUJETOS!$A$2:$A$601,0)),$B46),$B46))</f>
        <v/>
      </c>
    </row>
    <row r="47">
      <c r="E47" s="18" t="n"/>
      <c r="K47" s="13">
        <f>IF(OR($A47="",$E47=""),"",IFERROR(E47*INDEX(CONTRATOS!$P$2:$P$601,MATCH($A47,CONTRATOS!$A$2:$A$601,0)),""))</f>
        <v/>
      </c>
      <c r="L47" s="17">
        <f>IF(OR($A47="",$E47=""),"",IFERROR(E47*INDEX(CONTRATOS!$Z$2:$Z$601,MATCH($A47,CONTRATOS!$A$2:$A$601,0)),""))</f>
        <v/>
      </c>
      <c r="M47" s="13">
        <f>IF(OR($A47="",$E47=""),"",IFERROR(E47*INDEX(CONTRATOS!$AA$2:$AA$601,MATCH($A47,CONTRATOS!$A$2:$A$601,0)),""))</f>
        <v/>
      </c>
      <c r="N47" s="19">
        <f>IF($A47="","",SUMIFS($E$2:$E$601,$A$2:$A$601,$A47))</f>
        <v/>
      </c>
      <c r="O47" s="12">
        <f>IF($A47="","",IFERROR(INDEX(CONTRATOS!$F$2:$F$601,MATCH($A47,CONTRATOS!$A$2:$A$601,0)),""))</f>
        <v/>
      </c>
      <c r="P47" s="12">
        <f>IF($A47="","",IFERROR(INDEX(CONTRATOS!$M$2:$M$601,MATCH($A47,CONTRATOS!$A$2:$A$601,0)),""))</f>
        <v/>
      </c>
      <c r="Q47" s="12">
        <f>IF($A47="","",IF(COUNTIF(CONTRATOS!$A$2:$A$601,$A47)=0,"El contrato no existe en CONTRATOS; ","")&amp;IF($B47="","Falta sujeto; ",IF(COUNTIF(SUJETOS!$A$2:$A$601,$B47)=0,"El sujeto no existe en SUJETOS; ",""))&amp;IF($E47="","Falta porcentaje; ","")&amp;IF(N47&gt;1.0001,"Los porcentajes del contrato suman más de 100 %; ","")&amp;IF(AND($C47="Individual",$E47&lt;&gt;"",$E47&lt;&gt;1),"Individual debe ser 100 %; ","")&amp;IF(AND($C47&lt;&gt;"Individual",$C47&lt;&gt;"",$E47=1),"Consorcio o UT con 100 %: revise; ","")&amp;IF(COUNTIFS($A$2:$A$601,$A47,$B$2:$B$601,$B47)&gt;1,"Participación repetida; ","")&amp;IF(AND(IFERROR(INDEX(SUJETOS!$B$2:$B$601,MATCH($B47,SUJETOS!$A$2:$A$601,0)),"")="Persona natural",$G47=""),"Persona natural sin cargo; ",""))</f>
        <v/>
      </c>
      <c r="R47" s="12">
        <f>IF($A47="","",IFERROR(IF(LEN(INDEX(SUJETOS!$F$2:$F$601,MATCH($B47,SUJETOS!$A$2:$A$601,0)))&gt;0,INDEX(SUJETOS!$F$2:$F$601,MATCH($B47,SUJETOS!$A$2:$A$601,0)),$B47),$B47))</f>
        <v/>
      </c>
    </row>
    <row r="48">
      <c r="E48" s="18" t="n"/>
      <c r="K48" s="13">
        <f>IF(OR($A48="",$E48=""),"",IFERROR(E48*INDEX(CONTRATOS!$P$2:$P$601,MATCH($A48,CONTRATOS!$A$2:$A$601,0)),""))</f>
        <v/>
      </c>
      <c r="L48" s="17">
        <f>IF(OR($A48="",$E48=""),"",IFERROR(E48*INDEX(CONTRATOS!$Z$2:$Z$601,MATCH($A48,CONTRATOS!$A$2:$A$601,0)),""))</f>
        <v/>
      </c>
      <c r="M48" s="13">
        <f>IF(OR($A48="",$E48=""),"",IFERROR(E48*INDEX(CONTRATOS!$AA$2:$AA$601,MATCH($A48,CONTRATOS!$A$2:$A$601,0)),""))</f>
        <v/>
      </c>
      <c r="N48" s="19">
        <f>IF($A48="","",SUMIFS($E$2:$E$601,$A$2:$A$601,$A48))</f>
        <v/>
      </c>
      <c r="O48" s="12">
        <f>IF($A48="","",IFERROR(INDEX(CONTRATOS!$F$2:$F$601,MATCH($A48,CONTRATOS!$A$2:$A$601,0)),""))</f>
        <v/>
      </c>
      <c r="P48" s="12">
        <f>IF($A48="","",IFERROR(INDEX(CONTRATOS!$M$2:$M$601,MATCH($A48,CONTRATOS!$A$2:$A$601,0)),""))</f>
        <v/>
      </c>
      <c r="Q48" s="12">
        <f>IF($A48="","",IF(COUNTIF(CONTRATOS!$A$2:$A$601,$A48)=0,"El contrato no existe en CONTRATOS; ","")&amp;IF($B48="","Falta sujeto; ",IF(COUNTIF(SUJETOS!$A$2:$A$601,$B48)=0,"El sujeto no existe en SUJETOS; ",""))&amp;IF($E48="","Falta porcentaje; ","")&amp;IF(N48&gt;1.0001,"Los porcentajes del contrato suman más de 100 %; ","")&amp;IF(AND($C48="Individual",$E48&lt;&gt;"",$E48&lt;&gt;1),"Individual debe ser 100 %; ","")&amp;IF(AND($C48&lt;&gt;"Individual",$C48&lt;&gt;"",$E48=1),"Consorcio o UT con 100 %: revise; ","")&amp;IF(COUNTIFS($A$2:$A$601,$A48,$B$2:$B$601,$B48)&gt;1,"Participación repetida; ","")&amp;IF(AND(IFERROR(INDEX(SUJETOS!$B$2:$B$601,MATCH($B48,SUJETOS!$A$2:$A$601,0)),"")="Persona natural",$G48=""),"Persona natural sin cargo; ",""))</f>
        <v/>
      </c>
      <c r="R48" s="12">
        <f>IF($A48="","",IFERROR(IF(LEN(INDEX(SUJETOS!$F$2:$F$601,MATCH($B48,SUJETOS!$A$2:$A$601,0)))&gt;0,INDEX(SUJETOS!$F$2:$F$601,MATCH($B48,SUJETOS!$A$2:$A$601,0)),$B48),$B48))</f>
        <v/>
      </c>
    </row>
    <row r="49">
      <c r="E49" s="18" t="n"/>
      <c r="K49" s="13">
        <f>IF(OR($A49="",$E49=""),"",IFERROR(E49*INDEX(CONTRATOS!$P$2:$P$601,MATCH($A49,CONTRATOS!$A$2:$A$601,0)),""))</f>
        <v/>
      </c>
      <c r="L49" s="17">
        <f>IF(OR($A49="",$E49=""),"",IFERROR(E49*INDEX(CONTRATOS!$Z$2:$Z$601,MATCH($A49,CONTRATOS!$A$2:$A$601,0)),""))</f>
        <v/>
      </c>
      <c r="M49" s="13">
        <f>IF(OR($A49="",$E49=""),"",IFERROR(E49*INDEX(CONTRATOS!$AA$2:$AA$601,MATCH($A49,CONTRATOS!$A$2:$A$601,0)),""))</f>
        <v/>
      </c>
      <c r="N49" s="19">
        <f>IF($A49="","",SUMIFS($E$2:$E$601,$A$2:$A$601,$A49))</f>
        <v/>
      </c>
      <c r="O49" s="12">
        <f>IF($A49="","",IFERROR(INDEX(CONTRATOS!$F$2:$F$601,MATCH($A49,CONTRATOS!$A$2:$A$601,0)),""))</f>
        <v/>
      </c>
      <c r="P49" s="12">
        <f>IF($A49="","",IFERROR(INDEX(CONTRATOS!$M$2:$M$601,MATCH($A49,CONTRATOS!$A$2:$A$601,0)),""))</f>
        <v/>
      </c>
      <c r="Q49" s="12">
        <f>IF($A49="","",IF(COUNTIF(CONTRATOS!$A$2:$A$601,$A49)=0,"El contrato no existe en CONTRATOS; ","")&amp;IF($B49="","Falta sujeto; ",IF(COUNTIF(SUJETOS!$A$2:$A$601,$B49)=0,"El sujeto no existe en SUJETOS; ",""))&amp;IF($E49="","Falta porcentaje; ","")&amp;IF(N49&gt;1.0001,"Los porcentajes del contrato suman más de 100 %; ","")&amp;IF(AND($C49="Individual",$E49&lt;&gt;"",$E49&lt;&gt;1),"Individual debe ser 100 %; ","")&amp;IF(AND($C49&lt;&gt;"Individual",$C49&lt;&gt;"",$E49=1),"Consorcio o UT con 100 %: revise; ","")&amp;IF(COUNTIFS($A$2:$A$601,$A49,$B$2:$B$601,$B49)&gt;1,"Participación repetida; ","")&amp;IF(AND(IFERROR(INDEX(SUJETOS!$B$2:$B$601,MATCH($B49,SUJETOS!$A$2:$A$601,0)),"")="Persona natural",$G49=""),"Persona natural sin cargo; ",""))</f>
        <v/>
      </c>
      <c r="R49" s="12">
        <f>IF($A49="","",IFERROR(IF(LEN(INDEX(SUJETOS!$F$2:$F$601,MATCH($B49,SUJETOS!$A$2:$A$601,0)))&gt;0,INDEX(SUJETOS!$F$2:$F$601,MATCH($B49,SUJETOS!$A$2:$A$601,0)),$B49),$B49))</f>
        <v/>
      </c>
    </row>
    <row r="50">
      <c r="E50" s="18" t="n"/>
      <c r="K50" s="13">
        <f>IF(OR($A50="",$E50=""),"",IFERROR(E50*INDEX(CONTRATOS!$P$2:$P$601,MATCH($A50,CONTRATOS!$A$2:$A$601,0)),""))</f>
        <v/>
      </c>
      <c r="L50" s="17">
        <f>IF(OR($A50="",$E50=""),"",IFERROR(E50*INDEX(CONTRATOS!$Z$2:$Z$601,MATCH($A50,CONTRATOS!$A$2:$A$601,0)),""))</f>
        <v/>
      </c>
      <c r="M50" s="13">
        <f>IF(OR($A50="",$E50=""),"",IFERROR(E50*INDEX(CONTRATOS!$AA$2:$AA$601,MATCH($A50,CONTRATOS!$A$2:$A$601,0)),""))</f>
        <v/>
      </c>
      <c r="N50" s="19">
        <f>IF($A50="","",SUMIFS($E$2:$E$601,$A$2:$A$601,$A50))</f>
        <v/>
      </c>
      <c r="O50" s="12">
        <f>IF($A50="","",IFERROR(INDEX(CONTRATOS!$F$2:$F$601,MATCH($A50,CONTRATOS!$A$2:$A$601,0)),""))</f>
        <v/>
      </c>
      <c r="P50" s="12">
        <f>IF($A50="","",IFERROR(INDEX(CONTRATOS!$M$2:$M$601,MATCH($A50,CONTRATOS!$A$2:$A$601,0)),""))</f>
        <v/>
      </c>
      <c r="Q50" s="12">
        <f>IF($A50="","",IF(COUNTIF(CONTRATOS!$A$2:$A$601,$A50)=0,"El contrato no existe en CONTRATOS; ","")&amp;IF($B50="","Falta sujeto; ",IF(COUNTIF(SUJETOS!$A$2:$A$601,$B50)=0,"El sujeto no existe en SUJETOS; ",""))&amp;IF($E50="","Falta porcentaje; ","")&amp;IF(N50&gt;1.0001,"Los porcentajes del contrato suman más de 100 %; ","")&amp;IF(AND($C50="Individual",$E50&lt;&gt;"",$E50&lt;&gt;1),"Individual debe ser 100 %; ","")&amp;IF(AND($C50&lt;&gt;"Individual",$C50&lt;&gt;"",$E50=1),"Consorcio o UT con 100 %: revise; ","")&amp;IF(COUNTIFS($A$2:$A$601,$A50,$B$2:$B$601,$B50)&gt;1,"Participación repetida; ","")&amp;IF(AND(IFERROR(INDEX(SUJETOS!$B$2:$B$601,MATCH($B50,SUJETOS!$A$2:$A$601,0)),"")="Persona natural",$G50=""),"Persona natural sin cargo; ",""))</f>
        <v/>
      </c>
      <c r="R50" s="12">
        <f>IF($A50="","",IFERROR(IF(LEN(INDEX(SUJETOS!$F$2:$F$601,MATCH($B50,SUJETOS!$A$2:$A$601,0)))&gt;0,INDEX(SUJETOS!$F$2:$F$601,MATCH($B50,SUJETOS!$A$2:$A$601,0)),$B50),$B50))</f>
        <v/>
      </c>
    </row>
    <row r="51">
      <c r="E51" s="18" t="n"/>
      <c r="K51" s="13">
        <f>IF(OR($A51="",$E51=""),"",IFERROR(E51*INDEX(CONTRATOS!$P$2:$P$601,MATCH($A51,CONTRATOS!$A$2:$A$601,0)),""))</f>
        <v/>
      </c>
      <c r="L51" s="17">
        <f>IF(OR($A51="",$E51=""),"",IFERROR(E51*INDEX(CONTRATOS!$Z$2:$Z$601,MATCH($A51,CONTRATOS!$A$2:$A$601,0)),""))</f>
        <v/>
      </c>
      <c r="M51" s="13">
        <f>IF(OR($A51="",$E51=""),"",IFERROR(E51*INDEX(CONTRATOS!$AA$2:$AA$601,MATCH($A51,CONTRATOS!$A$2:$A$601,0)),""))</f>
        <v/>
      </c>
      <c r="N51" s="19">
        <f>IF($A51="","",SUMIFS($E$2:$E$601,$A$2:$A$601,$A51))</f>
        <v/>
      </c>
      <c r="O51" s="12">
        <f>IF($A51="","",IFERROR(INDEX(CONTRATOS!$F$2:$F$601,MATCH($A51,CONTRATOS!$A$2:$A$601,0)),""))</f>
        <v/>
      </c>
      <c r="P51" s="12">
        <f>IF($A51="","",IFERROR(INDEX(CONTRATOS!$M$2:$M$601,MATCH($A51,CONTRATOS!$A$2:$A$601,0)),""))</f>
        <v/>
      </c>
      <c r="Q51" s="12">
        <f>IF($A51="","",IF(COUNTIF(CONTRATOS!$A$2:$A$601,$A51)=0,"El contrato no existe en CONTRATOS; ","")&amp;IF($B51="","Falta sujeto; ",IF(COUNTIF(SUJETOS!$A$2:$A$601,$B51)=0,"El sujeto no existe en SUJETOS; ",""))&amp;IF($E51="","Falta porcentaje; ","")&amp;IF(N51&gt;1.0001,"Los porcentajes del contrato suman más de 100 %; ","")&amp;IF(AND($C51="Individual",$E51&lt;&gt;"",$E51&lt;&gt;1),"Individual debe ser 100 %; ","")&amp;IF(AND($C51&lt;&gt;"Individual",$C51&lt;&gt;"",$E51=1),"Consorcio o UT con 100 %: revise; ","")&amp;IF(COUNTIFS($A$2:$A$601,$A51,$B$2:$B$601,$B51)&gt;1,"Participación repetida; ","")&amp;IF(AND(IFERROR(INDEX(SUJETOS!$B$2:$B$601,MATCH($B51,SUJETOS!$A$2:$A$601,0)),"")="Persona natural",$G51=""),"Persona natural sin cargo; ",""))</f>
        <v/>
      </c>
      <c r="R51" s="12">
        <f>IF($A51="","",IFERROR(IF(LEN(INDEX(SUJETOS!$F$2:$F$601,MATCH($B51,SUJETOS!$A$2:$A$601,0)))&gt;0,INDEX(SUJETOS!$F$2:$F$601,MATCH($B51,SUJETOS!$A$2:$A$601,0)),$B51),$B51))</f>
        <v/>
      </c>
    </row>
    <row r="52">
      <c r="E52" s="18" t="n"/>
      <c r="K52" s="13">
        <f>IF(OR($A52="",$E52=""),"",IFERROR(E52*INDEX(CONTRATOS!$P$2:$P$601,MATCH($A52,CONTRATOS!$A$2:$A$601,0)),""))</f>
        <v/>
      </c>
      <c r="L52" s="17">
        <f>IF(OR($A52="",$E52=""),"",IFERROR(E52*INDEX(CONTRATOS!$Z$2:$Z$601,MATCH($A52,CONTRATOS!$A$2:$A$601,0)),""))</f>
        <v/>
      </c>
      <c r="M52" s="13">
        <f>IF(OR($A52="",$E52=""),"",IFERROR(E52*INDEX(CONTRATOS!$AA$2:$AA$601,MATCH($A52,CONTRATOS!$A$2:$A$601,0)),""))</f>
        <v/>
      </c>
      <c r="N52" s="19">
        <f>IF($A52="","",SUMIFS($E$2:$E$601,$A$2:$A$601,$A52))</f>
        <v/>
      </c>
      <c r="O52" s="12">
        <f>IF($A52="","",IFERROR(INDEX(CONTRATOS!$F$2:$F$601,MATCH($A52,CONTRATOS!$A$2:$A$601,0)),""))</f>
        <v/>
      </c>
      <c r="P52" s="12">
        <f>IF($A52="","",IFERROR(INDEX(CONTRATOS!$M$2:$M$601,MATCH($A52,CONTRATOS!$A$2:$A$601,0)),""))</f>
        <v/>
      </c>
      <c r="Q52" s="12">
        <f>IF($A52="","",IF(COUNTIF(CONTRATOS!$A$2:$A$601,$A52)=0,"El contrato no existe en CONTRATOS; ","")&amp;IF($B52="","Falta sujeto; ",IF(COUNTIF(SUJETOS!$A$2:$A$601,$B52)=0,"El sujeto no existe en SUJETOS; ",""))&amp;IF($E52="","Falta porcentaje; ","")&amp;IF(N52&gt;1.0001,"Los porcentajes del contrato suman más de 100 %; ","")&amp;IF(AND($C52="Individual",$E52&lt;&gt;"",$E52&lt;&gt;1),"Individual debe ser 100 %; ","")&amp;IF(AND($C52&lt;&gt;"Individual",$C52&lt;&gt;"",$E52=1),"Consorcio o UT con 100 %: revise; ","")&amp;IF(COUNTIFS($A$2:$A$601,$A52,$B$2:$B$601,$B52)&gt;1,"Participación repetida; ","")&amp;IF(AND(IFERROR(INDEX(SUJETOS!$B$2:$B$601,MATCH($B52,SUJETOS!$A$2:$A$601,0)),"")="Persona natural",$G52=""),"Persona natural sin cargo; ",""))</f>
        <v/>
      </c>
      <c r="R52" s="12">
        <f>IF($A52="","",IFERROR(IF(LEN(INDEX(SUJETOS!$F$2:$F$601,MATCH($B52,SUJETOS!$A$2:$A$601,0)))&gt;0,INDEX(SUJETOS!$F$2:$F$601,MATCH($B52,SUJETOS!$A$2:$A$601,0)),$B52),$B52))</f>
        <v/>
      </c>
    </row>
    <row r="53">
      <c r="E53" s="18" t="n"/>
      <c r="K53" s="13">
        <f>IF(OR($A53="",$E53=""),"",IFERROR(E53*INDEX(CONTRATOS!$P$2:$P$601,MATCH($A53,CONTRATOS!$A$2:$A$601,0)),""))</f>
        <v/>
      </c>
      <c r="L53" s="17">
        <f>IF(OR($A53="",$E53=""),"",IFERROR(E53*INDEX(CONTRATOS!$Z$2:$Z$601,MATCH($A53,CONTRATOS!$A$2:$A$601,0)),""))</f>
        <v/>
      </c>
      <c r="M53" s="13">
        <f>IF(OR($A53="",$E53=""),"",IFERROR(E53*INDEX(CONTRATOS!$AA$2:$AA$601,MATCH($A53,CONTRATOS!$A$2:$A$601,0)),""))</f>
        <v/>
      </c>
      <c r="N53" s="19">
        <f>IF($A53="","",SUMIFS($E$2:$E$601,$A$2:$A$601,$A53))</f>
        <v/>
      </c>
      <c r="O53" s="12">
        <f>IF($A53="","",IFERROR(INDEX(CONTRATOS!$F$2:$F$601,MATCH($A53,CONTRATOS!$A$2:$A$601,0)),""))</f>
        <v/>
      </c>
      <c r="P53" s="12">
        <f>IF($A53="","",IFERROR(INDEX(CONTRATOS!$M$2:$M$601,MATCH($A53,CONTRATOS!$A$2:$A$601,0)),""))</f>
        <v/>
      </c>
      <c r="Q53" s="12">
        <f>IF($A53="","",IF(COUNTIF(CONTRATOS!$A$2:$A$601,$A53)=0,"El contrato no existe en CONTRATOS; ","")&amp;IF($B53="","Falta sujeto; ",IF(COUNTIF(SUJETOS!$A$2:$A$601,$B53)=0,"El sujeto no existe en SUJETOS; ",""))&amp;IF($E53="","Falta porcentaje; ","")&amp;IF(N53&gt;1.0001,"Los porcentajes del contrato suman más de 100 %; ","")&amp;IF(AND($C53="Individual",$E53&lt;&gt;"",$E53&lt;&gt;1),"Individual debe ser 100 %; ","")&amp;IF(AND($C53&lt;&gt;"Individual",$C53&lt;&gt;"",$E53=1),"Consorcio o UT con 100 %: revise; ","")&amp;IF(COUNTIFS($A$2:$A$601,$A53,$B$2:$B$601,$B53)&gt;1,"Participación repetida; ","")&amp;IF(AND(IFERROR(INDEX(SUJETOS!$B$2:$B$601,MATCH($B53,SUJETOS!$A$2:$A$601,0)),"")="Persona natural",$G53=""),"Persona natural sin cargo; ",""))</f>
        <v/>
      </c>
      <c r="R53" s="12">
        <f>IF($A53="","",IFERROR(IF(LEN(INDEX(SUJETOS!$F$2:$F$601,MATCH($B53,SUJETOS!$A$2:$A$601,0)))&gt;0,INDEX(SUJETOS!$F$2:$F$601,MATCH($B53,SUJETOS!$A$2:$A$601,0)),$B53),$B53))</f>
        <v/>
      </c>
    </row>
    <row r="54">
      <c r="E54" s="18" t="n"/>
      <c r="K54" s="13">
        <f>IF(OR($A54="",$E54=""),"",IFERROR(E54*INDEX(CONTRATOS!$P$2:$P$601,MATCH($A54,CONTRATOS!$A$2:$A$601,0)),""))</f>
        <v/>
      </c>
      <c r="L54" s="17">
        <f>IF(OR($A54="",$E54=""),"",IFERROR(E54*INDEX(CONTRATOS!$Z$2:$Z$601,MATCH($A54,CONTRATOS!$A$2:$A$601,0)),""))</f>
        <v/>
      </c>
      <c r="M54" s="13">
        <f>IF(OR($A54="",$E54=""),"",IFERROR(E54*INDEX(CONTRATOS!$AA$2:$AA$601,MATCH($A54,CONTRATOS!$A$2:$A$601,0)),""))</f>
        <v/>
      </c>
      <c r="N54" s="19">
        <f>IF($A54="","",SUMIFS($E$2:$E$601,$A$2:$A$601,$A54))</f>
        <v/>
      </c>
      <c r="O54" s="12">
        <f>IF($A54="","",IFERROR(INDEX(CONTRATOS!$F$2:$F$601,MATCH($A54,CONTRATOS!$A$2:$A$601,0)),""))</f>
        <v/>
      </c>
      <c r="P54" s="12">
        <f>IF($A54="","",IFERROR(INDEX(CONTRATOS!$M$2:$M$601,MATCH($A54,CONTRATOS!$A$2:$A$601,0)),""))</f>
        <v/>
      </c>
      <c r="Q54" s="12">
        <f>IF($A54="","",IF(COUNTIF(CONTRATOS!$A$2:$A$601,$A54)=0,"El contrato no existe en CONTRATOS; ","")&amp;IF($B54="","Falta sujeto; ",IF(COUNTIF(SUJETOS!$A$2:$A$601,$B54)=0,"El sujeto no existe en SUJETOS; ",""))&amp;IF($E54="","Falta porcentaje; ","")&amp;IF(N54&gt;1.0001,"Los porcentajes del contrato suman más de 100 %; ","")&amp;IF(AND($C54="Individual",$E54&lt;&gt;"",$E54&lt;&gt;1),"Individual debe ser 100 %; ","")&amp;IF(AND($C54&lt;&gt;"Individual",$C54&lt;&gt;"",$E54=1),"Consorcio o UT con 100 %: revise; ","")&amp;IF(COUNTIFS($A$2:$A$601,$A54,$B$2:$B$601,$B54)&gt;1,"Participación repetida; ","")&amp;IF(AND(IFERROR(INDEX(SUJETOS!$B$2:$B$601,MATCH($B54,SUJETOS!$A$2:$A$601,0)),"")="Persona natural",$G54=""),"Persona natural sin cargo; ",""))</f>
        <v/>
      </c>
      <c r="R54" s="12">
        <f>IF($A54="","",IFERROR(IF(LEN(INDEX(SUJETOS!$F$2:$F$601,MATCH($B54,SUJETOS!$A$2:$A$601,0)))&gt;0,INDEX(SUJETOS!$F$2:$F$601,MATCH($B54,SUJETOS!$A$2:$A$601,0)),$B54),$B54))</f>
        <v/>
      </c>
    </row>
    <row r="55">
      <c r="E55" s="18" t="n"/>
      <c r="K55" s="13">
        <f>IF(OR($A55="",$E55=""),"",IFERROR(E55*INDEX(CONTRATOS!$P$2:$P$601,MATCH($A55,CONTRATOS!$A$2:$A$601,0)),""))</f>
        <v/>
      </c>
      <c r="L55" s="17">
        <f>IF(OR($A55="",$E55=""),"",IFERROR(E55*INDEX(CONTRATOS!$Z$2:$Z$601,MATCH($A55,CONTRATOS!$A$2:$A$601,0)),""))</f>
        <v/>
      </c>
      <c r="M55" s="13">
        <f>IF(OR($A55="",$E55=""),"",IFERROR(E55*INDEX(CONTRATOS!$AA$2:$AA$601,MATCH($A55,CONTRATOS!$A$2:$A$601,0)),""))</f>
        <v/>
      </c>
      <c r="N55" s="19">
        <f>IF($A55="","",SUMIFS($E$2:$E$601,$A$2:$A$601,$A55))</f>
        <v/>
      </c>
      <c r="O55" s="12">
        <f>IF($A55="","",IFERROR(INDEX(CONTRATOS!$F$2:$F$601,MATCH($A55,CONTRATOS!$A$2:$A$601,0)),""))</f>
        <v/>
      </c>
      <c r="P55" s="12">
        <f>IF($A55="","",IFERROR(INDEX(CONTRATOS!$M$2:$M$601,MATCH($A55,CONTRATOS!$A$2:$A$601,0)),""))</f>
        <v/>
      </c>
      <c r="Q55" s="12">
        <f>IF($A55="","",IF(COUNTIF(CONTRATOS!$A$2:$A$601,$A55)=0,"El contrato no existe en CONTRATOS; ","")&amp;IF($B55="","Falta sujeto; ",IF(COUNTIF(SUJETOS!$A$2:$A$601,$B55)=0,"El sujeto no existe en SUJETOS; ",""))&amp;IF($E55="","Falta porcentaje; ","")&amp;IF(N55&gt;1.0001,"Los porcentajes del contrato suman más de 100 %; ","")&amp;IF(AND($C55="Individual",$E55&lt;&gt;"",$E55&lt;&gt;1),"Individual debe ser 100 %; ","")&amp;IF(AND($C55&lt;&gt;"Individual",$C55&lt;&gt;"",$E55=1),"Consorcio o UT con 100 %: revise; ","")&amp;IF(COUNTIFS($A$2:$A$601,$A55,$B$2:$B$601,$B55)&gt;1,"Participación repetida; ","")&amp;IF(AND(IFERROR(INDEX(SUJETOS!$B$2:$B$601,MATCH($B55,SUJETOS!$A$2:$A$601,0)),"")="Persona natural",$G55=""),"Persona natural sin cargo; ",""))</f>
        <v/>
      </c>
      <c r="R55" s="12">
        <f>IF($A55="","",IFERROR(IF(LEN(INDEX(SUJETOS!$F$2:$F$601,MATCH($B55,SUJETOS!$A$2:$A$601,0)))&gt;0,INDEX(SUJETOS!$F$2:$F$601,MATCH($B55,SUJETOS!$A$2:$A$601,0)),$B55),$B55))</f>
        <v/>
      </c>
    </row>
    <row r="56">
      <c r="E56" s="18" t="n"/>
      <c r="K56" s="13">
        <f>IF(OR($A56="",$E56=""),"",IFERROR(E56*INDEX(CONTRATOS!$P$2:$P$601,MATCH($A56,CONTRATOS!$A$2:$A$601,0)),""))</f>
        <v/>
      </c>
      <c r="L56" s="17">
        <f>IF(OR($A56="",$E56=""),"",IFERROR(E56*INDEX(CONTRATOS!$Z$2:$Z$601,MATCH($A56,CONTRATOS!$A$2:$A$601,0)),""))</f>
        <v/>
      </c>
      <c r="M56" s="13">
        <f>IF(OR($A56="",$E56=""),"",IFERROR(E56*INDEX(CONTRATOS!$AA$2:$AA$601,MATCH($A56,CONTRATOS!$A$2:$A$601,0)),""))</f>
        <v/>
      </c>
      <c r="N56" s="19">
        <f>IF($A56="","",SUMIFS($E$2:$E$601,$A$2:$A$601,$A56))</f>
        <v/>
      </c>
      <c r="O56" s="12">
        <f>IF($A56="","",IFERROR(INDEX(CONTRATOS!$F$2:$F$601,MATCH($A56,CONTRATOS!$A$2:$A$601,0)),""))</f>
        <v/>
      </c>
      <c r="P56" s="12">
        <f>IF($A56="","",IFERROR(INDEX(CONTRATOS!$M$2:$M$601,MATCH($A56,CONTRATOS!$A$2:$A$601,0)),""))</f>
        <v/>
      </c>
      <c r="Q56" s="12">
        <f>IF($A56="","",IF(COUNTIF(CONTRATOS!$A$2:$A$601,$A56)=0,"El contrato no existe en CONTRATOS; ","")&amp;IF($B56="","Falta sujeto; ",IF(COUNTIF(SUJETOS!$A$2:$A$601,$B56)=0,"El sujeto no existe en SUJETOS; ",""))&amp;IF($E56="","Falta porcentaje; ","")&amp;IF(N56&gt;1.0001,"Los porcentajes del contrato suman más de 100 %; ","")&amp;IF(AND($C56="Individual",$E56&lt;&gt;"",$E56&lt;&gt;1),"Individual debe ser 100 %; ","")&amp;IF(AND($C56&lt;&gt;"Individual",$C56&lt;&gt;"",$E56=1),"Consorcio o UT con 100 %: revise; ","")&amp;IF(COUNTIFS($A$2:$A$601,$A56,$B$2:$B$601,$B56)&gt;1,"Participación repetida; ","")&amp;IF(AND(IFERROR(INDEX(SUJETOS!$B$2:$B$601,MATCH($B56,SUJETOS!$A$2:$A$601,0)),"")="Persona natural",$G56=""),"Persona natural sin cargo; ",""))</f>
        <v/>
      </c>
      <c r="R56" s="12">
        <f>IF($A56="","",IFERROR(IF(LEN(INDEX(SUJETOS!$F$2:$F$601,MATCH($B56,SUJETOS!$A$2:$A$601,0)))&gt;0,INDEX(SUJETOS!$F$2:$F$601,MATCH($B56,SUJETOS!$A$2:$A$601,0)),$B56),$B56))</f>
        <v/>
      </c>
    </row>
    <row r="57">
      <c r="E57" s="18" t="n"/>
      <c r="K57" s="13">
        <f>IF(OR($A57="",$E57=""),"",IFERROR(E57*INDEX(CONTRATOS!$P$2:$P$601,MATCH($A57,CONTRATOS!$A$2:$A$601,0)),""))</f>
        <v/>
      </c>
      <c r="L57" s="17">
        <f>IF(OR($A57="",$E57=""),"",IFERROR(E57*INDEX(CONTRATOS!$Z$2:$Z$601,MATCH($A57,CONTRATOS!$A$2:$A$601,0)),""))</f>
        <v/>
      </c>
      <c r="M57" s="13">
        <f>IF(OR($A57="",$E57=""),"",IFERROR(E57*INDEX(CONTRATOS!$AA$2:$AA$601,MATCH($A57,CONTRATOS!$A$2:$A$601,0)),""))</f>
        <v/>
      </c>
      <c r="N57" s="19">
        <f>IF($A57="","",SUMIFS($E$2:$E$601,$A$2:$A$601,$A57))</f>
        <v/>
      </c>
      <c r="O57" s="12">
        <f>IF($A57="","",IFERROR(INDEX(CONTRATOS!$F$2:$F$601,MATCH($A57,CONTRATOS!$A$2:$A$601,0)),""))</f>
        <v/>
      </c>
      <c r="P57" s="12">
        <f>IF($A57="","",IFERROR(INDEX(CONTRATOS!$M$2:$M$601,MATCH($A57,CONTRATOS!$A$2:$A$601,0)),""))</f>
        <v/>
      </c>
      <c r="Q57" s="12">
        <f>IF($A57="","",IF(COUNTIF(CONTRATOS!$A$2:$A$601,$A57)=0,"El contrato no existe en CONTRATOS; ","")&amp;IF($B57="","Falta sujeto; ",IF(COUNTIF(SUJETOS!$A$2:$A$601,$B57)=0,"El sujeto no existe en SUJETOS; ",""))&amp;IF($E57="","Falta porcentaje; ","")&amp;IF(N57&gt;1.0001,"Los porcentajes del contrato suman más de 100 %; ","")&amp;IF(AND($C57="Individual",$E57&lt;&gt;"",$E57&lt;&gt;1),"Individual debe ser 100 %; ","")&amp;IF(AND($C57&lt;&gt;"Individual",$C57&lt;&gt;"",$E57=1),"Consorcio o UT con 100 %: revise; ","")&amp;IF(COUNTIFS($A$2:$A$601,$A57,$B$2:$B$601,$B57)&gt;1,"Participación repetida; ","")&amp;IF(AND(IFERROR(INDEX(SUJETOS!$B$2:$B$601,MATCH($B57,SUJETOS!$A$2:$A$601,0)),"")="Persona natural",$G57=""),"Persona natural sin cargo; ",""))</f>
        <v/>
      </c>
      <c r="R57" s="12">
        <f>IF($A57="","",IFERROR(IF(LEN(INDEX(SUJETOS!$F$2:$F$601,MATCH($B57,SUJETOS!$A$2:$A$601,0)))&gt;0,INDEX(SUJETOS!$F$2:$F$601,MATCH($B57,SUJETOS!$A$2:$A$601,0)),$B57),$B57))</f>
        <v/>
      </c>
    </row>
    <row r="58">
      <c r="E58" s="18" t="n"/>
      <c r="K58" s="13">
        <f>IF(OR($A58="",$E58=""),"",IFERROR(E58*INDEX(CONTRATOS!$P$2:$P$601,MATCH($A58,CONTRATOS!$A$2:$A$601,0)),""))</f>
        <v/>
      </c>
      <c r="L58" s="17">
        <f>IF(OR($A58="",$E58=""),"",IFERROR(E58*INDEX(CONTRATOS!$Z$2:$Z$601,MATCH($A58,CONTRATOS!$A$2:$A$601,0)),""))</f>
        <v/>
      </c>
      <c r="M58" s="13">
        <f>IF(OR($A58="",$E58=""),"",IFERROR(E58*INDEX(CONTRATOS!$AA$2:$AA$601,MATCH($A58,CONTRATOS!$A$2:$A$601,0)),""))</f>
        <v/>
      </c>
      <c r="N58" s="19">
        <f>IF($A58="","",SUMIFS($E$2:$E$601,$A$2:$A$601,$A58))</f>
        <v/>
      </c>
      <c r="O58" s="12">
        <f>IF($A58="","",IFERROR(INDEX(CONTRATOS!$F$2:$F$601,MATCH($A58,CONTRATOS!$A$2:$A$601,0)),""))</f>
        <v/>
      </c>
      <c r="P58" s="12">
        <f>IF($A58="","",IFERROR(INDEX(CONTRATOS!$M$2:$M$601,MATCH($A58,CONTRATOS!$A$2:$A$601,0)),""))</f>
        <v/>
      </c>
      <c r="Q58" s="12">
        <f>IF($A58="","",IF(COUNTIF(CONTRATOS!$A$2:$A$601,$A58)=0,"El contrato no existe en CONTRATOS; ","")&amp;IF($B58="","Falta sujeto; ",IF(COUNTIF(SUJETOS!$A$2:$A$601,$B58)=0,"El sujeto no existe en SUJETOS; ",""))&amp;IF($E58="","Falta porcentaje; ","")&amp;IF(N58&gt;1.0001,"Los porcentajes del contrato suman más de 100 %; ","")&amp;IF(AND($C58="Individual",$E58&lt;&gt;"",$E58&lt;&gt;1),"Individual debe ser 100 %; ","")&amp;IF(AND($C58&lt;&gt;"Individual",$C58&lt;&gt;"",$E58=1),"Consorcio o UT con 100 %: revise; ","")&amp;IF(COUNTIFS($A$2:$A$601,$A58,$B$2:$B$601,$B58)&gt;1,"Participación repetida; ","")&amp;IF(AND(IFERROR(INDEX(SUJETOS!$B$2:$B$601,MATCH($B58,SUJETOS!$A$2:$A$601,0)),"")="Persona natural",$G58=""),"Persona natural sin cargo; ",""))</f>
        <v/>
      </c>
      <c r="R58" s="12">
        <f>IF($A58="","",IFERROR(IF(LEN(INDEX(SUJETOS!$F$2:$F$601,MATCH($B58,SUJETOS!$A$2:$A$601,0)))&gt;0,INDEX(SUJETOS!$F$2:$F$601,MATCH($B58,SUJETOS!$A$2:$A$601,0)),$B58),$B58))</f>
        <v/>
      </c>
    </row>
    <row r="59">
      <c r="E59" s="18" t="n"/>
      <c r="K59" s="13">
        <f>IF(OR($A59="",$E59=""),"",IFERROR(E59*INDEX(CONTRATOS!$P$2:$P$601,MATCH($A59,CONTRATOS!$A$2:$A$601,0)),""))</f>
        <v/>
      </c>
      <c r="L59" s="17">
        <f>IF(OR($A59="",$E59=""),"",IFERROR(E59*INDEX(CONTRATOS!$Z$2:$Z$601,MATCH($A59,CONTRATOS!$A$2:$A$601,0)),""))</f>
        <v/>
      </c>
      <c r="M59" s="13">
        <f>IF(OR($A59="",$E59=""),"",IFERROR(E59*INDEX(CONTRATOS!$AA$2:$AA$601,MATCH($A59,CONTRATOS!$A$2:$A$601,0)),""))</f>
        <v/>
      </c>
      <c r="N59" s="19">
        <f>IF($A59="","",SUMIFS($E$2:$E$601,$A$2:$A$601,$A59))</f>
        <v/>
      </c>
      <c r="O59" s="12">
        <f>IF($A59="","",IFERROR(INDEX(CONTRATOS!$F$2:$F$601,MATCH($A59,CONTRATOS!$A$2:$A$601,0)),""))</f>
        <v/>
      </c>
      <c r="P59" s="12">
        <f>IF($A59="","",IFERROR(INDEX(CONTRATOS!$M$2:$M$601,MATCH($A59,CONTRATOS!$A$2:$A$601,0)),""))</f>
        <v/>
      </c>
      <c r="Q59" s="12">
        <f>IF($A59="","",IF(COUNTIF(CONTRATOS!$A$2:$A$601,$A59)=0,"El contrato no existe en CONTRATOS; ","")&amp;IF($B59="","Falta sujeto; ",IF(COUNTIF(SUJETOS!$A$2:$A$601,$B59)=0,"El sujeto no existe en SUJETOS; ",""))&amp;IF($E59="","Falta porcentaje; ","")&amp;IF(N59&gt;1.0001,"Los porcentajes del contrato suman más de 100 %; ","")&amp;IF(AND($C59="Individual",$E59&lt;&gt;"",$E59&lt;&gt;1),"Individual debe ser 100 %; ","")&amp;IF(AND($C59&lt;&gt;"Individual",$C59&lt;&gt;"",$E59=1),"Consorcio o UT con 100 %: revise; ","")&amp;IF(COUNTIFS($A$2:$A$601,$A59,$B$2:$B$601,$B59)&gt;1,"Participación repetida; ","")&amp;IF(AND(IFERROR(INDEX(SUJETOS!$B$2:$B$601,MATCH($B59,SUJETOS!$A$2:$A$601,0)),"")="Persona natural",$G59=""),"Persona natural sin cargo; ",""))</f>
        <v/>
      </c>
      <c r="R59" s="12">
        <f>IF($A59="","",IFERROR(IF(LEN(INDEX(SUJETOS!$F$2:$F$601,MATCH($B59,SUJETOS!$A$2:$A$601,0)))&gt;0,INDEX(SUJETOS!$F$2:$F$601,MATCH($B59,SUJETOS!$A$2:$A$601,0)),$B59),$B59))</f>
        <v/>
      </c>
    </row>
    <row r="60">
      <c r="E60" s="18" t="n"/>
      <c r="K60" s="13">
        <f>IF(OR($A60="",$E60=""),"",IFERROR(E60*INDEX(CONTRATOS!$P$2:$P$601,MATCH($A60,CONTRATOS!$A$2:$A$601,0)),""))</f>
        <v/>
      </c>
      <c r="L60" s="17">
        <f>IF(OR($A60="",$E60=""),"",IFERROR(E60*INDEX(CONTRATOS!$Z$2:$Z$601,MATCH($A60,CONTRATOS!$A$2:$A$601,0)),""))</f>
        <v/>
      </c>
      <c r="M60" s="13">
        <f>IF(OR($A60="",$E60=""),"",IFERROR(E60*INDEX(CONTRATOS!$AA$2:$AA$601,MATCH($A60,CONTRATOS!$A$2:$A$601,0)),""))</f>
        <v/>
      </c>
      <c r="N60" s="19">
        <f>IF($A60="","",SUMIFS($E$2:$E$601,$A$2:$A$601,$A60))</f>
        <v/>
      </c>
      <c r="O60" s="12">
        <f>IF($A60="","",IFERROR(INDEX(CONTRATOS!$F$2:$F$601,MATCH($A60,CONTRATOS!$A$2:$A$601,0)),""))</f>
        <v/>
      </c>
      <c r="P60" s="12">
        <f>IF($A60="","",IFERROR(INDEX(CONTRATOS!$M$2:$M$601,MATCH($A60,CONTRATOS!$A$2:$A$601,0)),""))</f>
        <v/>
      </c>
      <c r="Q60" s="12">
        <f>IF($A60="","",IF(COUNTIF(CONTRATOS!$A$2:$A$601,$A60)=0,"El contrato no existe en CONTRATOS; ","")&amp;IF($B60="","Falta sujeto; ",IF(COUNTIF(SUJETOS!$A$2:$A$601,$B60)=0,"El sujeto no existe en SUJETOS; ",""))&amp;IF($E60="","Falta porcentaje; ","")&amp;IF(N60&gt;1.0001,"Los porcentajes del contrato suman más de 100 %; ","")&amp;IF(AND($C60="Individual",$E60&lt;&gt;"",$E60&lt;&gt;1),"Individual debe ser 100 %; ","")&amp;IF(AND($C60&lt;&gt;"Individual",$C60&lt;&gt;"",$E60=1),"Consorcio o UT con 100 %: revise; ","")&amp;IF(COUNTIFS($A$2:$A$601,$A60,$B$2:$B$601,$B60)&gt;1,"Participación repetida; ","")&amp;IF(AND(IFERROR(INDEX(SUJETOS!$B$2:$B$601,MATCH($B60,SUJETOS!$A$2:$A$601,0)),"")="Persona natural",$G60=""),"Persona natural sin cargo; ",""))</f>
        <v/>
      </c>
      <c r="R60" s="12">
        <f>IF($A60="","",IFERROR(IF(LEN(INDEX(SUJETOS!$F$2:$F$601,MATCH($B60,SUJETOS!$A$2:$A$601,0)))&gt;0,INDEX(SUJETOS!$F$2:$F$601,MATCH($B60,SUJETOS!$A$2:$A$601,0)),$B60),$B60))</f>
        <v/>
      </c>
    </row>
    <row r="61">
      <c r="E61" s="18" t="n"/>
      <c r="K61" s="13">
        <f>IF(OR($A61="",$E61=""),"",IFERROR(E61*INDEX(CONTRATOS!$P$2:$P$601,MATCH($A61,CONTRATOS!$A$2:$A$601,0)),""))</f>
        <v/>
      </c>
      <c r="L61" s="17">
        <f>IF(OR($A61="",$E61=""),"",IFERROR(E61*INDEX(CONTRATOS!$Z$2:$Z$601,MATCH($A61,CONTRATOS!$A$2:$A$601,0)),""))</f>
        <v/>
      </c>
      <c r="M61" s="13">
        <f>IF(OR($A61="",$E61=""),"",IFERROR(E61*INDEX(CONTRATOS!$AA$2:$AA$601,MATCH($A61,CONTRATOS!$A$2:$A$601,0)),""))</f>
        <v/>
      </c>
      <c r="N61" s="19">
        <f>IF($A61="","",SUMIFS($E$2:$E$601,$A$2:$A$601,$A61))</f>
        <v/>
      </c>
      <c r="O61" s="12">
        <f>IF($A61="","",IFERROR(INDEX(CONTRATOS!$F$2:$F$601,MATCH($A61,CONTRATOS!$A$2:$A$601,0)),""))</f>
        <v/>
      </c>
      <c r="P61" s="12">
        <f>IF($A61="","",IFERROR(INDEX(CONTRATOS!$M$2:$M$601,MATCH($A61,CONTRATOS!$A$2:$A$601,0)),""))</f>
        <v/>
      </c>
      <c r="Q61" s="12">
        <f>IF($A61="","",IF(COUNTIF(CONTRATOS!$A$2:$A$601,$A61)=0,"El contrato no existe en CONTRATOS; ","")&amp;IF($B61="","Falta sujeto; ",IF(COUNTIF(SUJETOS!$A$2:$A$601,$B61)=0,"El sujeto no existe en SUJETOS; ",""))&amp;IF($E61="","Falta porcentaje; ","")&amp;IF(N61&gt;1.0001,"Los porcentajes del contrato suman más de 100 %; ","")&amp;IF(AND($C61="Individual",$E61&lt;&gt;"",$E61&lt;&gt;1),"Individual debe ser 100 %; ","")&amp;IF(AND($C61&lt;&gt;"Individual",$C61&lt;&gt;"",$E61=1),"Consorcio o UT con 100 %: revise; ","")&amp;IF(COUNTIFS($A$2:$A$601,$A61,$B$2:$B$601,$B61)&gt;1,"Participación repetida; ","")&amp;IF(AND(IFERROR(INDEX(SUJETOS!$B$2:$B$601,MATCH($B61,SUJETOS!$A$2:$A$601,0)),"")="Persona natural",$G61=""),"Persona natural sin cargo; ",""))</f>
        <v/>
      </c>
      <c r="R61" s="12">
        <f>IF($A61="","",IFERROR(IF(LEN(INDEX(SUJETOS!$F$2:$F$601,MATCH($B61,SUJETOS!$A$2:$A$601,0)))&gt;0,INDEX(SUJETOS!$F$2:$F$601,MATCH($B61,SUJETOS!$A$2:$A$601,0)),$B61),$B61))</f>
        <v/>
      </c>
    </row>
    <row r="62">
      <c r="E62" s="18" t="n"/>
      <c r="K62" s="13">
        <f>IF(OR($A62="",$E62=""),"",IFERROR(E62*INDEX(CONTRATOS!$P$2:$P$601,MATCH($A62,CONTRATOS!$A$2:$A$601,0)),""))</f>
        <v/>
      </c>
      <c r="L62" s="17">
        <f>IF(OR($A62="",$E62=""),"",IFERROR(E62*INDEX(CONTRATOS!$Z$2:$Z$601,MATCH($A62,CONTRATOS!$A$2:$A$601,0)),""))</f>
        <v/>
      </c>
      <c r="M62" s="13">
        <f>IF(OR($A62="",$E62=""),"",IFERROR(E62*INDEX(CONTRATOS!$AA$2:$AA$601,MATCH($A62,CONTRATOS!$A$2:$A$601,0)),""))</f>
        <v/>
      </c>
      <c r="N62" s="19">
        <f>IF($A62="","",SUMIFS($E$2:$E$601,$A$2:$A$601,$A62))</f>
        <v/>
      </c>
      <c r="O62" s="12">
        <f>IF($A62="","",IFERROR(INDEX(CONTRATOS!$F$2:$F$601,MATCH($A62,CONTRATOS!$A$2:$A$601,0)),""))</f>
        <v/>
      </c>
      <c r="P62" s="12">
        <f>IF($A62="","",IFERROR(INDEX(CONTRATOS!$M$2:$M$601,MATCH($A62,CONTRATOS!$A$2:$A$601,0)),""))</f>
        <v/>
      </c>
      <c r="Q62" s="12">
        <f>IF($A62="","",IF(COUNTIF(CONTRATOS!$A$2:$A$601,$A62)=0,"El contrato no existe en CONTRATOS; ","")&amp;IF($B62="","Falta sujeto; ",IF(COUNTIF(SUJETOS!$A$2:$A$601,$B62)=0,"El sujeto no existe en SUJETOS; ",""))&amp;IF($E62="","Falta porcentaje; ","")&amp;IF(N62&gt;1.0001,"Los porcentajes del contrato suman más de 100 %; ","")&amp;IF(AND($C62="Individual",$E62&lt;&gt;"",$E62&lt;&gt;1),"Individual debe ser 100 %; ","")&amp;IF(AND($C62&lt;&gt;"Individual",$C62&lt;&gt;"",$E62=1),"Consorcio o UT con 100 %: revise; ","")&amp;IF(COUNTIFS($A$2:$A$601,$A62,$B$2:$B$601,$B62)&gt;1,"Participación repetida; ","")&amp;IF(AND(IFERROR(INDEX(SUJETOS!$B$2:$B$601,MATCH($B62,SUJETOS!$A$2:$A$601,0)),"")="Persona natural",$G62=""),"Persona natural sin cargo; ",""))</f>
        <v/>
      </c>
      <c r="R62" s="12">
        <f>IF($A62="","",IFERROR(IF(LEN(INDEX(SUJETOS!$F$2:$F$601,MATCH($B62,SUJETOS!$A$2:$A$601,0)))&gt;0,INDEX(SUJETOS!$F$2:$F$601,MATCH($B62,SUJETOS!$A$2:$A$601,0)),$B62),$B62))</f>
        <v/>
      </c>
    </row>
    <row r="63">
      <c r="E63" s="18" t="n"/>
      <c r="K63" s="13">
        <f>IF(OR($A63="",$E63=""),"",IFERROR(E63*INDEX(CONTRATOS!$P$2:$P$601,MATCH($A63,CONTRATOS!$A$2:$A$601,0)),""))</f>
        <v/>
      </c>
      <c r="L63" s="17">
        <f>IF(OR($A63="",$E63=""),"",IFERROR(E63*INDEX(CONTRATOS!$Z$2:$Z$601,MATCH($A63,CONTRATOS!$A$2:$A$601,0)),""))</f>
        <v/>
      </c>
      <c r="M63" s="13">
        <f>IF(OR($A63="",$E63=""),"",IFERROR(E63*INDEX(CONTRATOS!$AA$2:$AA$601,MATCH($A63,CONTRATOS!$A$2:$A$601,0)),""))</f>
        <v/>
      </c>
      <c r="N63" s="19">
        <f>IF($A63="","",SUMIFS($E$2:$E$601,$A$2:$A$601,$A63))</f>
        <v/>
      </c>
      <c r="O63" s="12">
        <f>IF($A63="","",IFERROR(INDEX(CONTRATOS!$F$2:$F$601,MATCH($A63,CONTRATOS!$A$2:$A$601,0)),""))</f>
        <v/>
      </c>
      <c r="P63" s="12">
        <f>IF($A63="","",IFERROR(INDEX(CONTRATOS!$M$2:$M$601,MATCH($A63,CONTRATOS!$A$2:$A$601,0)),""))</f>
        <v/>
      </c>
      <c r="Q63" s="12">
        <f>IF($A63="","",IF(COUNTIF(CONTRATOS!$A$2:$A$601,$A63)=0,"El contrato no existe en CONTRATOS; ","")&amp;IF($B63="","Falta sujeto; ",IF(COUNTIF(SUJETOS!$A$2:$A$601,$B63)=0,"El sujeto no existe en SUJETOS; ",""))&amp;IF($E63="","Falta porcentaje; ","")&amp;IF(N63&gt;1.0001,"Los porcentajes del contrato suman más de 100 %; ","")&amp;IF(AND($C63="Individual",$E63&lt;&gt;"",$E63&lt;&gt;1),"Individual debe ser 100 %; ","")&amp;IF(AND($C63&lt;&gt;"Individual",$C63&lt;&gt;"",$E63=1),"Consorcio o UT con 100 %: revise; ","")&amp;IF(COUNTIFS($A$2:$A$601,$A63,$B$2:$B$601,$B63)&gt;1,"Participación repetida; ","")&amp;IF(AND(IFERROR(INDEX(SUJETOS!$B$2:$B$601,MATCH($B63,SUJETOS!$A$2:$A$601,0)),"")="Persona natural",$G63=""),"Persona natural sin cargo; ",""))</f>
        <v/>
      </c>
      <c r="R63" s="12">
        <f>IF($A63="","",IFERROR(IF(LEN(INDEX(SUJETOS!$F$2:$F$601,MATCH($B63,SUJETOS!$A$2:$A$601,0)))&gt;0,INDEX(SUJETOS!$F$2:$F$601,MATCH($B63,SUJETOS!$A$2:$A$601,0)),$B63),$B63))</f>
        <v/>
      </c>
    </row>
    <row r="64">
      <c r="E64" s="18" t="n"/>
      <c r="K64" s="13">
        <f>IF(OR($A64="",$E64=""),"",IFERROR(E64*INDEX(CONTRATOS!$P$2:$P$601,MATCH($A64,CONTRATOS!$A$2:$A$601,0)),""))</f>
        <v/>
      </c>
      <c r="L64" s="17">
        <f>IF(OR($A64="",$E64=""),"",IFERROR(E64*INDEX(CONTRATOS!$Z$2:$Z$601,MATCH($A64,CONTRATOS!$A$2:$A$601,0)),""))</f>
        <v/>
      </c>
      <c r="M64" s="13">
        <f>IF(OR($A64="",$E64=""),"",IFERROR(E64*INDEX(CONTRATOS!$AA$2:$AA$601,MATCH($A64,CONTRATOS!$A$2:$A$601,0)),""))</f>
        <v/>
      </c>
      <c r="N64" s="19">
        <f>IF($A64="","",SUMIFS($E$2:$E$601,$A$2:$A$601,$A64))</f>
        <v/>
      </c>
      <c r="O64" s="12">
        <f>IF($A64="","",IFERROR(INDEX(CONTRATOS!$F$2:$F$601,MATCH($A64,CONTRATOS!$A$2:$A$601,0)),""))</f>
        <v/>
      </c>
      <c r="P64" s="12">
        <f>IF($A64="","",IFERROR(INDEX(CONTRATOS!$M$2:$M$601,MATCH($A64,CONTRATOS!$A$2:$A$601,0)),""))</f>
        <v/>
      </c>
      <c r="Q64" s="12">
        <f>IF($A64="","",IF(COUNTIF(CONTRATOS!$A$2:$A$601,$A64)=0,"El contrato no existe en CONTRATOS; ","")&amp;IF($B64="","Falta sujeto; ",IF(COUNTIF(SUJETOS!$A$2:$A$601,$B64)=0,"El sujeto no existe en SUJETOS; ",""))&amp;IF($E64="","Falta porcentaje; ","")&amp;IF(N64&gt;1.0001,"Los porcentajes del contrato suman más de 100 %; ","")&amp;IF(AND($C64="Individual",$E64&lt;&gt;"",$E64&lt;&gt;1),"Individual debe ser 100 %; ","")&amp;IF(AND($C64&lt;&gt;"Individual",$C64&lt;&gt;"",$E64=1),"Consorcio o UT con 100 %: revise; ","")&amp;IF(COUNTIFS($A$2:$A$601,$A64,$B$2:$B$601,$B64)&gt;1,"Participación repetida; ","")&amp;IF(AND(IFERROR(INDEX(SUJETOS!$B$2:$B$601,MATCH($B64,SUJETOS!$A$2:$A$601,0)),"")="Persona natural",$G64=""),"Persona natural sin cargo; ",""))</f>
        <v/>
      </c>
      <c r="R64" s="12">
        <f>IF($A64="","",IFERROR(IF(LEN(INDEX(SUJETOS!$F$2:$F$601,MATCH($B64,SUJETOS!$A$2:$A$601,0)))&gt;0,INDEX(SUJETOS!$F$2:$F$601,MATCH($B64,SUJETOS!$A$2:$A$601,0)),$B64),$B64))</f>
        <v/>
      </c>
    </row>
    <row r="65">
      <c r="E65" s="18" t="n"/>
      <c r="K65" s="13">
        <f>IF(OR($A65="",$E65=""),"",IFERROR(E65*INDEX(CONTRATOS!$P$2:$P$601,MATCH($A65,CONTRATOS!$A$2:$A$601,0)),""))</f>
        <v/>
      </c>
      <c r="L65" s="17">
        <f>IF(OR($A65="",$E65=""),"",IFERROR(E65*INDEX(CONTRATOS!$Z$2:$Z$601,MATCH($A65,CONTRATOS!$A$2:$A$601,0)),""))</f>
        <v/>
      </c>
      <c r="M65" s="13">
        <f>IF(OR($A65="",$E65=""),"",IFERROR(E65*INDEX(CONTRATOS!$AA$2:$AA$601,MATCH($A65,CONTRATOS!$A$2:$A$601,0)),""))</f>
        <v/>
      </c>
      <c r="N65" s="19">
        <f>IF($A65="","",SUMIFS($E$2:$E$601,$A$2:$A$601,$A65))</f>
        <v/>
      </c>
      <c r="O65" s="12">
        <f>IF($A65="","",IFERROR(INDEX(CONTRATOS!$F$2:$F$601,MATCH($A65,CONTRATOS!$A$2:$A$601,0)),""))</f>
        <v/>
      </c>
      <c r="P65" s="12">
        <f>IF($A65="","",IFERROR(INDEX(CONTRATOS!$M$2:$M$601,MATCH($A65,CONTRATOS!$A$2:$A$601,0)),""))</f>
        <v/>
      </c>
      <c r="Q65" s="12">
        <f>IF($A65="","",IF(COUNTIF(CONTRATOS!$A$2:$A$601,$A65)=0,"El contrato no existe en CONTRATOS; ","")&amp;IF($B65="","Falta sujeto; ",IF(COUNTIF(SUJETOS!$A$2:$A$601,$B65)=0,"El sujeto no existe en SUJETOS; ",""))&amp;IF($E65="","Falta porcentaje; ","")&amp;IF(N65&gt;1.0001,"Los porcentajes del contrato suman más de 100 %; ","")&amp;IF(AND($C65="Individual",$E65&lt;&gt;"",$E65&lt;&gt;1),"Individual debe ser 100 %; ","")&amp;IF(AND($C65&lt;&gt;"Individual",$C65&lt;&gt;"",$E65=1),"Consorcio o UT con 100 %: revise; ","")&amp;IF(COUNTIFS($A$2:$A$601,$A65,$B$2:$B$601,$B65)&gt;1,"Participación repetida; ","")&amp;IF(AND(IFERROR(INDEX(SUJETOS!$B$2:$B$601,MATCH($B65,SUJETOS!$A$2:$A$601,0)),"")="Persona natural",$G65=""),"Persona natural sin cargo; ",""))</f>
        <v/>
      </c>
      <c r="R65" s="12">
        <f>IF($A65="","",IFERROR(IF(LEN(INDEX(SUJETOS!$F$2:$F$601,MATCH($B65,SUJETOS!$A$2:$A$601,0)))&gt;0,INDEX(SUJETOS!$F$2:$F$601,MATCH($B65,SUJETOS!$A$2:$A$601,0)),$B65),$B65))</f>
        <v/>
      </c>
    </row>
    <row r="66">
      <c r="E66" s="18" t="n"/>
      <c r="K66" s="13">
        <f>IF(OR($A66="",$E66=""),"",IFERROR(E66*INDEX(CONTRATOS!$P$2:$P$601,MATCH($A66,CONTRATOS!$A$2:$A$601,0)),""))</f>
        <v/>
      </c>
      <c r="L66" s="17">
        <f>IF(OR($A66="",$E66=""),"",IFERROR(E66*INDEX(CONTRATOS!$Z$2:$Z$601,MATCH($A66,CONTRATOS!$A$2:$A$601,0)),""))</f>
        <v/>
      </c>
      <c r="M66" s="13">
        <f>IF(OR($A66="",$E66=""),"",IFERROR(E66*INDEX(CONTRATOS!$AA$2:$AA$601,MATCH($A66,CONTRATOS!$A$2:$A$601,0)),""))</f>
        <v/>
      </c>
      <c r="N66" s="19">
        <f>IF($A66="","",SUMIFS($E$2:$E$601,$A$2:$A$601,$A66))</f>
        <v/>
      </c>
      <c r="O66" s="12">
        <f>IF($A66="","",IFERROR(INDEX(CONTRATOS!$F$2:$F$601,MATCH($A66,CONTRATOS!$A$2:$A$601,0)),""))</f>
        <v/>
      </c>
      <c r="P66" s="12">
        <f>IF($A66="","",IFERROR(INDEX(CONTRATOS!$M$2:$M$601,MATCH($A66,CONTRATOS!$A$2:$A$601,0)),""))</f>
        <v/>
      </c>
      <c r="Q66" s="12">
        <f>IF($A66="","",IF(COUNTIF(CONTRATOS!$A$2:$A$601,$A66)=0,"El contrato no existe en CONTRATOS; ","")&amp;IF($B66="","Falta sujeto; ",IF(COUNTIF(SUJETOS!$A$2:$A$601,$B66)=0,"El sujeto no existe en SUJETOS; ",""))&amp;IF($E66="","Falta porcentaje; ","")&amp;IF(N66&gt;1.0001,"Los porcentajes del contrato suman más de 100 %; ","")&amp;IF(AND($C66="Individual",$E66&lt;&gt;"",$E66&lt;&gt;1),"Individual debe ser 100 %; ","")&amp;IF(AND($C66&lt;&gt;"Individual",$C66&lt;&gt;"",$E66=1),"Consorcio o UT con 100 %: revise; ","")&amp;IF(COUNTIFS($A$2:$A$601,$A66,$B$2:$B$601,$B66)&gt;1,"Participación repetida; ","")&amp;IF(AND(IFERROR(INDEX(SUJETOS!$B$2:$B$601,MATCH($B66,SUJETOS!$A$2:$A$601,0)),"")="Persona natural",$G66=""),"Persona natural sin cargo; ",""))</f>
        <v/>
      </c>
      <c r="R66" s="12">
        <f>IF($A66="","",IFERROR(IF(LEN(INDEX(SUJETOS!$F$2:$F$601,MATCH($B66,SUJETOS!$A$2:$A$601,0)))&gt;0,INDEX(SUJETOS!$F$2:$F$601,MATCH($B66,SUJETOS!$A$2:$A$601,0)),$B66),$B66))</f>
        <v/>
      </c>
    </row>
    <row r="67">
      <c r="E67" s="18" t="n"/>
      <c r="K67" s="13">
        <f>IF(OR($A67="",$E67=""),"",IFERROR(E67*INDEX(CONTRATOS!$P$2:$P$601,MATCH($A67,CONTRATOS!$A$2:$A$601,0)),""))</f>
        <v/>
      </c>
      <c r="L67" s="17">
        <f>IF(OR($A67="",$E67=""),"",IFERROR(E67*INDEX(CONTRATOS!$Z$2:$Z$601,MATCH($A67,CONTRATOS!$A$2:$A$601,0)),""))</f>
        <v/>
      </c>
      <c r="M67" s="13">
        <f>IF(OR($A67="",$E67=""),"",IFERROR(E67*INDEX(CONTRATOS!$AA$2:$AA$601,MATCH($A67,CONTRATOS!$A$2:$A$601,0)),""))</f>
        <v/>
      </c>
      <c r="N67" s="19">
        <f>IF($A67="","",SUMIFS($E$2:$E$601,$A$2:$A$601,$A67))</f>
        <v/>
      </c>
      <c r="O67" s="12">
        <f>IF($A67="","",IFERROR(INDEX(CONTRATOS!$F$2:$F$601,MATCH($A67,CONTRATOS!$A$2:$A$601,0)),""))</f>
        <v/>
      </c>
      <c r="P67" s="12">
        <f>IF($A67="","",IFERROR(INDEX(CONTRATOS!$M$2:$M$601,MATCH($A67,CONTRATOS!$A$2:$A$601,0)),""))</f>
        <v/>
      </c>
      <c r="Q67" s="12">
        <f>IF($A67="","",IF(COUNTIF(CONTRATOS!$A$2:$A$601,$A67)=0,"El contrato no existe en CONTRATOS; ","")&amp;IF($B67="","Falta sujeto; ",IF(COUNTIF(SUJETOS!$A$2:$A$601,$B67)=0,"El sujeto no existe en SUJETOS; ",""))&amp;IF($E67="","Falta porcentaje; ","")&amp;IF(N67&gt;1.0001,"Los porcentajes del contrato suman más de 100 %; ","")&amp;IF(AND($C67="Individual",$E67&lt;&gt;"",$E67&lt;&gt;1),"Individual debe ser 100 %; ","")&amp;IF(AND($C67&lt;&gt;"Individual",$C67&lt;&gt;"",$E67=1),"Consorcio o UT con 100 %: revise; ","")&amp;IF(COUNTIFS($A$2:$A$601,$A67,$B$2:$B$601,$B67)&gt;1,"Participación repetida; ","")&amp;IF(AND(IFERROR(INDEX(SUJETOS!$B$2:$B$601,MATCH($B67,SUJETOS!$A$2:$A$601,0)),"")="Persona natural",$G67=""),"Persona natural sin cargo; ",""))</f>
        <v/>
      </c>
      <c r="R67" s="12">
        <f>IF($A67="","",IFERROR(IF(LEN(INDEX(SUJETOS!$F$2:$F$601,MATCH($B67,SUJETOS!$A$2:$A$601,0)))&gt;0,INDEX(SUJETOS!$F$2:$F$601,MATCH($B67,SUJETOS!$A$2:$A$601,0)),$B67),$B67))</f>
        <v/>
      </c>
    </row>
    <row r="68">
      <c r="E68" s="18" t="n"/>
      <c r="K68" s="13">
        <f>IF(OR($A68="",$E68=""),"",IFERROR(E68*INDEX(CONTRATOS!$P$2:$P$601,MATCH($A68,CONTRATOS!$A$2:$A$601,0)),""))</f>
        <v/>
      </c>
      <c r="L68" s="17">
        <f>IF(OR($A68="",$E68=""),"",IFERROR(E68*INDEX(CONTRATOS!$Z$2:$Z$601,MATCH($A68,CONTRATOS!$A$2:$A$601,0)),""))</f>
        <v/>
      </c>
      <c r="M68" s="13">
        <f>IF(OR($A68="",$E68=""),"",IFERROR(E68*INDEX(CONTRATOS!$AA$2:$AA$601,MATCH($A68,CONTRATOS!$A$2:$A$601,0)),""))</f>
        <v/>
      </c>
      <c r="N68" s="19">
        <f>IF($A68="","",SUMIFS($E$2:$E$601,$A$2:$A$601,$A68))</f>
        <v/>
      </c>
      <c r="O68" s="12">
        <f>IF($A68="","",IFERROR(INDEX(CONTRATOS!$F$2:$F$601,MATCH($A68,CONTRATOS!$A$2:$A$601,0)),""))</f>
        <v/>
      </c>
      <c r="P68" s="12">
        <f>IF($A68="","",IFERROR(INDEX(CONTRATOS!$M$2:$M$601,MATCH($A68,CONTRATOS!$A$2:$A$601,0)),""))</f>
        <v/>
      </c>
      <c r="Q68" s="12">
        <f>IF($A68="","",IF(COUNTIF(CONTRATOS!$A$2:$A$601,$A68)=0,"El contrato no existe en CONTRATOS; ","")&amp;IF($B68="","Falta sujeto; ",IF(COUNTIF(SUJETOS!$A$2:$A$601,$B68)=0,"El sujeto no existe en SUJETOS; ",""))&amp;IF($E68="","Falta porcentaje; ","")&amp;IF(N68&gt;1.0001,"Los porcentajes del contrato suman más de 100 %; ","")&amp;IF(AND($C68="Individual",$E68&lt;&gt;"",$E68&lt;&gt;1),"Individual debe ser 100 %; ","")&amp;IF(AND($C68&lt;&gt;"Individual",$C68&lt;&gt;"",$E68=1),"Consorcio o UT con 100 %: revise; ","")&amp;IF(COUNTIFS($A$2:$A$601,$A68,$B$2:$B$601,$B68)&gt;1,"Participación repetida; ","")&amp;IF(AND(IFERROR(INDEX(SUJETOS!$B$2:$B$601,MATCH($B68,SUJETOS!$A$2:$A$601,0)),"")="Persona natural",$G68=""),"Persona natural sin cargo; ",""))</f>
        <v/>
      </c>
      <c r="R68" s="12">
        <f>IF($A68="","",IFERROR(IF(LEN(INDEX(SUJETOS!$F$2:$F$601,MATCH($B68,SUJETOS!$A$2:$A$601,0)))&gt;0,INDEX(SUJETOS!$F$2:$F$601,MATCH($B68,SUJETOS!$A$2:$A$601,0)),$B68),$B68))</f>
        <v/>
      </c>
    </row>
    <row r="69">
      <c r="E69" s="18" t="n"/>
      <c r="K69" s="13">
        <f>IF(OR($A69="",$E69=""),"",IFERROR(E69*INDEX(CONTRATOS!$P$2:$P$601,MATCH($A69,CONTRATOS!$A$2:$A$601,0)),""))</f>
        <v/>
      </c>
      <c r="L69" s="17">
        <f>IF(OR($A69="",$E69=""),"",IFERROR(E69*INDEX(CONTRATOS!$Z$2:$Z$601,MATCH($A69,CONTRATOS!$A$2:$A$601,0)),""))</f>
        <v/>
      </c>
      <c r="M69" s="13">
        <f>IF(OR($A69="",$E69=""),"",IFERROR(E69*INDEX(CONTRATOS!$AA$2:$AA$601,MATCH($A69,CONTRATOS!$A$2:$A$601,0)),""))</f>
        <v/>
      </c>
      <c r="N69" s="19">
        <f>IF($A69="","",SUMIFS($E$2:$E$601,$A$2:$A$601,$A69))</f>
        <v/>
      </c>
      <c r="O69" s="12">
        <f>IF($A69="","",IFERROR(INDEX(CONTRATOS!$F$2:$F$601,MATCH($A69,CONTRATOS!$A$2:$A$601,0)),""))</f>
        <v/>
      </c>
      <c r="P69" s="12">
        <f>IF($A69="","",IFERROR(INDEX(CONTRATOS!$M$2:$M$601,MATCH($A69,CONTRATOS!$A$2:$A$601,0)),""))</f>
        <v/>
      </c>
      <c r="Q69" s="12">
        <f>IF($A69="","",IF(COUNTIF(CONTRATOS!$A$2:$A$601,$A69)=0,"El contrato no existe en CONTRATOS; ","")&amp;IF($B69="","Falta sujeto; ",IF(COUNTIF(SUJETOS!$A$2:$A$601,$B69)=0,"El sujeto no existe en SUJETOS; ",""))&amp;IF($E69="","Falta porcentaje; ","")&amp;IF(N69&gt;1.0001,"Los porcentajes del contrato suman más de 100 %; ","")&amp;IF(AND($C69="Individual",$E69&lt;&gt;"",$E69&lt;&gt;1),"Individual debe ser 100 %; ","")&amp;IF(AND($C69&lt;&gt;"Individual",$C69&lt;&gt;"",$E69=1),"Consorcio o UT con 100 %: revise; ","")&amp;IF(COUNTIFS($A$2:$A$601,$A69,$B$2:$B$601,$B69)&gt;1,"Participación repetida; ","")&amp;IF(AND(IFERROR(INDEX(SUJETOS!$B$2:$B$601,MATCH($B69,SUJETOS!$A$2:$A$601,0)),"")="Persona natural",$G69=""),"Persona natural sin cargo; ",""))</f>
        <v/>
      </c>
      <c r="R69" s="12">
        <f>IF($A69="","",IFERROR(IF(LEN(INDEX(SUJETOS!$F$2:$F$601,MATCH($B69,SUJETOS!$A$2:$A$601,0)))&gt;0,INDEX(SUJETOS!$F$2:$F$601,MATCH($B69,SUJETOS!$A$2:$A$601,0)),$B69),$B69))</f>
        <v/>
      </c>
    </row>
    <row r="70">
      <c r="E70" s="18" t="n"/>
      <c r="K70" s="13">
        <f>IF(OR($A70="",$E70=""),"",IFERROR(E70*INDEX(CONTRATOS!$P$2:$P$601,MATCH($A70,CONTRATOS!$A$2:$A$601,0)),""))</f>
        <v/>
      </c>
      <c r="L70" s="17">
        <f>IF(OR($A70="",$E70=""),"",IFERROR(E70*INDEX(CONTRATOS!$Z$2:$Z$601,MATCH($A70,CONTRATOS!$A$2:$A$601,0)),""))</f>
        <v/>
      </c>
      <c r="M70" s="13">
        <f>IF(OR($A70="",$E70=""),"",IFERROR(E70*INDEX(CONTRATOS!$AA$2:$AA$601,MATCH($A70,CONTRATOS!$A$2:$A$601,0)),""))</f>
        <v/>
      </c>
      <c r="N70" s="19">
        <f>IF($A70="","",SUMIFS($E$2:$E$601,$A$2:$A$601,$A70))</f>
        <v/>
      </c>
      <c r="O70" s="12">
        <f>IF($A70="","",IFERROR(INDEX(CONTRATOS!$F$2:$F$601,MATCH($A70,CONTRATOS!$A$2:$A$601,0)),""))</f>
        <v/>
      </c>
      <c r="P70" s="12">
        <f>IF($A70="","",IFERROR(INDEX(CONTRATOS!$M$2:$M$601,MATCH($A70,CONTRATOS!$A$2:$A$601,0)),""))</f>
        <v/>
      </c>
      <c r="Q70" s="12">
        <f>IF($A70="","",IF(COUNTIF(CONTRATOS!$A$2:$A$601,$A70)=0,"El contrato no existe en CONTRATOS; ","")&amp;IF($B70="","Falta sujeto; ",IF(COUNTIF(SUJETOS!$A$2:$A$601,$B70)=0,"El sujeto no existe en SUJETOS; ",""))&amp;IF($E70="","Falta porcentaje; ","")&amp;IF(N70&gt;1.0001,"Los porcentajes del contrato suman más de 100 %; ","")&amp;IF(AND($C70="Individual",$E70&lt;&gt;"",$E70&lt;&gt;1),"Individual debe ser 100 %; ","")&amp;IF(AND($C70&lt;&gt;"Individual",$C70&lt;&gt;"",$E70=1),"Consorcio o UT con 100 %: revise; ","")&amp;IF(COUNTIFS($A$2:$A$601,$A70,$B$2:$B$601,$B70)&gt;1,"Participación repetida; ","")&amp;IF(AND(IFERROR(INDEX(SUJETOS!$B$2:$B$601,MATCH($B70,SUJETOS!$A$2:$A$601,0)),"")="Persona natural",$G70=""),"Persona natural sin cargo; ",""))</f>
        <v/>
      </c>
      <c r="R70" s="12">
        <f>IF($A70="","",IFERROR(IF(LEN(INDEX(SUJETOS!$F$2:$F$601,MATCH($B70,SUJETOS!$A$2:$A$601,0)))&gt;0,INDEX(SUJETOS!$F$2:$F$601,MATCH($B70,SUJETOS!$A$2:$A$601,0)),$B70),$B70))</f>
        <v/>
      </c>
    </row>
    <row r="71">
      <c r="E71" s="18" t="n"/>
      <c r="K71" s="13">
        <f>IF(OR($A71="",$E71=""),"",IFERROR(E71*INDEX(CONTRATOS!$P$2:$P$601,MATCH($A71,CONTRATOS!$A$2:$A$601,0)),""))</f>
        <v/>
      </c>
      <c r="L71" s="17">
        <f>IF(OR($A71="",$E71=""),"",IFERROR(E71*INDEX(CONTRATOS!$Z$2:$Z$601,MATCH($A71,CONTRATOS!$A$2:$A$601,0)),""))</f>
        <v/>
      </c>
      <c r="M71" s="13">
        <f>IF(OR($A71="",$E71=""),"",IFERROR(E71*INDEX(CONTRATOS!$AA$2:$AA$601,MATCH($A71,CONTRATOS!$A$2:$A$601,0)),""))</f>
        <v/>
      </c>
      <c r="N71" s="19">
        <f>IF($A71="","",SUMIFS($E$2:$E$601,$A$2:$A$601,$A71))</f>
        <v/>
      </c>
      <c r="O71" s="12">
        <f>IF($A71="","",IFERROR(INDEX(CONTRATOS!$F$2:$F$601,MATCH($A71,CONTRATOS!$A$2:$A$601,0)),""))</f>
        <v/>
      </c>
      <c r="P71" s="12">
        <f>IF($A71="","",IFERROR(INDEX(CONTRATOS!$M$2:$M$601,MATCH($A71,CONTRATOS!$A$2:$A$601,0)),""))</f>
        <v/>
      </c>
      <c r="Q71" s="12">
        <f>IF($A71="","",IF(COUNTIF(CONTRATOS!$A$2:$A$601,$A71)=0,"El contrato no existe en CONTRATOS; ","")&amp;IF($B71="","Falta sujeto; ",IF(COUNTIF(SUJETOS!$A$2:$A$601,$B71)=0,"El sujeto no existe en SUJETOS; ",""))&amp;IF($E71="","Falta porcentaje; ","")&amp;IF(N71&gt;1.0001,"Los porcentajes del contrato suman más de 100 %; ","")&amp;IF(AND($C71="Individual",$E71&lt;&gt;"",$E71&lt;&gt;1),"Individual debe ser 100 %; ","")&amp;IF(AND($C71&lt;&gt;"Individual",$C71&lt;&gt;"",$E71=1),"Consorcio o UT con 100 %: revise; ","")&amp;IF(COUNTIFS($A$2:$A$601,$A71,$B$2:$B$601,$B71)&gt;1,"Participación repetida; ","")&amp;IF(AND(IFERROR(INDEX(SUJETOS!$B$2:$B$601,MATCH($B71,SUJETOS!$A$2:$A$601,0)),"")="Persona natural",$G71=""),"Persona natural sin cargo; ",""))</f>
        <v/>
      </c>
      <c r="R71" s="12">
        <f>IF($A71="","",IFERROR(IF(LEN(INDEX(SUJETOS!$F$2:$F$601,MATCH($B71,SUJETOS!$A$2:$A$601,0)))&gt;0,INDEX(SUJETOS!$F$2:$F$601,MATCH($B71,SUJETOS!$A$2:$A$601,0)),$B71),$B71))</f>
        <v/>
      </c>
    </row>
    <row r="72">
      <c r="E72" s="18" t="n"/>
      <c r="K72" s="13">
        <f>IF(OR($A72="",$E72=""),"",IFERROR(E72*INDEX(CONTRATOS!$P$2:$P$601,MATCH($A72,CONTRATOS!$A$2:$A$601,0)),""))</f>
        <v/>
      </c>
      <c r="L72" s="17">
        <f>IF(OR($A72="",$E72=""),"",IFERROR(E72*INDEX(CONTRATOS!$Z$2:$Z$601,MATCH($A72,CONTRATOS!$A$2:$A$601,0)),""))</f>
        <v/>
      </c>
      <c r="M72" s="13">
        <f>IF(OR($A72="",$E72=""),"",IFERROR(E72*INDEX(CONTRATOS!$AA$2:$AA$601,MATCH($A72,CONTRATOS!$A$2:$A$601,0)),""))</f>
        <v/>
      </c>
      <c r="N72" s="19">
        <f>IF($A72="","",SUMIFS($E$2:$E$601,$A$2:$A$601,$A72))</f>
        <v/>
      </c>
      <c r="O72" s="12">
        <f>IF($A72="","",IFERROR(INDEX(CONTRATOS!$F$2:$F$601,MATCH($A72,CONTRATOS!$A$2:$A$601,0)),""))</f>
        <v/>
      </c>
      <c r="P72" s="12">
        <f>IF($A72="","",IFERROR(INDEX(CONTRATOS!$M$2:$M$601,MATCH($A72,CONTRATOS!$A$2:$A$601,0)),""))</f>
        <v/>
      </c>
      <c r="Q72" s="12">
        <f>IF($A72="","",IF(COUNTIF(CONTRATOS!$A$2:$A$601,$A72)=0,"El contrato no existe en CONTRATOS; ","")&amp;IF($B72="","Falta sujeto; ",IF(COUNTIF(SUJETOS!$A$2:$A$601,$B72)=0,"El sujeto no existe en SUJETOS; ",""))&amp;IF($E72="","Falta porcentaje; ","")&amp;IF(N72&gt;1.0001,"Los porcentajes del contrato suman más de 100 %; ","")&amp;IF(AND($C72="Individual",$E72&lt;&gt;"",$E72&lt;&gt;1),"Individual debe ser 100 %; ","")&amp;IF(AND($C72&lt;&gt;"Individual",$C72&lt;&gt;"",$E72=1),"Consorcio o UT con 100 %: revise; ","")&amp;IF(COUNTIFS($A$2:$A$601,$A72,$B$2:$B$601,$B72)&gt;1,"Participación repetida; ","")&amp;IF(AND(IFERROR(INDEX(SUJETOS!$B$2:$B$601,MATCH($B72,SUJETOS!$A$2:$A$601,0)),"")="Persona natural",$G72=""),"Persona natural sin cargo; ",""))</f>
        <v/>
      </c>
      <c r="R72" s="12">
        <f>IF($A72="","",IFERROR(IF(LEN(INDEX(SUJETOS!$F$2:$F$601,MATCH($B72,SUJETOS!$A$2:$A$601,0)))&gt;0,INDEX(SUJETOS!$F$2:$F$601,MATCH($B72,SUJETOS!$A$2:$A$601,0)),$B72),$B72))</f>
        <v/>
      </c>
    </row>
    <row r="73">
      <c r="E73" s="18" t="n"/>
      <c r="K73" s="13">
        <f>IF(OR($A73="",$E73=""),"",IFERROR(E73*INDEX(CONTRATOS!$P$2:$P$601,MATCH($A73,CONTRATOS!$A$2:$A$601,0)),""))</f>
        <v/>
      </c>
      <c r="L73" s="17">
        <f>IF(OR($A73="",$E73=""),"",IFERROR(E73*INDEX(CONTRATOS!$Z$2:$Z$601,MATCH($A73,CONTRATOS!$A$2:$A$601,0)),""))</f>
        <v/>
      </c>
      <c r="M73" s="13">
        <f>IF(OR($A73="",$E73=""),"",IFERROR(E73*INDEX(CONTRATOS!$AA$2:$AA$601,MATCH($A73,CONTRATOS!$A$2:$A$601,0)),""))</f>
        <v/>
      </c>
      <c r="N73" s="19">
        <f>IF($A73="","",SUMIFS($E$2:$E$601,$A$2:$A$601,$A73))</f>
        <v/>
      </c>
      <c r="O73" s="12">
        <f>IF($A73="","",IFERROR(INDEX(CONTRATOS!$F$2:$F$601,MATCH($A73,CONTRATOS!$A$2:$A$601,0)),""))</f>
        <v/>
      </c>
      <c r="P73" s="12">
        <f>IF($A73="","",IFERROR(INDEX(CONTRATOS!$M$2:$M$601,MATCH($A73,CONTRATOS!$A$2:$A$601,0)),""))</f>
        <v/>
      </c>
      <c r="Q73" s="12">
        <f>IF($A73="","",IF(COUNTIF(CONTRATOS!$A$2:$A$601,$A73)=0,"El contrato no existe en CONTRATOS; ","")&amp;IF($B73="","Falta sujeto; ",IF(COUNTIF(SUJETOS!$A$2:$A$601,$B73)=0,"El sujeto no existe en SUJETOS; ",""))&amp;IF($E73="","Falta porcentaje; ","")&amp;IF(N73&gt;1.0001,"Los porcentajes del contrato suman más de 100 %; ","")&amp;IF(AND($C73="Individual",$E73&lt;&gt;"",$E73&lt;&gt;1),"Individual debe ser 100 %; ","")&amp;IF(AND($C73&lt;&gt;"Individual",$C73&lt;&gt;"",$E73=1),"Consorcio o UT con 100 %: revise; ","")&amp;IF(COUNTIFS($A$2:$A$601,$A73,$B$2:$B$601,$B73)&gt;1,"Participación repetida; ","")&amp;IF(AND(IFERROR(INDEX(SUJETOS!$B$2:$B$601,MATCH($B73,SUJETOS!$A$2:$A$601,0)),"")="Persona natural",$G73=""),"Persona natural sin cargo; ",""))</f>
        <v/>
      </c>
      <c r="R73" s="12">
        <f>IF($A73="","",IFERROR(IF(LEN(INDEX(SUJETOS!$F$2:$F$601,MATCH($B73,SUJETOS!$A$2:$A$601,0)))&gt;0,INDEX(SUJETOS!$F$2:$F$601,MATCH($B73,SUJETOS!$A$2:$A$601,0)),$B73),$B73))</f>
        <v/>
      </c>
    </row>
    <row r="74">
      <c r="E74" s="18" t="n"/>
      <c r="K74" s="13">
        <f>IF(OR($A74="",$E74=""),"",IFERROR(E74*INDEX(CONTRATOS!$P$2:$P$601,MATCH($A74,CONTRATOS!$A$2:$A$601,0)),""))</f>
        <v/>
      </c>
      <c r="L74" s="17">
        <f>IF(OR($A74="",$E74=""),"",IFERROR(E74*INDEX(CONTRATOS!$Z$2:$Z$601,MATCH($A74,CONTRATOS!$A$2:$A$601,0)),""))</f>
        <v/>
      </c>
      <c r="M74" s="13">
        <f>IF(OR($A74="",$E74=""),"",IFERROR(E74*INDEX(CONTRATOS!$AA$2:$AA$601,MATCH($A74,CONTRATOS!$A$2:$A$601,0)),""))</f>
        <v/>
      </c>
      <c r="N74" s="19">
        <f>IF($A74="","",SUMIFS($E$2:$E$601,$A$2:$A$601,$A74))</f>
        <v/>
      </c>
      <c r="O74" s="12">
        <f>IF($A74="","",IFERROR(INDEX(CONTRATOS!$F$2:$F$601,MATCH($A74,CONTRATOS!$A$2:$A$601,0)),""))</f>
        <v/>
      </c>
      <c r="P74" s="12">
        <f>IF($A74="","",IFERROR(INDEX(CONTRATOS!$M$2:$M$601,MATCH($A74,CONTRATOS!$A$2:$A$601,0)),""))</f>
        <v/>
      </c>
      <c r="Q74" s="12">
        <f>IF($A74="","",IF(COUNTIF(CONTRATOS!$A$2:$A$601,$A74)=0,"El contrato no existe en CONTRATOS; ","")&amp;IF($B74="","Falta sujeto; ",IF(COUNTIF(SUJETOS!$A$2:$A$601,$B74)=0,"El sujeto no existe en SUJETOS; ",""))&amp;IF($E74="","Falta porcentaje; ","")&amp;IF(N74&gt;1.0001,"Los porcentajes del contrato suman más de 100 %; ","")&amp;IF(AND($C74="Individual",$E74&lt;&gt;"",$E74&lt;&gt;1),"Individual debe ser 100 %; ","")&amp;IF(AND($C74&lt;&gt;"Individual",$C74&lt;&gt;"",$E74=1),"Consorcio o UT con 100 %: revise; ","")&amp;IF(COUNTIFS($A$2:$A$601,$A74,$B$2:$B$601,$B74)&gt;1,"Participación repetida; ","")&amp;IF(AND(IFERROR(INDEX(SUJETOS!$B$2:$B$601,MATCH($B74,SUJETOS!$A$2:$A$601,0)),"")="Persona natural",$G74=""),"Persona natural sin cargo; ",""))</f>
        <v/>
      </c>
      <c r="R74" s="12">
        <f>IF($A74="","",IFERROR(IF(LEN(INDEX(SUJETOS!$F$2:$F$601,MATCH($B74,SUJETOS!$A$2:$A$601,0)))&gt;0,INDEX(SUJETOS!$F$2:$F$601,MATCH($B74,SUJETOS!$A$2:$A$601,0)),$B74),$B74))</f>
        <v/>
      </c>
    </row>
    <row r="75">
      <c r="E75" s="18" t="n"/>
      <c r="K75" s="13">
        <f>IF(OR($A75="",$E75=""),"",IFERROR(E75*INDEX(CONTRATOS!$P$2:$P$601,MATCH($A75,CONTRATOS!$A$2:$A$601,0)),""))</f>
        <v/>
      </c>
      <c r="L75" s="17">
        <f>IF(OR($A75="",$E75=""),"",IFERROR(E75*INDEX(CONTRATOS!$Z$2:$Z$601,MATCH($A75,CONTRATOS!$A$2:$A$601,0)),""))</f>
        <v/>
      </c>
      <c r="M75" s="13">
        <f>IF(OR($A75="",$E75=""),"",IFERROR(E75*INDEX(CONTRATOS!$AA$2:$AA$601,MATCH($A75,CONTRATOS!$A$2:$A$601,0)),""))</f>
        <v/>
      </c>
      <c r="N75" s="19">
        <f>IF($A75="","",SUMIFS($E$2:$E$601,$A$2:$A$601,$A75))</f>
        <v/>
      </c>
      <c r="O75" s="12">
        <f>IF($A75="","",IFERROR(INDEX(CONTRATOS!$F$2:$F$601,MATCH($A75,CONTRATOS!$A$2:$A$601,0)),""))</f>
        <v/>
      </c>
      <c r="P75" s="12">
        <f>IF($A75="","",IFERROR(INDEX(CONTRATOS!$M$2:$M$601,MATCH($A75,CONTRATOS!$A$2:$A$601,0)),""))</f>
        <v/>
      </c>
      <c r="Q75" s="12">
        <f>IF($A75="","",IF(COUNTIF(CONTRATOS!$A$2:$A$601,$A75)=0,"El contrato no existe en CONTRATOS; ","")&amp;IF($B75="","Falta sujeto; ",IF(COUNTIF(SUJETOS!$A$2:$A$601,$B75)=0,"El sujeto no existe en SUJETOS; ",""))&amp;IF($E75="","Falta porcentaje; ","")&amp;IF(N75&gt;1.0001,"Los porcentajes del contrato suman más de 100 %; ","")&amp;IF(AND($C75="Individual",$E75&lt;&gt;"",$E75&lt;&gt;1),"Individual debe ser 100 %; ","")&amp;IF(AND($C75&lt;&gt;"Individual",$C75&lt;&gt;"",$E75=1),"Consorcio o UT con 100 %: revise; ","")&amp;IF(COUNTIFS($A$2:$A$601,$A75,$B$2:$B$601,$B75)&gt;1,"Participación repetida; ","")&amp;IF(AND(IFERROR(INDEX(SUJETOS!$B$2:$B$601,MATCH($B75,SUJETOS!$A$2:$A$601,0)),"")="Persona natural",$G75=""),"Persona natural sin cargo; ",""))</f>
        <v/>
      </c>
      <c r="R75" s="12">
        <f>IF($A75="","",IFERROR(IF(LEN(INDEX(SUJETOS!$F$2:$F$601,MATCH($B75,SUJETOS!$A$2:$A$601,0)))&gt;0,INDEX(SUJETOS!$F$2:$F$601,MATCH($B75,SUJETOS!$A$2:$A$601,0)),$B75),$B75))</f>
        <v/>
      </c>
    </row>
    <row r="76">
      <c r="E76" s="18" t="n"/>
      <c r="K76" s="13">
        <f>IF(OR($A76="",$E76=""),"",IFERROR(E76*INDEX(CONTRATOS!$P$2:$P$601,MATCH($A76,CONTRATOS!$A$2:$A$601,0)),""))</f>
        <v/>
      </c>
      <c r="L76" s="17">
        <f>IF(OR($A76="",$E76=""),"",IFERROR(E76*INDEX(CONTRATOS!$Z$2:$Z$601,MATCH($A76,CONTRATOS!$A$2:$A$601,0)),""))</f>
        <v/>
      </c>
      <c r="M76" s="13">
        <f>IF(OR($A76="",$E76=""),"",IFERROR(E76*INDEX(CONTRATOS!$AA$2:$AA$601,MATCH($A76,CONTRATOS!$A$2:$A$601,0)),""))</f>
        <v/>
      </c>
      <c r="N76" s="19">
        <f>IF($A76="","",SUMIFS($E$2:$E$601,$A$2:$A$601,$A76))</f>
        <v/>
      </c>
      <c r="O76" s="12">
        <f>IF($A76="","",IFERROR(INDEX(CONTRATOS!$F$2:$F$601,MATCH($A76,CONTRATOS!$A$2:$A$601,0)),""))</f>
        <v/>
      </c>
      <c r="P76" s="12">
        <f>IF($A76="","",IFERROR(INDEX(CONTRATOS!$M$2:$M$601,MATCH($A76,CONTRATOS!$A$2:$A$601,0)),""))</f>
        <v/>
      </c>
      <c r="Q76" s="12">
        <f>IF($A76="","",IF(COUNTIF(CONTRATOS!$A$2:$A$601,$A76)=0,"El contrato no existe en CONTRATOS; ","")&amp;IF($B76="","Falta sujeto; ",IF(COUNTIF(SUJETOS!$A$2:$A$601,$B76)=0,"El sujeto no existe en SUJETOS; ",""))&amp;IF($E76="","Falta porcentaje; ","")&amp;IF(N76&gt;1.0001,"Los porcentajes del contrato suman más de 100 %; ","")&amp;IF(AND($C76="Individual",$E76&lt;&gt;"",$E76&lt;&gt;1),"Individual debe ser 100 %; ","")&amp;IF(AND($C76&lt;&gt;"Individual",$C76&lt;&gt;"",$E76=1),"Consorcio o UT con 100 %: revise; ","")&amp;IF(COUNTIFS($A$2:$A$601,$A76,$B$2:$B$601,$B76)&gt;1,"Participación repetida; ","")&amp;IF(AND(IFERROR(INDEX(SUJETOS!$B$2:$B$601,MATCH($B76,SUJETOS!$A$2:$A$601,0)),"")="Persona natural",$G76=""),"Persona natural sin cargo; ",""))</f>
        <v/>
      </c>
      <c r="R76" s="12">
        <f>IF($A76="","",IFERROR(IF(LEN(INDEX(SUJETOS!$F$2:$F$601,MATCH($B76,SUJETOS!$A$2:$A$601,0)))&gt;0,INDEX(SUJETOS!$F$2:$F$601,MATCH($B76,SUJETOS!$A$2:$A$601,0)),$B76),$B76))</f>
        <v/>
      </c>
    </row>
    <row r="77">
      <c r="E77" s="18" t="n"/>
      <c r="K77" s="13">
        <f>IF(OR($A77="",$E77=""),"",IFERROR(E77*INDEX(CONTRATOS!$P$2:$P$601,MATCH($A77,CONTRATOS!$A$2:$A$601,0)),""))</f>
        <v/>
      </c>
      <c r="L77" s="17">
        <f>IF(OR($A77="",$E77=""),"",IFERROR(E77*INDEX(CONTRATOS!$Z$2:$Z$601,MATCH($A77,CONTRATOS!$A$2:$A$601,0)),""))</f>
        <v/>
      </c>
      <c r="M77" s="13">
        <f>IF(OR($A77="",$E77=""),"",IFERROR(E77*INDEX(CONTRATOS!$AA$2:$AA$601,MATCH($A77,CONTRATOS!$A$2:$A$601,0)),""))</f>
        <v/>
      </c>
      <c r="N77" s="19">
        <f>IF($A77="","",SUMIFS($E$2:$E$601,$A$2:$A$601,$A77))</f>
        <v/>
      </c>
      <c r="O77" s="12">
        <f>IF($A77="","",IFERROR(INDEX(CONTRATOS!$F$2:$F$601,MATCH($A77,CONTRATOS!$A$2:$A$601,0)),""))</f>
        <v/>
      </c>
      <c r="P77" s="12">
        <f>IF($A77="","",IFERROR(INDEX(CONTRATOS!$M$2:$M$601,MATCH($A77,CONTRATOS!$A$2:$A$601,0)),""))</f>
        <v/>
      </c>
      <c r="Q77" s="12">
        <f>IF($A77="","",IF(COUNTIF(CONTRATOS!$A$2:$A$601,$A77)=0,"El contrato no existe en CONTRATOS; ","")&amp;IF($B77="","Falta sujeto; ",IF(COUNTIF(SUJETOS!$A$2:$A$601,$B77)=0,"El sujeto no existe en SUJETOS; ",""))&amp;IF($E77="","Falta porcentaje; ","")&amp;IF(N77&gt;1.0001,"Los porcentajes del contrato suman más de 100 %; ","")&amp;IF(AND($C77="Individual",$E77&lt;&gt;"",$E77&lt;&gt;1),"Individual debe ser 100 %; ","")&amp;IF(AND($C77&lt;&gt;"Individual",$C77&lt;&gt;"",$E77=1),"Consorcio o UT con 100 %: revise; ","")&amp;IF(COUNTIFS($A$2:$A$601,$A77,$B$2:$B$601,$B77)&gt;1,"Participación repetida; ","")&amp;IF(AND(IFERROR(INDEX(SUJETOS!$B$2:$B$601,MATCH($B77,SUJETOS!$A$2:$A$601,0)),"")="Persona natural",$G77=""),"Persona natural sin cargo; ",""))</f>
        <v/>
      </c>
      <c r="R77" s="12">
        <f>IF($A77="","",IFERROR(IF(LEN(INDEX(SUJETOS!$F$2:$F$601,MATCH($B77,SUJETOS!$A$2:$A$601,0)))&gt;0,INDEX(SUJETOS!$F$2:$F$601,MATCH($B77,SUJETOS!$A$2:$A$601,0)),$B77),$B77))</f>
        <v/>
      </c>
    </row>
    <row r="78">
      <c r="E78" s="18" t="n"/>
      <c r="K78" s="13">
        <f>IF(OR($A78="",$E78=""),"",IFERROR(E78*INDEX(CONTRATOS!$P$2:$P$601,MATCH($A78,CONTRATOS!$A$2:$A$601,0)),""))</f>
        <v/>
      </c>
      <c r="L78" s="17">
        <f>IF(OR($A78="",$E78=""),"",IFERROR(E78*INDEX(CONTRATOS!$Z$2:$Z$601,MATCH($A78,CONTRATOS!$A$2:$A$601,0)),""))</f>
        <v/>
      </c>
      <c r="M78" s="13">
        <f>IF(OR($A78="",$E78=""),"",IFERROR(E78*INDEX(CONTRATOS!$AA$2:$AA$601,MATCH($A78,CONTRATOS!$A$2:$A$601,0)),""))</f>
        <v/>
      </c>
      <c r="N78" s="19">
        <f>IF($A78="","",SUMIFS($E$2:$E$601,$A$2:$A$601,$A78))</f>
        <v/>
      </c>
      <c r="O78" s="12">
        <f>IF($A78="","",IFERROR(INDEX(CONTRATOS!$F$2:$F$601,MATCH($A78,CONTRATOS!$A$2:$A$601,0)),""))</f>
        <v/>
      </c>
      <c r="P78" s="12">
        <f>IF($A78="","",IFERROR(INDEX(CONTRATOS!$M$2:$M$601,MATCH($A78,CONTRATOS!$A$2:$A$601,0)),""))</f>
        <v/>
      </c>
      <c r="Q78" s="12">
        <f>IF($A78="","",IF(COUNTIF(CONTRATOS!$A$2:$A$601,$A78)=0,"El contrato no existe en CONTRATOS; ","")&amp;IF($B78="","Falta sujeto; ",IF(COUNTIF(SUJETOS!$A$2:$A$601,$B78)=0,"El sujeto no existe en SUJETOS; ",""))&amp;IF($E78="","Falta porcentaje; ","")&amp;IF(N78&gt;1.0001,"Los porcentajes del contrato suman más de 100 %; ","")&amp;IF(AND($C78="Individual",$E78&lt;&gt;"",$E78&lt;&gt;1),"Individual debe ser 100 %; ","")&amp;IF(AND($C78&lt;&gt;"Individual",$C78&lt;&gt;"",$E78=1),"Consorcio o UT con 100 %: revise; ","")&amp;IF(COUNTIFS($A$2:$A$601,$A78,$B$2:$B$601,$B78)&gt;1,"Participación repetida; ","")&amp;IF(AND(IFERROR(INDEX(SUJETOS!$B$2:$B$601,MATCH($B78,SUJETOS!$A$2:$A$601,0)),"")="Persona natural",$G78=""),"Persona natural sin cargo; ",""))</f>
        <v/>
      </c>
      <c r="R78" s="12">
        <f>IF($A78="","",IFERROR(IF(LEN(INDEX(SUJETOS!$F$2:$F$601,MATCH($B78,SUJETOS!$A$2:$A$601,0)))&gt;0,INDEX(SUJETOS!$F$2:$F$601,MATCH($B78,SUJETOS!$A$2:$A$601,0)),$B78),$B78))</f>
        <v/>
      </c>
    </row>
    <row r="79">
      <c r="E79" s="18" t="n"/>
      <c r="K79" s="13">
        <f>IF(OR($A79="",$E79=""),"",IFERROR(E79*INDEX(CONTRATOS!$P$2:$P$601,MATCH($A79,CONTRATOS!$A$2:$A$601,0)),""))</f>
        <v/>
      </c>
      <c r="L79" s="17">
        <f>IF(OR($A79="",$E79=""),"",IFERROR(E79*INDEX(CONTRATOS!$Z$2:$Z$601,MATCH($A79,CONTRATOS!$A$2:$A$601,0)),""))</f>
        <v/>
      </c>
      <c r="M79" s="13">
        <f>IF(OR($A79="",$E79=""),"",IFERROR(E79*INDEX(CONTRATOS!$AA$2:$AA$601,MATCH($A79,CONTRATOS!$A$2:$A$601,0)),""))</f>
        <v/>
      </c>
      <c r="N79" s="19">
        <f>IF($A79="","",SUMIFS($E$2:$E$601,$A$2:$A$601,$A79))</f>
        <v/>
      </c>
      <c r="O79" s="12">
        <f>IF($A79="","",IFERROR(INDEX(CONTRATOS!$F$2:$F$601,MATCH($A79,CONTRATOS!$A$2:$A$601,0)),""))</f>
        <v/>
      </c>
      <c r="P79" s="12">
        <f>IF($A79="","",IFERROR(INDEX(CONTRATOS!$M$2:$M$601,MATCH($A79,CONTRATOS!$A$2:$A$601,0)),""))</f>
        <v/>
      </c>
      <c r="Q79" s="12">
        <f>IF($A79="","",IF(COUNTIF(CONTRATOS!$A$2:$A$601,$A79)=0,"El contrato no existe en CONTRATOS; ","")&amp;IF($B79="","Falta sujeto; ",IF(COUNTIF(SUJETOS!$A$2:$A$601,$B79)=0,"El sujeto no existe en SUJETOS; ",""))&amp;IF($E79="","Falta porcentaje; ","")&amp;IF(N79&gt;1.0001,"Los porcentajes del contrato suman más de 100 %; ","")&amp;IF(AND($C79="Individual",$E79&lt;&gt;"",$E79&lt;&gt;1),"Individual debe ser 100 %; ","")&amp;IF(AND($C79&lt;&gt;"Individual",$C79&lt;&gt;"",$E79=1),"Consorcio o UT con 100 %: revise; ","")&amp;IF(COUNTIFS($A$2:$A$601,$A79,$B$2:$B$601,$B79)&gt;1,"Participación repetida; ","")&amp;IF(AND(IFERROR(INDEX(SUJETOS!$B$2:$B$601,MATCH($B79,SUJETOS!$A$2:$A$601,0)),"")="Persona natural",$G79=""),"Persona natural sin cargo; ",""))</f>
        <v/>
      </c>
      <c r="R79" s="12">
        <f>IF($A79="","",IFERROR(IF(LEN(INDEX(SUJETOS!$F$2:$F$601,MATCH($B79,SUJETOS!$A$2:$A$601,0)))&gt;0,INDEX(SUJETOS!$F$2:$F$601,MATCH($B79,SUJETOS!$A$2:$A$601,0)),$B79),$B79))</f>
        <v/>
      </c>
    </row>
    <row r="80">
      <c r="E80" s="18" t="n"/>
      <c r="K80" s="13">
        <f>IF(OR($A80="",$E80=""),"",IFERROR(E80*INDEX(CONTRATOS!$P$2:$P$601,MATCH($A80,CONTRATOS!$A$2:$A$601,0)),""))</f>
        <v/>
      </c>
      <c r="L80" s="17">
        <f>IF(OR($A80="",$E80=""),"",IFERROR(E80*INDEX(CONTRATOS!$Z$2:$Z$601,MATCH($A80,CONTRATOS!$A$2:$A$601,0)),""))</f>
        <v/>
      </c>
      <c r="M80" s="13">
        <f>IF(OR($A80="",$E80=""),"",IFERROR(E80*INDEX(CONTRATOS!$AA$2:$AA$601,MATCH($A80,CONTRATOS!$A$2:$A$601,0)),""))</f>
        <v/>
      </c>
      <c r="N80" s="19">
        <f>IF($A80="","",SUMIFS($E$2:$E$601,$A$2:$A$601,$A80))</f>
        <v/>
      </c>
      <c r="O80" s="12">
        <f>IF($A80="","",IFERROR(INDEX(CONTRATOS!$F$2:$F$601,MATCH($A80,CONTRATOS!$A$2:$A$601,0)),""))</f>
        <v/>
      </c>
      <c r="P80" s="12">
        <f>IF($A80="","",IFERROR(INDEX(CONTRATOS!$M$2:$M$601,MATCH($A80,CONTRATOS!$A$2:$A$601,0)),""))</f>
        <v/>
      </c>
      <c r="Q80" s="12">
        <f>IF($A80="","",IF(COUNTIF(CONTRATOS!$A$2:$A$601,$A80)=0,"El contrato no existe en CONTRATOS; ","")&amp;IF($B80="","Falta sujeto; ",IF(COUNTIF(SUJETOS!$A$2:$A$601,$B80)=0,"El sujeto no existe en SUJETOS; ",""))&amp;IF($E80="","Falta porcentaje; ","")&amp;IF(N80&gt;1.0001,"Los porcentajes del contrato suman más de 100 %; ","")&amp;IF(AND($C80="Individual",$E80&lt;&gt;"",$E80&lt;&gt;1),"Individual debe ser 100 %; ","")&amp;IF(AND($C80&lt;&gt;"Individual",$C80&lt;&gt;"",$E80=1),"Consorcio o UT con 100 %: revise; ","")&amp;IF(COUNTIFS($A$2:$A$601,$A80,$B$2:$B$601,$B80)&gt;1,"Participación repetida; ","")&amp;IF(AND(IFERROR(INDEX(SUJETOS!$B$2:$B$601,MATCH($B80,SUJETOS!$A$2:$A$601,0)),"")="Persona natural",$G80=""),"Persona natural sin cargo; ",""))</f>
        <v/>
      </c>
      <c r="R80" s="12">
        <f>IF($A80="","",IFERROR(IF(LEN(INDEX(SUJETOS!$F$2:$F$601,MATCH($B80,SUJETOS!$A$2:$A$601,0)))&gt;0,INDEX(SUJETOS!$F$2:$F$601,MATCH($B80,SUJETOS!$A$2:$A$601,0)),$B80),$B80))</f>
        <v/>
      </c>
    </row>
    <row r="81">
      <c r="E81" s="18" t="n"/>
      <c r="K81" s="13">
        <f>IF(OR($A81="",$E81=""),"",IFERROR(E81*INDEX(CONTRATOS!$P$2:$P$601,MATCH($A81,CONTRATOS!$A$2:$A$601,0)),""))</f>
        <v/>
      </c>
      <c r="L81" s="17">
        <f>IF(OR($A81="",$E81=""),"",IFERROR(E81*INDEX(CONTRATOS!$Z$2:$Z$601,MATCH($A81,CONTRATOS!$A$2:$A$601,0)),""))</f>
        <v/>
      </c>
      <c r="M81" s="13">
        <f>IF(OR($A81="",$E81=""),"",IFERROR(E81*INDEX(CONTRATOS!$AA$2:$AA$601,MATCH($A81,CONTRATOS!$A$2:$A$601,0)),""))</f>
        <v/>
      </c>
      <c r="N81" s="19">
        <f>IF($A81="","",SUMIFS($E$2:$E$601,$A$2:$A$601,$A81))</f>
        <v/>
      </c>
      <c r="O81" s="12">
        <f>IF($A81="","",IFERROR(INDEX(CONTRATOS!$F$2:$F$601,MATCH($A81,CONTRATOS!$A$2:$A$601,0)),""))</f>
        <v/>
      </c>
      <c r="P81" s="12">
        <f>IF($A81="","",IFERROR(INDEX(CONTRATOS!$M$2:$M$601,MATCH($A81,CONTRATOS!$A$2:$A$601,0)),""))</f>
        <v/>
      </c>
      <c r="Q81" s="12">
        <f>IF($A81="","",IF(COUNTIF(CONTRATOS!$A$2:$A$601,$A81)=0,"El contrato no existe en CONTRATOS; ","")&amp;IF($B81="","Falta sujeto; ",IF(COUNTIF(SUJETOS!$A$2:$A$601,$B81)=0,"El sujeto no existe en SUJETOS; ",""))&amp;IF($E81="","Falta porcentaje; ","")&amp;IF(N81&gt;1.0001,"Los porcentajes del contrato suman más de 100 %; ","")&amp;IF(AND($C81="Individual",$E81&lt;&gt;"",$E81&lt;&gt;1),"Individual debe ser 100 %; ","")&amp;IF(AND($C81&lt;&gt;"Individual",$C81&lt;&gt;"",$E81=1),"Consorcio o UT con 100 %: revise; ","")&amp;IF(COUNTIFS($A$2:$A$601,$A81,$B$2:$B$601,$B81)&gt;1,"Participación repetida; ","")&amp;IF(AND(IFERROR(INDEX(SUJETOS!$B$2:$B$601,MATCH($B81,SUJETOS!$A$2:$A$601,0)),"")="Persona natural",$G81=""),"Persona natural sin cargo; ",""))</f>
        <v/>
      </c>
      <c r="R81" s="12">
        <f>IF($A81="","",IFERROR(IF(LEN(INDEX(SUJETOS!$F$2:$F$601,MATCH($B81,SUJETOS!$A$2:$A$601,0)))&gt;0,INDEX(SUJETOS!$F$2:$F$601,MATCH($B81,SUJETOS!$A$2:$A$601,0)),$B81),$B81))</f>
        <v/>
      </c>
    </row>
    <row r="82">
      <c r="E82" s="18" t="n"/>
      <c r="K82" s="13">
        <f>IF(OR($A82="",$E82=""),"",IFERROR(E82*INDEX(CONTRATOS!$P$2:$P$601,MATCH($A82,CONTRATOS!$A$2:$A$601,0)),""))</f>
        <v/>
      </c>
      <c r="L82" s="17">
        <f>IF(OR($A82="",$E82=""),"",IFERROR(E82*INDEX(CONTRATOS!$Z$2:$Z$601,MATCH($A82,CONTRATOS!$A$2:$A$601,0)),""))</f>
        <v/>
      </c>
      <c r="M82" s="13">
        <f>IF(OR($A82="",$E82=""),"",IFERROR(E82*INDEX(CONTRATOS!$AA$2:$AA$601,MATCH($A82,CONTRATOS!$A$2:$A$601,0)),""))</f>
        <v/>
      </c>
      <c r="N82" s="19">
        <f>IF($A82="","",SUMIFS($E$2:$E$601,$A$2:$A$601,$A82))</f>
        <v/>
      </c>
      <c r="O82" s="12">
        <f>IF($A82="","",IFERROR(INDEX(CONTRATOS!$F$2:$F$601,MATCH($A82,CONTRATOS!$A$2:$A$601,0)),""))</f>
        <v/>
      </c>
      <c r="P82" s="12">
        <f>IF($A82="","",IFERROR(INDEX(CONTRATOS!$M$2:$M$601,MATCH($A82,CONTRATOS!$A$2:$A$601,0)),""))</f>
        <v/>
      </c>
      <c r="Q82" s="12">
        <f>IF($A82="","",IF(COUNTIF(CONTRATOS!$A$2:$A$601,$A82)=0,"El contrato no existe en CONTRATOS; ","")&amp;IF($B82="","Falta sujeto; ",IF(COUNTIF(SUJETOS!$A$2:$A$601,$B82)=0,"El sujeto no existe en SUJETOS; ",""))&amp;IF($E82="","Falta porcentaje; ","")&amp;IF(N82&gt;1.0001,"Los porcentajes del contrato suman más de 100 %; ","")&amp;IF(AND($C82="Individual",$E82&lt;&gt;"",$E82&lt;&gt;1),"Individual debe ser 100 %; ","")&amp;IF(AND($C82&lt;&gt;"Individual",$C82&lt;&gt;"",$E82=1),"Consorcio o UT con 100 %: revise; ","")&amp;IF(COUNTIFS($A$2:$A$601,$A82,$B$2:$B$601,$B82)&gt;1,"Participación repetida; ","")&amp;IF(AND(IFERROR(INDEX(SUJETOS!$B$2:$B$601,MATCH($B82,SUJETOS!$A$2:$A$601,0)),"")="Persona natural",$G82=""),"Persona natural sin cargo; ",""))</f>
        <v/>
      </c>
      <c r="R82" s="12">
        <f>IF($A82="","",IFERROR(IF(LEN(INDEX(SUJETOS!$F$2:$F$601,MATCH($B82,SUJETOS!$A$2:$A$601,0)))&gt;0,INDEX(SUJETOS!$F$2:$F$601,MATCH($B82,SUJETOS!$A$2:$A$601,0)),$B82),$B82))</f>
        <v/>
      </c>
    </row>
    <row r="83">
      <c r="E83" s="18" t="n"/>
      <c r="K83" s="13">
        <f>IF(OR($A83="",$E83=""),"",IFERROR(E83*INDEX(CONTRATOS!$P$2:$P$601,MATCH($A83,CONTRATOS!$A$2:$A$601,0)),""))</f>
        <v/>
      </c>
      <c r="L83" s="17">
        <f>IF(OR($A83="",$E83=""),"",IFERROR(E83*INDEX(CONTRATOS!$Z$2:$Z$601,MATCH($A83,CONTRATOS!$A$2:$A$601,0)),""))</f>
        <v/>
      </c>
      <c r="M83" s="13">
        <f>IF(OR($A83="",$E83=""),"",IFERROR(E83*INDEX(CONTRATOS!$AA$2:$AA$601,MATCH($A83,CONTRATOS!$A$2:$A$601,0)),""))</f>
        <v/>
      </c>
      <c r="N83" s="19">
        <f>IF($A83="","",SUMIFS($E$2:$E$601,$A$2:$A$601,$A83))</f>
        <v/>
      </c>
      <c r="O83" s="12">
        <f>IF($A83="","",IFERROR(INDEX(CONTRATOS!$F$2:$F$601,MATCH($A83,CONTRATOS!$A$2:$A$601,0)),""))</f>
        <v/>
      </c>
      <c r="P83" s="12">
        <f>IF($A83="","",IFERROR(INDEX(CONTRATOS!$M$2:$M$601,MATCH($A83,CONTRATOS!$A$2:$A$601,0)),""))</f>
        <v/>
      </c>
      <c r="Q83" s="12">
        <f>IF($A83="","",IF(COUNTIF(CONTRATOS!$A$2:$A$601,$A83)=0,"El contrato no existe en CONTRATOS; ","")&amp;IF($B83="","Falta sujeto; ",IF(COUNTIF(SUJETOS!$A$2:$A$601,$B83)=0,"El sujeto no existe en SUJETOS; ",""))&amp;IF($E83="","Falta porcentaje; ","")&amp;IF(N83&gt;1.0001,"Los porcentajes del contrato suman más de 100 %; ","")&amp;IF(AND($C83="Individual",$E83&lt;&gt;"",$E83&lt;&gt;1),"Individual debe ser 100 %; ","")&amp;IF(AND($C83&lt;&gt;"Individual",$C83&lt;&gt;"",$E83=1),"Consorcio o UT con 100 %: revise; ","")&amp;IF(COUNTIFS($A$2:$A$601,$A83,$B$2:$B$601,$B83)&gt;1,"Participación repetida; ","")&amp;IF(AND(IFERROR(INDEX(SUJETOS!$B$2:$B$601,MATCH($B83,SUJETOS!$A$2:$A$601,0)),"")="Persona natural",$G83=""),"Persona natural sin cargo; ",""))</f>
        <v/>
      </c>
      <c r="R83" s="12">
        <f>IF($A83="","",IFERROR(IF(LEN(INDEX(SUJETOS!$F$2:$F$601,MATCH($B83,SUJETOS!$A$2:$A$601,0)))&gt;0,INDEX(SUJETOS!$F$2:$F$601,MATCH($B83,SUJETOS!$A$2:$A$601,0)),$B83),$B83))</f>
        <v/>
      </c>
    </row>
    <row r="84">
      <c r="E84" s="18" t="n"/>
      <c r="K84" s="13">
        <f>IF(OR($A84="",$E84=""),"",IFERROR(E84*INDEX(CONTRATOS!$P$2:$P$601,MATCH($A84,CONTRATOS!$A$2:$A$601,0)),""))</f>
        <v/>
      </c>
      <c r="L84" s="17">
        <f>IF(OR($A84="",$E84=""),"",IFERROR(E84*INDEX(CONTRATOS!$Z$2:$Z$601,MATCH($A84,CONTRATOS!$A$2:$A$601,0)),""))</f>
        <v/>
      </c>
      <c r="M84" s="13">
        <f>IF(OR($A84="",$E84=""),"",IFERROR(E84*INDEX(CONTRATOS!$AA$2:$AA$601,MATCH($A84,CONTRATOS!$A$2:$A$601,0)),""))</f>
        <v/>
      </c>
      <c r="N84" s="19">
        <f>IF($A84="","",SUMIFS($E$2:$E$601,$A$2:$A$601,$A84))</f>
        <v/>
      </c>
      <c r="O84" s="12">
        <f>IF($A84="","",IFERROR(INDEX(CONTRATOS!$F$2:$F$601,MATCH($A84,CONTRATOS!$A$2:$A$601,0)),""))</f>
        <v/>
      </c>
      <c r="P84" s="12">
        <f>IF($A84="","",IFERROR(INDEX(CONTRATOS!$M$2:$M$601,MATCH($A84,CONTRATOS!$A$2:$A$601,0)),""))</f>
        <v/>
      </c>
      <c r="Q84" s="12">
        <f>IF($A84="","",IF(COUNTIF(CONTRATOS!$A$2:$A$601,$A84)=0,"El contrato no existe en CONTRATOS; ","")&amp;IF($B84="","Falta sujeto; ",IF(COUNTIF(SUJETOS!$A$2:$A$601,$B84)=0,"El sujeto no existe en SUJETOS; ",""))&amp;IF($E84="","Falta porcentaje; ","")&amp;IF(N84&gt;1.0001,"Los porcentajes del contrato suman más de 100 %; ","")&amp;IF(AND($C84="Individual",$E84&lt;&gt;"",$E84&lt;&gt;1),"Individual debe ser 100 %; ","")&amp;IF(AND($C84&lt;&gt;"Individual",$C84&lt;&gt;"",$E84=1),"Consorcio o UT con 100 %: revise; ","")&amp;IF(COUNTIFS($A$2:$A$601,$A84,$B$2:$B$601,$B84)&gt;1,"Participación repetida; ","")&amp;IF(AND(IFERROR(INDEX(SUJETOS!$B$2:$B$601,MATCH($B84,SUJETOS!$A$2:$A$601,0)),"")="Persona natural",$G84=""),"Persona natural sin cargo; ",""))</f>
        <v/>
      </c>
      <c r="R84" s="12">
        <f>IF($A84="","",IFERROR(IF(LEN(INDEX(SUJETOS!$F$2:$F$601,MATCH($B84,SUJETOS!$A$2:$A$601,0)))&gt;0,INDEX(SUJETOS!$F$2:$F$601,MATCH($B84,SUJETOS!$A$2:$A$601,0)),$B84),$B84))</f>
        <v/>
      </c>
    </row>
    <row r="85">
      <c r="E85" s="18" t="n"/>
      <c r="K85" s="13">
        <f>IF(OR($A85="",$E85=""),"",IFERROR(E85*INDEX(CONTRATOS!$P$2:$P$601,MATCH($A85,CONTRATOS!$A$2:$A$601,0)),""))</f>
        <v/>
      </c>
      <c r="L85" s="17">
        <f>IF(OR($A85="",$E85=""),"",IFERROR(E85*INDEX(CONTRATOS!$Z$2:$Z$601,MATCH($A85,CONTRATOS!$A$2:$A$601,0)),""))</f>
        <v/>
      </c>
      <c r="M85" s="13">
        <f>IF(OR($A85="",$E85=""),"",IFERROR(E85*INDEX(CONTRATOS!$AA$2:$AA$601,MATCH($A85,CONTRATOS!$A$2:$A$601,0)),""))</f>
        <v/>
      </c>
      <c r="N85" s="19">
        <f>IF($A85="","",SUMIFS($E$2:$E$601,$A$2:$A$601,$A85))</f>
        <v/>
      </c>
      <c r="O85" s="12">
        <f>IF($A85="","",IFERROR(INDEX(CONTRATOS!$F$2:$F$601,MATCH($A85,CONTRATOS!$A$2:$A$601,0)),""))</f>
        <v/>
      </c>
      <c r="P85" s="12">
        <f>IF($A85="","",IFERROR(INDEX(CONTRATOS!$M$2:$M$601,MATCH($A85,CONTRATOS!$A$2:$A$601,0)),""))</f>
        <v/>
      </c>
      <c r="Q85" s="12">
        <f>IF($A85="","",IF(COUNTIF(CONTRATOS!$A$2:$A$601,$A85)=0,"El contrato no existe en CONTRATOS; ","")&amp;IF($B85="","Falta sujeto; ",IF(COUNTIF(SUJETOS!$A$2:$A$601,$B85)=0,"El sujeto no existe en SUJETOS; ",""))&amp;IF($E85="","Falta porcentaje; ","")&amp;IF(N85&gt;1.0001,"Los porcentajes del contrato suman más de 100 %; ","")&amp;IF(AND($C85="Individual",$E85&lt;&gt;"",$E85&lt;&gt;1),"Individual debe ser 100 %; ","")&amp;IF(AND($C85&lt;&gt;"Individual",$C85&lt;&gt;"",$E85=1),"Consorcio o UT con 100 %: revise; ","")&amp;IF(COUNTIFS($A$2:$A$601,$A85,$B$2:$B$601,$B85)&gt;1,"Participación repetida; ","")&amp;IF(AND(IFERROR(INDEX(SUJETOS!$B$2:$B$601,MATCH($B85,SUJETOS!$A$2:$A$601,0)),"")="Persona natural",$G85=""),"Persona natural sin cargo; ",""))</f>
        <v/>
      </c>
      <c r="R85" s="12">
        <f>IF($A85="","",IFERROR(IF(LEN(INDEX(SUJETOS!$F$2:$F$601,MATCH($B85,SUJETOS!$A$2:$A$601,0)))&gt;0,INDEX(SUJETOS!$F$2:$F$601,MATCH($B85,SUJETOS!$A$2:$A$601,0)),$B85),$B85))</f>
        <v/>
      </c>
    </row>
    <row r="86">
      <c r="E86" s="18" t="n"/>
      <c r="K86" s="13">
        <f>IF(OR($A86="",$E86=""),"",IFERROR(E86*INDEX(CONTRATOS!$P$2:$P$601,MATCH($A86,CONTRATOS!$A$2:$A$601,0)),""))</f>
        <v/>
      </c>
      <c r="L86" s="17">
        <f>IF(OR($A86="",$E86=""),"",IFERROR(E86*INDEX(CONTRATOS!$Z$2:$Z$601,MATCH($A86,CONTRATOS!$A$2:$A$601,0)),""))</f>
        <v/>
      </c>
      <c r="M86" s="13">
        <f>IF(OR($A86="",$E86=""),"",IFERROR(E86*INDEX(CONTRATOS!$AA$2:$AA$601,MATCH($A86,CONTRATOS!$A$2:$A$601,0)),""))</f>
        <v/>
      </c>
      <c r="N86" s="19">
        <f>IF($A86="","",SUMIFS($E$2:$E$601,$A$2:$A$601,$A86))</f>
        <v/>
      </c>
      <c r="O86" s="12">
        <f>IF($A86="","",IFERROR(INDEX(CONTRATOS!$F$2:$F$601,MATCH($A86,CONTRATOS!$A$2:$A$601,0)),""))</f>
        <v/>
      </c>
      <c r="P86" s="12">
        <f>IF($A86="","",IFERROR(INDEX(CONTRATOS!$M$2:$M$601,MATCH($A86,CONTRATOS!$A$2:$A$601,0)),""))</f>
        <v/>
      </c>
      <c r="Q86" s="12">
        <f>IF($A86="","",IF(COUNTIF(CONTRATOS!$A$2:$A$601,$A86)=0,"El contrato no existe en CONTRATOS; ","")&amp;IF($B86="","Falta sujeto; ",IF(COUNTIF(SUJETOS!$A$2:$A$601,$B86)=0,"El sujeto no existe en SUJETOS; ",""))&amp;IF($E86="","Falta porcentaje; ","")&amp;IF(N86&gt;1.0001,"Los porcentajes del contrato suman más de 100 %; ","")&amp;IF(AND($C86="Individual",$E86&lt;&gt;"",$E86&lt;&gt;1),"Individual debe ser 100 %; ","")&amp;IF(AND($C86&lt;&gt;"Individual",$C86&lt;&gt;"",$E86=1),"Consorcio o UT con 100 %: revise; ","")&amp;IF(COUNTIFS($A$2:$A$601,$A86,$B$2:$B$601,$B86)&gt;1,"Participación repetida; ","")&amp;IF(AND(IFERROR(INDEX(SUJETOS!$B$2:$B$601,MATCH($B86,SUJETOS!$A$2:$A$601,0)),"")="Persona natural",$G86=""),"Persona natural sin cargo; ",""))</f>
        <v/>
      </c>
      <c r="R86" s="12">
        <f>IF($A86="","",IFERROR(IF(LEN(INDEX(SUJETOS!$F$2:$F$601,MATCH($B86,SUJETOS!$A$2:$A$601,0)))&gt;0,INDEX(SUJETOS!$F$2:$F$601,MATCH($B86,SUJETOS!$A$2:$A$601,0)),$B86),$B86))</f>
        <v/>
      </c>
    </row>
    <row r="87">
      <c r="E87" s="18" t="n"/>
      <c r="K87" s="13">
        <f>IF(OR($A87="",$E87=""),"",IFERROR(E87*INDEX(CONTRATOS!$P$2:$P$601,MATCH($A87,CONTRATOS!$A$2:$A$601,0)),""))</f>
        <v/>
      </c>
      <c r="L87" s="17">
        <f>IF(OR($A87="",$E87=""),"",IFERROR(E87*INDEX(CONTRATOS!$Z$2:$Z$601,MATCH($A87,CONTRATOS!$A$2:$A$601,0)),""))</f>
        <v/>
      </c>
      <c r="M87" s="13">
        <f>IF(OR($A87="",$E87=""),"",IFERROR(E87*INDEX(CONTRATOS!$AA$2:$AA$601,MATCH($A87,CONTRATOS!$A$2:$A$601,0)),""))</f>
        <v/>
      </c>
      <c r="N87" s="19">
        <f>IF($A87="","",SUMIFS($E$2:$E$601,$A$2:$A$601,$A87))</f>
        <v/>
      </c>
      <c r="O87" s="12">
        <f>IF($A87="","",IFERROR(INDEX(CONTRATOS!$F$2:$F$601,MATCH($A87,CONTRATOS!$A$2:$A$601,0)),""))</f>
        <v/>
      </c>
      <c r="P87" s="12">
        <f>IF($A87="","",IFERROR(INDEX(CONTRATOS!$M$2:$M$601,MATCH($A87,CONTRATOS!$A$2:$A$601,0)),""))</f>
        <v/>
      </c>
      <c r="Q87" s="12">
        <f>IF($A87="","",IF(COUNTIF(CONTRATOS!$A$2:$A$601,$A87)=0,"El contrato no existe en CONTRATOS; ","")&amp;IF($B87="","Falta sujeto; ",IF(COUNTIF(SUJETOS!$A$2:$A$601,$B87)=0,"El sujeto no existe en SUJETOS; ",""))&amp;IF($E87="","Falta porcentaje; ","")&amp;IF(N87&gt;1.0001,"Los porcentajes del contrato suman más de 100 %; ","")&amp;IF(AND($C87="Individual",$E87&lt;&gt;"",$E87&lt;&gt;1),"Individual debe ser 100 %; ","")&amp;IF(AND($C87&lt;&gt;"Individual",$C87&lt;&gt;"",$E87=1),"Consorcio o UT con 100 %: revise; ","")&amp;IF(COUNTIFS($A$2:$A$601,$A87,$B$2:$B$601,$B87)&gt;1,"Participación repetida; ","")&amp;IF(AND(IFERROR(INDEX(SUJETOS!$B$2:$B$601,MATCH($B87,SUJETOS!$A$2:$A$601,0)),"")="Persona natural",$G87=""),"Persona natural sin cargo; ",""))</f>
        <v/>
      </c>
      <c r="R87" s="12">
        <f>IF($A87="","",IFERROR(IF(LEN(INDEX(SUJETOS!$F$2:$F$601,MATCH($B87,SUJETOS!$A$2:$A$601,0)))&gt;0,INDEX(SUJETOS!$F$2:$F$601,MATCH($B87,SUJETOS!$A$2:$A$601,0)),$B87),$B87))</f>
        <v/>
      </c>
    </row>
    <row r="88">
      <c r="E88" s="18" t="n"/>
      <c r="K88" s="13">
        <f>IF(OR($A88="",$E88=""),"",IFERROR(E88*INDEX(CONTRATOS!$P$2:$P$601,MATCH($A88,CONTRATOS!$A$2:$A$601,0)),""))</f>
        <v/>
      </c>
      <c r="L88" s="17">
        <f>IF(OR($A88="",$E88=""),"",IFERROR(E88*INDEX(CONTRATOS!$Z$2:$Z$601,MATCH($A88,CONTRATOS!$A$2:$A$601,0)),""))</f>
        <v/>
      </c>
      <c r="M88" s="13">
        <f>IF(OR($A88="",$E88=""),"",IFERROR(E88*INDEX(CONTRATOS!$AA$2:$AA$601,MATCH($A88,CONTRATOS!$A$2:$A$601,0)),""))</f>
        <v/>
      </c>
      <c r="N88" s="19">
        <f>IF($A88="","",SUMIFS($E$2:$E$601,$A$2:$A$601,$A88))</f>
        <v/>
      </c>
      <c r="O88" s="12">
        <f>IF($A88="","",IFERROR(INDEX(CONTRATOS!$F$2:$F$601,MATCH($A88,CONTRATOS!$A$2:$A$601,0)),""))</f>
        <v/>
      </c>
      <c r="P88" s="12">
        <f>IF($A88="","",IFERROR(INDEX(CONTRATOS!$M$2:$M$601,MATCH($A88,CONTRATOS!$A$2:$A$601,0)),""))</f>
        <v/>
      </c>
      <c r="Q88" s="12">
        <f>IF($A88="","",IF(COUNTIF(CONTRATOS!$A$2:$A$601,$A88)=0,"El contrato no existe en CONTRATOS; ","")&amp;IF($B88="","Falta sujeto; ",IF(COUNTIF(SUJETOS!$A$2:$A$601,$B88)=0,"El sujeto no existe en SUJETOS; ",""))&amp;IF($E88="","Falta porcentaje; ","")&amp;IF(N88&gt;1.0001,"Los porcentajes del contrato suman más de 100 %; ","")&amp;IF(AND($C88="Individual",$E88&lt;&gt;"",$E88&lt;&gt;1),"Individual debe ser 100 %; ","")&amp;IF(AND($C88&lt;&gt;"Individual",$C88&lt;&gt;"",$E88=1),"Consorcio o UT con 100 %: revise; ","")&amp;IF(COUNTIFS($A$2:$A$601,$A88,$B$2:$B$601,$B88)&gt;1,"Participación repetida; ","")&amp;IF(AND(IFERROR(INDEX(SUJETOS!$B$2:$B$601,MATCH($B88,SUJETOS!$A$2:$A$601,0)),"")="Persona natural",$G88=""),"Persona natural sin cargo; ",""))</f>
        <v/>
      </c>
      <c r="R88" s="12">
        <f>IF($A88="","",IFERROR(IF(LEN(INDEX(SUJETOS!$F$2:$F$601,MATCH($B88,SUJETOS!$A$2:$A$601,0)))&gt;0,INDEX(SUJETOS!$F$2:$F$601,MATCH($B88,SUJETOS!$A$2:$A$601,0)),$B88),$B88))</f>
        <v/>
      </c>
    </row>
    <row r="89">
      <c r="E89" s="18" t="n"/>
      <c r="K89" s="13">
        <f>IF(OR($A89="",$E89=""),"",IFERROR(E89*INDEX(CONTRATOS!$P$2:$P$601,MATCH($A89,CONTRATOS!$A$2:$A$601,0)),""))</f>
        <v/>
      </c>
      <c r="L89" s="17">
        <f>IF(OR($A89="",$E89=""),"",IFERROR(E89*INDEX(CONTRATOS!$Z$2:$Z$601,MATCH($A89,CONTRATOS!$A$2:$A$601,0)),""))</f>
        <v/>
      </c>
      <c r="M89" s="13">
        <f>IF(OR($A89="",$E89=""),"",IFERROR(E89*INDEX(CONTRATOS!$AA$2:$AA$601,MATCH($A89,CONTRATOS!$A$2:$A$601,0)),""))</f>
        <v/>
      </c>
      <c r="N89" s="19">
        <f>IF($A89="","",SUMIFS($E$2:$E$601,$A$2:$A$601,$A89))</f>
        <v/>
      </c>
      <c r="O89" s="12">
        <f>IF($A89="","",IFERROR(INDEX(CONTRATOS!$F$2:$F$601,MATCH($A89,CONTRATOS!$A$2:$A$601,0)),""))</f>
        <v/>
      </c>
      <c r="P89" s="12">
        <f>IF($A89="","",IFERROR(INDEX(CONTRATOS!$M$2:$M$601,MATCH($A89,CONTRATOS!$A$2:$A$601,0)),""))</f>
        <v/>
      </c>
      <c r="Q89" s="12">
        <f>IF($A89="","",IF(COUNTIF(CONTRATOS!$A$2:$A$601,$A89)=0,"El contrato no existe en CONTRATOS; ","")&amp;IF($B89="","Falta sujeto; ",IF(COUNTIF(SUJETOS!$A$2:$A$601,$B89)=0,"El sujeto no existe en SUJETOS; ",""))&amp;IF($E89="","Falta porcentaje; ","")&amp;IF(N89&gt;1.0001,"Los porcentajes del contrato suman más de 100 %; ","")&amp;IF(AND($C89="Individual",$E89&lt;&gt;"",$E89&lt;&gt;1),"Individual debe ser 100 %; ","")&amp;IF(AND($C89&lt;&gt;"Individual",$C89&lt;&gt;"",$E89=1),"Consorcio o UT con 100 %: revise; ","")&amp;IF(COUNTIFS($A$2:$A$601,$A89,$B$2:$B$601,$B89)&gt;1,"Participación repetida; ","")&amp;IF(AND(IFERROR(INDEX(SUJETOS!$B$2:$B$601,MATCH($B89,SUJETOS!$A$2:$A$601,0)),"")="Persona natural",$G89=""),"Persona natural sin cargo; ",""))</f>
        <v/>
      </c>
      <c r="R89" s="12">
        <f>IF($A89="","",IFERROR(IF(LEN(INDEX(SUJETOS!$F$2:$F$601,MATCH($B89,SUJETOS!$A$2:$A$601,0)))&gt;0,INDEX(SUJETOS!$F$2:$F$601,MATCH($B89,SUJETOS!$A$2:$A$601,0)),$B89),$B89))</f>
        <v/>
      </c>
    </row>
    <row r="90">
      <c r="E90" s="18" t="n"/>
      <c r="K90" s="13">
        <f>IF(OR($A90="",$E90=""),"",IFERROR(E90*INDEX(CONTRATOS!$P$2:$P$601,MATCH($A90,CONTRATOS!$A$2:$A$601,0)),""))</f>
        <v/>
      </c>
      <c r="L90" s="17">
        <f>IF(OR($A90="",$E90=""),"",IFERROR(E90*INDEX(CONTRATOS!$Z$2:$Z$601,MATCH($A90,CONTRATOS!$A$2:$A$601,0)),""))</f>
        <v/>
      </c>
      <c r="M90" s="13">
        <f>IF(OR($A90="",$E90=""),"",IFERROR(E90*INDEX(CONTRATOS!$AA$2:$AA$601,MATCH($A90,CONTRATOS!$A$2:$A$601,0)),""))</f>
        <v/>
      </c>
      <c r="N90" s="19">
        <f>IF($A90="","",SUMIFS($E$2:$E$601,$A$2:$A$601,$A90))</f>
        <v/>
      </c>
      <c r="O90" s="12">
        <f>IF($A90="","",IFERROR(INDEX(CONTRATOS!$F$2:$F$601,MATCH($A90,CONTRATOS!$A$2:$A$601,0)),""))</f>
        <v/>
      </c>
      <c r="P90" s="12">
        <f>IF($A90="","",IFERROR(INDEX(CONTRATOS!$M$2:$M$601,MATCH($A90,CONTRATOS!$A$2:$A$601,0)),""))</f>
        <v/>
      </c>
      <c r="Q90" s="12">
        <f>IF($A90="","",IF(COUNTIF(CONTRATOS!$A$2:$A$601,$A90)=0,"El contrato no existe en CONTRATOS; ","")&amp;IF($B90="","Falta sujeto; ",IF(COUNTIF(SUJETOS!$A$2:$A$601,$B90)=0,"El sujeto no existe en SUJETOS; ",""))&amp;IF($E90="","Falta porcentaje; ","")&amp;IF(N90&gt;1.0001,"Los porcentajes del contrato suman más de 100 %; ","")&amp;IF(AND($C90="Individual",$E90&lt;&gt;"",$E90&lt;&gt;1),"Individual debe ser 100 %; ","")&amp;IF(AND($C90&lt;&gt;"Individual",$C90&lt;&gt;"",$E90=1),"Consorcio o UT con 100 %: revise; ","")&amp;IF(COUNTIFS($A$2:$A$601,$A90,$B$2:$B$601,$B90)&gt;1,"Participación repetida; ","")&amp;IF(AND(IFERROR(INDEX(SUJETOS!$B$2:$B$601,MATCH($B90,SUJETOS!$A$2:$A$601,0)),"")="Persona natural",$G90=""),"Persona natural sin cargo; ",""))</f>
        <v/>
      </c>
      <c r="R90" s="12">
        <f>IF($A90="","",IFERROR(IF(LEN(INDEX(SUJETOS!$F$2:$F$601,MATCH($B90,SUJETOS!$A$2:$A$601,0)))&gt;0,INDEX(SUJETOS!$F$2:$F$601,MATCH($B90,SUJETOS!$A$2:$A$601,0)),$B90),$B90))</f>
        <v/>
      </c>
    </row>
    <row r="91">
      <c r="E91" s="18" t="n"/>
      <c r="K91" s="13">
        <f>IF(OR($A91="",$E91=""),"",IFERROR(E91*INDEX(CONTRATOS!$P$2:$P$601,MATCH($A91,CONTRATOS!$A$2:$A$601,0)),""))</f>
        <v/>
      </c>
      <c r="L91" s="17">
        <f>IF(OR($A91="",$E91=""),"",IFERROR(E91*INDEX(CONTRATOS!$Z$2:$Z$601,MATCH($A91,CONTRATOS!$A$2:$A$601,0)),""))</f>
        <v/>
      </c>
      <c r="M91" s="13">
        <f>IF(OR($A91="",$E91=""),"",IFERROR(E91*INDEX(CONTRATOS!$AA$2:$AA$601,MATCH($A91,CONTRATOS!$A$2:$A$601,0)),""))</f>
        <v/>
      </c>
      <c r="N91" s="19">
        <f>IF($A91="","",SUMIFS($E$2:$E$601,$A$2:$A$601,$A91))</f>
        <v/>
      </c>
      <c r="O91" s="12">
        <f>IF($A91="","",IFERROR(INDEX(CONTRATOS!$F$2:$F$601,MATCH($A91,CONTRATOS!$A$2:$A$601,0)),""))</f>
        <v/>
      </c>
      <c r="P91" s="12">
        <f>IF($A91="","",IFERROR(INDEX(CONTRATOS!$M$2:$M$601,MATCH($A91,CONTRATOS!$A$2:$A$601,0)),""))</f>
        <v/>
      </c>
      <c r="Q91" s="12">
        <f>IF($A91="","",IF(COUNTIF(CONTRATOS!$A$2:$A$601,$A91)=0,"El contrato no existe en CONTRATOS; ","")&amp;IF($B91="","Falta sujeto; ",IF(COUNTIF(SUJETOS!$A$2:$A$601,$B91)=0,"El sujeto no existe en SUJETOS; ",""))&amp;IF($E91="","Falta porcentaje; ","")&amp;IF(N91&gt;1.0001,"Los porcentajes del contrato suman más de 100 %; ","")&amp;IF(AND($C91="Individual",$E91&lt;&gt;"",$E91&lt;&gt;1),"Individual debe ser 100 %; ","")&amp;IF(AND($C91&lt;&gt;"Individual",$C91&lt;&gt;"",$E91=1),"Consorcio o UT con 100 %: revise; ","")&amp;IF(COUNTIFS($A$2:$A$601,$A91,$B$2:$B$601,$B91)&gt;1,"Participación repetida; ","")&amp;IF(AND(IFERROR(INDEX(SUJETOS!$B$2:$B$601,MATCH($B91,SUJETOS!$A$2:$A$601,0)),"")="Persona natural",$G91=""),"Persona natural sin cargo; ",""))</f>
        <v/>
      </c>
      <c r="R91" s="12">
        <f>IF($A91="","",IFERROR(IF(LEN(INDEX(SUJETOS!$F$2:$F$601,MATCH($B91,SUJETOS!$A$2:$A$601,0)))&gt;0,INDEX(SUJETOS!$F$2:$F$601,MATCH($B91,SUJETOS!$A$2:$A$601,0)),$B91),$B91))</f>
        <v/>
      </c>
    </row>
    <row r="92">
      <c r="E92" s="18" t="n"/>
      <c r="K92" s="13">
        <f>IF(OR($A92="",$E92=""),"",IFERROR(E92*INDEX(CONTRATOS!$P$2:$P$601,MATCH($A92,CONTRATOS!$A$2:$A$601,0)),""))</f>
        <v/>
      </c>
      <c r="L92" s="17">
        <f>IF(OR($A92="",$E92=""),"",IFERROR(E92*INDEX(CONTRATOS!$Z$2:$Z$601,MATCH($A92,CONTRATOS!$A$2:$A$601,0)),""))</f>
        <v/>
      </c>
      <c r="M92" s="13">
        <f>IF(OR($A92="",$E92=""),"",IFERROR(E92*INDEX(CONTRATOS!$AA$2:$AA$601,MATCH($A92,CONTRATOS!$A$2:$A$601,0)),""))</f>
        <v/>
      </c>
      <c r="N92" s="19">
        <f>IF($A92="","",SUMIFS($E$2:$E$601,$A$2:$A$601,$A92))</f>
        <v/>
      </c>
      <c r="O92" s="12">
        <f>IF($A92="","",IFERROR(INDEX(CONTRATOS!$F$2:$F$601,MATCH($A92,CONTRATOS!$A$2:$A$601,0)),""))</f>
        <v/>
      </c>
      <c r="P92" s="12">
        <f>IF($A92="","",IFERROR(INDEX(CONTRATOS!$M$2:$M$601,MATCH($A92,CONTRATOS!$A$2:$A$601,0)),""))</f>
        <v/>
      </c>
      <c r="Q92" s="12">
        <f>IF($A92="","",IF(COUNTIF(CONTRATOS!$A$2:$A$601,$A92)=0,"El contrato no existe en CONTRATOS; ","")&amp;IF($B92="","Falta sujeto; ",IF(COUNTIF(SUJETOS!$A$2:$A$601,$B92)=0,"El sujeto no existe en SUJETOS; ",""))&amp;IF($E92="","Falta porcentaje; ","")&amp;IF(N92&gt;1.0001,"Los porcentajes del contrato suman más de 100 %; ","")&amp;IF(AND($C92="Individual",$E92&lt;&gt;"",$E92&lt;&gt;1),"Individual debe ser 100 %; ","")&amp;IF(AND($C92&lt;&gt;"Individual",$C92&lt;&gt;"",$E92=1),"Consorcio o UT con 100 %: revise; ","")&amp;IF(COUNTIFS($A$2:$A$601,$A92,$B$2:$B$601,$B92)&gt;1,"Participación repetida; ","")&amp;IF(AND(IFERROR(INDEX(SUJETOS!$B$2:$B$601,MATCH($B92,SUJETOS!$A$2:$A$601,0)),"")="Persona natural",$G92=""),"Persona natural sin cargo; ",""))</f>
        <v/>
      </c>
      <c r="R92" s="12">
        <f>IF($A92="","",IFERROR(IF(LEN(INDEX(SUJETOS!$F$2:$F$601,MATCH($B92,SUJETOS!$A$2:$A$601,0)))&gt;0,INDEX(SUJETOS!$F$2:$F$601,MATCH($B92,SUJETOS!$A$2:$A$601,0)),$B92),$B92))</f>
        <v/>
      </c>
    </row>
    <row r="93">
      <c r="E93" s="18" t="n"/>
      <c r="K93" s="13">
        <f>IF(OR($A93="",$E93=""),"",IFERROR(E93*INDEX(CONTRATOS!$P$2:$P$601,MATCH($A93,CONTRATOS!$A$2:$A$601,0)),""))</f>
        <v/>
      </c>
      <c r="L93" s="17">
        <f>IF(OR($A93="",$E93=""),"",IFERROR(E93*INDEX(CONTRATOS!$Z$2:$Z$601,MATCH($A93,CONTRATOS!$A$2:$A$601,0)),""))</f>
        <v/>
      </c>
      <c r="M93" s="13">
        <f>IF(OR($A93="",$E93=""),"",IFERROR(E93*INDEX(CONTRATOS!$AA$2:$AA$601,MATCH($A93,CONTRATOS!$A$2:$A$601,0)),""))</f>
        <v/>
      </c>
      <c r="N93" s="19">
        <f>IF($A93="","",SUMIFS($E$2:$E$601,$A$2:$A$601,$A93))</f>
        <v/>
      </c>
      <c r="O93" s="12">
        <f>IF($A93="","",IFERROR(INDEX(CONTRATOS!$F$2:$F$601,MATCH($A93,CONTRATOS!$A$2:$A$601,0)),""))</f>
        <v/>
      </c>
      <c r="P93" s="12">
        <f>IF($A93="","",IFERROR(INDEX(CONTRATOS!$M$2:$M$601,MATCH($A93,CONTRATOS!$A$2:$A$601,0)),""))</f>
        <v/>
      </c>
      <c r="Q93" s="12">
        <f>IF($A93="","",IF(COUNTIF(CONTRATOS!$A$2:$A$601,$A93)=0,"El contrato no existe en CONTRATOS; ","")&amp;IF($B93="","Falta sujeto; ",IF(COUNTIF(SUJETOS!$A$2:$A$601,$B93)=0,"El sujeto no existe en SUJETOS; ",""))&amp;IF($E93="","Falta porcentaje; ","")&amp;IF(N93&gt;1.0001,"Los porcentajes del contrato suman más de 100 %; ","")&amp;IF(AND($C93="Individual",$E93&lt;&gt;"",$E93&lt;&gt;1),"Individual debe ser 100 %; ","")&amp;IF(AND($C93&lt;&gt;"Individual",$C93&lt;&gt;"",$E93=1),"Consorcio o UT con 100 %: revise; ","")&amp;IF(COUNTIFS($A$2:$A$601,$A93,$B$2:$B$601,$B93)&gt;1,"Participación repetida; ","")&amp;IF(AND(IFERROR(INDEX(SUJETOS!$B$2:$B$601,MATCH($B93,SUJETOS!$A$2:$A$601,0)),"")="Persona natural",$G93=""),"Persona natural sin cargo; ",""))</f>
        <v/>
      </c>
      <c r="R93" s="12">
        <f>IF($A93="","",IFERROR(IF(LEN(INDEX(SUJETOS!$F$2:$F$601,MATCH($B93,SUJETOS!$A$2:$A$601,0)))&gt;0,INDEX(SUJETOS!$F$2:$F$601,MATCH($B93,SUJETOS!$A$2:$A$601,0)),$B93),$B93))</f>
        <v/>
      </c>
    </row>
    <row r="94">
      <c r="E94" s="18" t="n"/>
      <c r="K94" s="13">
        <f>IF(OR($A94="",$E94=""),"",IFERROR(E94*INDEX(CONTRATOS!$P$2:$P$601,MATCH($A94,CONTRATOS!$A$2:$A$601,0)),""))</f>
        <v/>
      </c>
      <c r="L94" s="17">
        <f>IF(OR($A94="",$E94=""),"",IFERROR(E94*INDEX(CONTRATOS!$Z$2:$Z$601,MATCH($A94,CONTRATOS!$A$2:$A$601,0)),""))</f>
        <v/>
      </c>
      <c r="M94" s="13">
        <f>IF(OR($A94="",$E94=""),"",IFERROR(E94*INDEX(CONTRATOS!$AA$2:$AA$601,MATCH($A94,CONTRATOS!$A$2:$A$601,0)),""))</f>
        <v/>
      </c>
      <c r="N94" s="19">
        <f>IF($A94="","",SUMIFS($E$2:$E$601,$A$2:$A$601,$A94))</f>
        <v/>
      </c>
      <c r="O94" s="12">
        <f>IF($A94="","",IFERROR(INDEX(CONTRATOS!$F$2:$F$601,MATCH($A94,CONTRATOS!$A$2:$A$601,0)),""))</f>
        <v/>
      </c>
      <c r="P94" s="12">
        <f>IF($A94="","",IFERROR(INDEX(CONTRATOS!$M$2:$M$601,MATCH($A94,CONTRATOS!$A$2:$A$601,0)),""))</f>
        <v/>
      </c>
      <c r="Q94" s="12">
        <f>IF($A94="","",IF(COUNTIF(CONTRATOS!$A$2:$A$601,$A94)=0,"El contrato no existe en CONTRATOS; ","")&amp;IF($B94="","Falta sujeto; ",IF(COUNTIF(SUJETOS!$A$2:$A$601,$B94)=0,"El sujeto no existe en SUJETOS; ",""))&amp;IF($E94="","Falta porcentaje; ","")&amp;IF(N94&gt;1.0001,"Los porcentajes del contrato suman más de 100 %; ","")&amp;IF(AND($C94="Individual",$E94&lt;&gt;"",$E94&lt;&gt;1),"Individual debe ser 100 %; ","")&amp;IF(AND($C94&lt;&gt;"Individual",$C94&lt;&gt;"",$E94=1),"Consorcio o UT con 100 %: revise; ","")&amp;IF(COUNTIFS($A$2:$A$601,$A94,$B$2:$B$601,$B94)&gt;1,"Participación repetida; ","")&amp;IF(AND(IFERROR(INDEX(SUJETOS!$B$2:$B$601,MATCH($B94,SUJETOS!$A$2:$A$601,0)),"")="Persona natural",$G94=""),"Persona natural sin cargo; ",""))</f>
        <v/>
      </c>
      <c r="R94" s="12">
        <f>IF($A94="","",IFERROR(IF(LEN(INDEX(SUJETOS!$F$2:$F$601,MATCH($B94,SUJETOS!$A$2:$A$601,0)))&gt;0,INDEX(SUJETOS!$F$2:$F$601,MATCH($B94,SUJETOS!$A$2:$A$601,0)),$B94),$B94))</f>
        <v/>
      </c>
    </row>
    <row r="95">
      <c r="E95" s="18" t="n"/>
      <c r="K95" s="13">
        <f>IF(OR($A95="",$E95=""),"",IFERROR(E95*INDEX(CONTRATOS!$P$2:$P$601,MATCH($A95,CONTRATOS!$A$2:$A$601,0)),""))</f>
        <v/>
      </c>
      <c r="L95" s="17">
        <f>IF(OR($A95="",$E95=""),"",IFERROR(E95*INDEX(CONTRATOS!$Z$2:$Z$601,MATCH($A95,CONTRATOS!$A$2:$A$601,0)),""))</f>
        <v/>
      </c>
      <c r="M95" s="13">
        <f>IF(OR($A95="",$E95=""),"",IFERROR(E95*INDEX(CONTRATOS!$AA$2:$AA$601,MATCH($A95,CONTRATOS!$A$2:$A$601,0)),""))</f>
        <v/>
      </c>
      <c r="N95" s="19">
        <f>IF($A95="","",SUMIFS($E$2:$E$601,$A$2:$A$601,$A95))</f>
        <v/>
      </c>
      <c r="O95" s="12">
        <f>IF($A95="","",IFERROR(INDEX(CONTRATOS!$F$2:$F$601,MATCH($A95,CONTRATOS!$A$2:$A$601,0)),""))</f>
        <v/>
      </c>
      <c r="P95" s="12">
        <f>IF($A95="","",IFERROR(INDEX(CONTRATOS!$M$2:$M$601,MATCH($A95,CONTRATOS!$A$2:$A$601,0)),""))</f>
        <v/>
      </c>
      <c r="Q95" s="12">
        <f>IF($A95="","",IF(COUNTIF(CONTRATOS!$A$2:$A$601,$A95)=0,"El contrato no existe en CONTRATOS; ","")&amp;IF($B95="","Falta sujeto; ",IF(COUNTIF(SUJETOS!$A$2:$A$601,$B95)=0,"El sujeto no existe en SUJETOS; ",""))&amp;IF($E95="","Falta porcentaje; ","")&amp;IF(N95&gt;1.0001,"Los porcentajes del contrato suman más de 100 %; ","")&amp;IF(AND($C95="Individual",$E95&lt;&gt;"",$E95&lt;&gt;1),"Individual debe ser 100 %; ","")&amp;IF(AND($C95&lt;&gt;"Individual",$C95&lt;&gt;"",$E95=1),"Consorcio o UT con 100 %: revise; ","")&amp;IF(COUNTIFS($A$2:$A$601,$A95,$B$2:$B$601,$B95)&gt;1,"Participación repetida; ","")&amp;IF(AND(IFERROR(INDEX(SUJETOS!$B$2:$B$601,MATCH($B95,SUJETOS!$A$2:$A$601,0)),"")="Persona natural",$G95=""),"Persona natural sin cargo; ",""))</f>
        <v/>
      </c>
      <c r="R95" s="12">
        <f>IF($A95="","",IFERROR(IF(LEN(INDEX(SUJETOS!$F$2:$F$601,MATCH($B95,SUJETOS!$A$2:$A$601,0)))&gt;0,INDEX(SUJETOS!$F$2:$F$601,MATCH($B95,SUJETOS!$A$2:$A$601,0)),$B95),$B95))</f>
        <v/>
      </c>
    </row>
    <row r="96">
      <c r="E96" s="18" t="n"/>
      <c r="K96" s="13">
        <f>IF(OR($A96="",$E96=""),"",IFERROR(E96*INDEX(CONTRATOS!$P$2:$P$601,MATCH($A96,CONTRATOS!$A$2:$A$601,0)),""))</f>
        <v/>
      </c>
      <c r="L96" s="17">
        <f>IF(OR($A96="",$E96=""),"",IFERROR(E96*INDEX(CONTRATOS!$Z$2:$Z$601,MATCH($A96,CONTRATOS!$A$2:$A$601,0)),""))</f>
        <v/>
      </c>
      <c r="M96" s="13">
        <f>IF(OR($A96="",$E96=""),"",IFERROR(E96*INDEX(CONTRATOS!$AA$2:$AA$601,MATCH($A96,CONTRATOS!$A$2:$A$601,0)),""))</f>
        <v/>
      </c>
      <c r="N96" s="19">
        <f>IF($A96="","",SUMIFS($E$2:$E$601,$A$2:$A$601,$A96))</f>
        <v/>
      </c>
      <c r="O96" s="12">
        <f>IF($A96="","",IFERROR(INDEX(CONTRATOS!$F$2:$F$601,MATCH($A96,CONTRATOS!$A$2:$A$601,0)),""))</f>
        <v/>
      </c>
      <c r="P96" s="12">
        <f>IF($A96="","",IFERROR(INDEX(CONTRATOS!$M$2:$M$601,MATCH($A96,CONTRATOS!$A$2:$A$601,0)),""))</f>
        <v/>
      </c>
      <c r="Q96" s="12">
        <f>IF($A96="","",IF(COUNTIF(CONTRATOS!$A$2:$A$601,$A96)=0,"El contrato no existe en CONTRATOS; ","")&amp;IF($B96="","Falta sujeto; ",IF(COUNTIF(SUJETOS!$A$2:$A$601,$B96)=0,"El sujeto no existe en SUJETOS; ",""))&amp;IF($E96="","Falta porcentaje; ","")&amp;IF(N96&gt;1.0001,"Los porcentajes del contrato suman más de 100 %; ","")&amp;IF(AND($C96="Individual",$E96&lt;&gt;"",$E96&lt;&gt;1),"Individual debe ser 100 %; ","")&amp;IF(AND($C96&lt;&gt;"Individual",$C96&lt;&gt;"",$E96=1),"Consorcio o UT con 100 %: revise; ","")&amp;IF(COUNTIFS($A$2:$A$601,$A96,$B$2:$B$601,$B96)&gt;1,"Participación repetida; ","")&amp;IF(AND(IFERROR(INDEX(SUJETOS!$B$2:$B$601,MATCH($B96,SUJETOS!$A$2:$A$601,0)),"")="Persona natural",$G96=""),"Persona natural sin cargo; ",""))</f>
        <v/>
      </c>
      <c r="R96" s="12">
        <f>IF($A96="","",IFERROR(IF(LEN(INDEX(SUJETOS!$F$2:$F$601,MATCH($B96,SUJETOS!$A$2:$A$601,0)))&gt;0,INDEX(SUJETOS!$F$2:$F$601,MATCH($B96,SUJETOS!$A$2:$A$601,0)),$B96),$B96))</f>
        <v/>
      </c>
    </row>
    <row r="97">
      <c r="E97" s="18" t="n"/>
      <c r="K97" s="13">
        <f>IF(OR($A97="",$E97=""),"",IFERROR(E97*INDEX(CONTRATOS!$P$2:$P$601,MATCH($A97,CONTRATOS!$A$2:$A$601,0)),""))</f>
        <v/>
      </c>
      <c r="L97" s="17">
        <f>IF(OR($A97="",$E97=""),"",IFERROR(E97*INDEX(CONTRATOS!$Z$2:$Z$601,MATCH($A97,CONTRATOS!$A$2:$A$601,0)),""))</f>
        <v/>
      </c>
      <c r="M97" s="13">
        <f>IF(OR($A97="",$E97=""),"",IFERROR(E97*INDEX(CONTRATOS!$AA$2:$AA$601,MATCH($A97,CONTRATOS!$A$2:$A$601,0)),""))</f>
        <v/>
      </c>
      <c r="N97" s="19">
        <f>IF($A97="","",SUMIFS($E$2:$E$601,$A$2:$A$601,$A97))</f>
        <v/>
      </c>
      <c r="O97" s="12">
        <f>IF($A97="","",IFERROR(INDEX(CONTRATOS!$F$2:$F$601,MATCH($A97,CONTRATOS!$A$2:$A$601,0)),""))</f>
        <v/>
      </c>
      <c r="P97" s="12">
        <f>IF($A97="","",IFERROR(INDEX(CONTRATOS!$M$2:$M$601,MATCH($A97,CONTRATOS!$A$2:$A$601,0)),""))</f>
        <v/>
      </c>
      <c r="Q97" s="12">
        <f>IF($A97="","",IF(COUNTIF(CONTRATOS!$A$2:$A$601,$A97)=0,"El contrato no existe en CONTRATOS; ","")&amp;IF($B97="","Falta sujeto; ",IF(COUNTIF(SUJETOS!$A$2:$A$601,$B97)=0,"El sujeto no existe en SUJETOS; ",""))&amp;IF($E97="","Falta porcentaje; ","")&amp;IF(N97&gt;1.0001,"Los porcentajes del contrato suman más de 100 %; ","")&amp;IF(AND($C97="Individual",$E97&lt;&gt;"",$E97&lt;&gt;1),"Individual debe ser 100 %; ","")&amp;IF(AND($C97&lt;&gt;"Individual",$C97&lt;&gt;"",$E97=1),"Consorcio o UT con 100 %: revise; ","")&amp;IF(COUNTIFS($A$2:$A$601,$A97,$B$2:$B$601,$B97)&gt;1,"Participación repetida; ","")&amp;IF(AND(IFERROR(INDEX(SUJETOS!$B$2:$B$601,MATCH($B97,SUJETOS!$A$2:$A$601,0)),"")="Persona natural",$G97=""),"Persona natural sin cargo; ",""))</f>
        <v/>
      </c>
      <c r="R97" s="12">
        <f>IF($A97="","",IFERROR(IF(LEN(INDEX(SUJETOS!$F$2:$F$601,MATCH($B97,SUJETOS!$A$2:$A$601,0)))&gt;0,INDEX(SUJETOS!$F$2:$F$601,MATCH($B97,SUJETOS!$A$2:$A$601,0)),$B97),$B97))</f>
        <v/>
      </c>
    </row>
    <row r="98">
      <c r="E98" s="18" t="n"/>
      <c r="K98" s="13">
        <f>IF(OR($A98="",$E98=""),"",IFERROR(E98*INDEX(CONTRATOS!$P$2:$P$601,MATCH($A98,CONTRATOS!$A$2:$A$601,0)),""))</f>
        <v/>
      </c>
      <c r="L98" s="17">
        <f>IF(OR($A98="",$E98=""),"",IFERROR(E98*INDEX(CONTRATOS!$Z$2:$Z$601,MATCH($A98,CONTRATOS!$A$2:$A$601,0)),""))</f>
        <v/>
      </c>
      <c r="M98" s="13">
        <f>IF(OR($A98="",$E98=""),"",IFERROR(E98*INDEX(CONTRATOS!$AA$2:$AA$601,MATCH($A98,CONTRATOS!$A$2:$A$601,0)),""))</f>
        <v/>
      </c>
      <c r="N98" s="19">
        <f>IF($A98="","",SUMIFS($E$2:$E$601,$A$2:$A$601,$A98))</f>
        <v/>
      </c>
      <c r="O98" s="12">
        <f>IF($A98="","",IFERROR(INDEX(CONTRATOS!$F$2:$F$601,MATCH($A98,CONTRATOS!$A$2:$A$601,0)),""))</f>
        <v/>
      </c>
      <c r="P98" s="12">
        <f>IF($A98="","",IFERROR(INDEX(CONTRATOS!$M$2:$M$601,MATCH($A98,CONTRATOS!$A$2:$A$601,0)),""))</f>
        <v/>
      </c>
      <c r="Q98" s="12">
        <f>IF($A98="","",IF(COUNTIF(CONTRATOS!$A$2:$A$601,$A98)=0,"El contrato no existe en CONTRATOS; ","")&amp;IF($B98="","Falta sujeto; ",IF(COUNTIF(SUJETOS!$A$2:$A$601,$B98)=0,"El sujeto no existe en SUJETOS; ",""))&amp;IF($E98="","Falta porcentaje; ","")&amp;IF(N98&gt;1.0001,"Los porcentajes del contrato suman más de 100 %; ","")&amp;IF(AND($C98="Individual",$E98&lt;&gt;"",$E98&lt;&gt;1),"Individual debe ser 100 %; ","")&amp;IF(AND($C98&lt;&gt;"Individual",$C98&lt;&gt;"",$E98=1),"Consorcio o UT con 100 %: revise; ","")&amp;IF(COUNTIFS($A$2:$A$601,$A98,$B$2:$B$601,$B98)&gt;1,"Participación repetida; ","")&amp;IF(AND(IFERROR(INDEX(SUJETOS!$B$2:$B$601,MATCH($B98,SUJETOS!$A$2:$A$601,0)),"")="Persona natural",$G98=""),"Persona natural sin cargo; ",""))</f>
        <v/>
      </c>
      <c r="R98" s="12">
        <f>IF($A98="","",IFERROR(IF(LEN(INDEX(SUJETOS!$F$2:$F$601,MATCH($B98,SUJETOS!$A$2:$A$601,0)))&gt;0,INDEX(SUJETOS!$F$2:$F$601,MATCH($B98,SUJETOS!$A$2:$A$601,0)),$B98),$B98))</f>
        <v/>
      </c>
    </row>
    <row r="99">
      <c r="E99" s="18" t="n"/>
      <c r="K99" s="13">
        <f>IF(OR($A99="",$E99=""),"",IFERROR(E99*INDEX(CONTRATOS!$P$2:$P$601,MATCH($A99,CONTRATOS!$A$2:$A$601,0)),""))</f>
        <v/>
      </c>
      <c r="L99" s="17">
        <f>IF(OR($A99="",$E99=""),"",IFERROR(E99*INDEX(CONTRATOS!$Z$2:$Z$601,MATCH($A99,CONTRATOS!$A$2:$A$601,0)),""))</f>
        <v/>
      </c>
      <c r="M99" s="13">
        <f>IF(OR($A99="",$E99=""),"",IFERROR(E99*INDEX(CONTRATOS!$AA$2:$AA$601,MATCH($A99,CONTRATOS!$A$2:$A$601,0)),""))</f>
        <v/>
      </c>
      <c r="N99" s="19">
        <f>IF($A99="","",SUMIFS($E$2:$E$601,$A$2:$A$601,$A99))</f>
        <v/>
      </c>
      <c r="O99" s="12">
        <f>IF($A99="","",IFERROR(INDEX(CONTRATOS!$F$2:$F$601,MATCH($A99,CONTRATOS!$A$2:$A$601,0)),""))</f>
        <v/>
      </c>
      <c r="P99" s="12">
        <f>IF($A99="","",IFERROR(INDEX(CONTRATOS!$M$2:$M$601,MATCH($A99,CONTRATOS!$A$2:$A$601,0)),""))</f>
        <v/>
      </c>
      <c r="Q99" s="12">
        <f>IF($A99="","",IF(COUNTIF(CONTRATOS!$A$2:$A$601,$A99)=0,"El contrato no existe en CONTRATOS; ","")&amp;IF($B99="","Falta sujeto; ",IF(COUNTIF(SUJETOS!$A$2:$A$601,$B99)=0,"El sujeto no existe en SUJETOS; ",""))&amp;IF($E99="","Falta porcentaje; ","")&amp;IF(N99&gt;1.0001,"Los porcentajes del contrato suman más de 100 %; ","")&amp;IF(AND($C99="Individual",$E99&lt;&gt;"",$E99&lt;&gt;1),"Individual debe ser 100 %; ","")&amp;IF(AND($C99&lt;&gt;"Individual",$C99&lt;&gt;"",$E99=1),"Consorcio o UT con 100 %: revise; ","")&amp;IF(COUNTIFS($A$2:$A$601,$A99,$B$2:$B$601,$B99)&gt;1,"Participación repetida; ","")&amp;IF(AND(IFERROR(INDEX(SUJETOS!$B$2:$B$601,MATCH($B99,SUJETOS!$A$2:$A$601,0)),"")="Persona natural",$G99=""),"Persona natural sin cargo; ",""))</f>
        <v/>
      </c>
      <c r="R99" s="12">
        <f>IF($A99="","",IFERROR(IF(LEN(INDEX(SUJETOS!$F$2:$F$601,MATCH($B99,SUJETOS!$A$2:$A$601,0)))&gt;0,INDEX(SUJETOS!$F$2:$F$601,MATCH($B99,SUJETOS!$A$2:$A$601,0)),$B99),$B99))</f>
        <v/>
      </c>
    </row>
    <row r="100">
      <c r="E100" s="18" t="n"/>
      <c r="K100" s="13">
        <f>IF(OR($A100="",$E100=""),"",IFERROR(E100*INDEX(CONTRATOS!$P$2:$P$601,MATCH($A100,CONTRATOS!$A$2:$A$601,0)),""))</f>
        <v/>
      </c>
      <c r="L100" s="17">
        <f>IF(OR($A100="",$E100=""),"",IFERROR(E100*INDEX(CONTRATOS!$Z$2:$Z$601,MATCH($A100,CONTRATOS!$A$2:$A$601,0)),""))</f>
        <v/>
      </c>
      <c r="M100" s="13">
        <f>IF(OR($A100="",$E100=""),"",IFERROR(E100*INDEX(CONTRATOS!$AA$2:$AA$601,MATCH($A100,CONTRATOS!$A$2:$A$601,0)),""))</f>
        <v/>
      </c>
      <c r="N100" s="19">
        <f>IF($A100="","",SUMIFS($E$2:$E$601,$A$2:$A$601,$A100))</f>
        <v/>
      </c>
      <c r="O100" s="12">
        <f>IF($A100="","",IFERROR(INDEX(CONTRATOS!$F$2:$F$601,MATCH($A100,CONTRATOS!$A$2:$A$601,0)),""))</f>
        <v/>
      </c>
      <c r="P100" s="12">
        <f>IF($A100="","",IFERROR(INDEX(CONTRATOS!$M$2:$M$601,MATCH($A100,CONTRATOS!$A$2:$A$601,0)),""))</f>
        <v/>
      </c>
      <c r="Q100" s="12">
        <f>IF($A100="","",IF(COUNTIF(CONTRATOS!$A$2:$A$601,$A100)=0,"El contrato no existe en CONTRATOS; ","")&amp;IF($B100="","Falta sujeto; ",IF(COUNTIF(SUJETOS!$A$2:$A$601,$B100)=0,"El sujeto no existe en SUJETOS; ",""))&amp;IF($E100="","Falta porcentaje; ","")&amp;IF(N100&gt;1.0001,"Los porcentajes del contrato suman más de 100 %; ","")&amp;IF(AND($C100="Individual",$E100&lt;&gt;"",$E100&lt;&gt;1),"Individual debe ser 100 %; ","")&amp;IF(AND($C100&lt;&gt;"Individual",$C100&lt;&gt;"",$E100=1),"Consorcio o UT con 100 %: revise; ","")&amp;IF(COUNTIFS($A$2:$A$601,$A100,$B$2:$B$601,$B100)&gt;1,"Participación repetida; ","")&amp;IF(AND(IFERROR(INDEX(SUJETOS!$B$2:$B$601,MATCH($B100,SUJETOS!$A$2:$A$601,0)),"")="Persona natural",$G100=""),"Persona natural sin cargo; ",""))</f>
        <v/>
      </c>
      <c r="R100" s="12">
        <f>IF($A100="","",IFERROR(IF(LEN(INDEX(SUJETOS!$F$2:$F$601,MATCH($B100,SUJETOS!$A$2:$A$601,0)))&gt;0,INDEX(SUJETOS!$F$2:$F$601,MATCH($B100,SUJETOS!$A$2:$A$601,0)),$B100),$B100))</f>
        <v/>
      </c>
    </row>
    <row r="101">
      <c r="E101" s="18" t="n"/>
      <c r="K101" s="13">
        <f>IF(OR($A101="",$E101=""),"",IFERROR(E101*INDEX(CONTRATOS!$P$2:$P$601,MATCH($A101,CONTRATOS!$A$2:$A$601,0)),""))</f>
        <v/>
      </c>
      <c r="L101" s="17">
        <f>IF(OR($A101="",$E101=""),"",IFERROR(E101*INDEX(CONTRATOS!$Z$2:$Z$601,MATCH($A101,CONTRATOS!$A$2:$A$601,0)),""))</f>
        <v/>
      </c>
      <c r="M101" s="13">
        <f>IF(OR($A101="",$E101=""),"",IFERROR(E101*INDEX(CONTRATOS!$AA$2:$AA$601,MATCH($A101,CONTRATOS!$A$2:$A$601,0)),""))</f>
        <v/>
      </c>
      <c r="N101" s="19">
        <f>IF($A101="","",SUMIFS($E$2:$E$601,$A$2:$A$601,$A101))</f>
        <v/>
      </c>
      <c r="O101" s="12">
        <f>IF($A101="","",IFERROR(INDEX(CONTRATOS!$F$2:$F$601,MATCH($A101,CONTRATOS!$A$2:$A$601,0)),""))</f>
        <v/>
      </c>
      <c r="P101" s="12">
        <f>IF($A101="","",IFERROR(INDEX(CONTRATOS!$M$2:$M$601,MATCH($A101,CONTRATOS!$A$2:$A$601,0)),""))</f>
        <v/>
      </c>
      <c r="Q101" s="12">
        <f>IF($A101="","",IF(COUNTIF(CONTRATOS!$A$2:$A$601,$A101)=0,"El contrato no existe en CONTRATOS; ","")&amp;IF($B101="","Falta sujeto; ",IF(COUNTIF(SUJETOS!$A$2:$A$601,$B101)=0,"El sujeto no existe en SUJETOS; ",""))&amp;IF($E101="","Falta porcentaje; ","")&amp;IF(N101&gt;1.0001,"Los porcentajes del contrato suman más de 100 %; ","")&amp;IF(AND($C101="Individual",$E101&lt;&gt;"",$E101&lt;&gt;1),"Individual debe ser 100 %; ","")&amp;IF(AND($C101&lt;&gt;"Individual",$C101&lt;&gt;"",$E101=1),"Consorcio o UT con 100 %: revise; ","")&amp;IF(COUNTIFS($A$2:$A$601,$A101,$B$2:$B$601,$B101)&gt;1,"Participación repetida; ","")&amp;IF(AND(IFERROR(INDEX(SUJETOS!$B$2:$B$601,MATCH($B101,SUJETOS!$A$2:$A$601,0)),"")="Persona natural",$G101=""),"Persona natural sin cargo; ",""))</f>
        <v/>
      </c>
      <c r="R101" s="12">
        <f>IF($A101="","",IFERROR(IF(LEN(INDEX(SUJETOS!$F$2:$F$601,MATCH($B101,SUJETOS!$A$2:$A$601,0)))&gt;0,INDEX(SUJETOS!$F$2:$F$601,MATCH($B101,SUJETOS!$A$2:$A$601,0)),$B101),$B101))</f>
        <v/>
      </c>
    </row>
    <row r="102">
      <c r="E102" s="18" t="n"/>
      <c r="K102" s="13">
        <f>IF(OR($A102="",$E102=""),"",IFERROR(E102*INDEX(CONTRATOS!$P$2:$P$601,MATCH($A102,CONTRATOS!$A$2:$A$601,0)),""))</f>
        <v/>
      </c>
      <c r="L102" s="17">
        <f>IF(OR($A102="",$E102=""),"",IFERROR(E102*INDEX(CONTRATOS!$Z$2:$Z$601,MATCH($A102,CONTRATOS!$A$2:$A$601,0)),""))</f>
        <v/>
      </c>
      <c r="M102" s="13">
        <f>IF(OR($A102="",$E102=""),"",IFERROR(E102*INDEX(CONTRATOS!$AA$2:$AA$601,MATCH($A102,CONTRATOS!$A$2:$A$601,0)),""))</f>
        <v/>
      </c>
      <c r="N102" s="19">
        <f>IF($A102="","",SUMIFS($E$2:$E$601,$A$2:$A$601,$A102))</f>
        <v/>
      </c>
      <c r="O102" s="12">
        <f>IF($A102="","",IFERROR(INDEX(CONTRATOS!$F$2:$F$601,MATCH($A102,CONTRATOS!$A$2:$A$601,0)),""))</f>
        <v/>
      </c>
      <c r="P102" s="12">
        <f>IF($A102="","",IFERROR(INDEX(CONTRATOS!$M$2:$M$601,MATCH($A102,CONTRATOS!$A$2:$A$601,0)),""))</f>
        <v/>
      </c>
      <c r="Q102" s="12">
        <f>IF($A102="","",IF(COUNTIF(CONTRATOS!$A$2:$A$601,$A102)=0,"El contrato no existe en CONTRATOS; ","")&amp;IF($B102="","Falta sujeto; ",IF(COUNTIF(SUJETOS!$A$2:$A$601,$B102)=0,"El sujeto no existe en SUJETOS; ",""))&amp;IF($E102="","Falta porcentaje; ","")&amp;IF(N102&gt;1.0001,"Los porcentajes del contrato suman más de 100 %; ","")&amp;IF(AND($C102="Individual",$E102&lt;&gt;"",$E102&lt;&gt;1),"Individual debe ser 100 %; ","")&amp;IF(AND($C102&lt;&gt;"Individual",$C102&lt;&gt;"",$E102=1),"Consorcio o UT con 100 %: revise; ","")&amp;IF(COUNTIFS($A$2:$A$601,$A102,$B$2:$B$601,$B102)&gt;1,"Participación repetida; ","")&amp;IF(AND(IFERROR(INDEX(SUJETOS!$B$2:$B$601,MATCH($B102,SUJETOS!$A$2:$A$601,0)),"")="Persona natural",$G102=""),"Persona natural sin cargo; ",""))</f>
        <v/>
      </c>
      <c r="R102" s="12">
        <f>IF($A102="","",IFERROR(IF(LEN(INDEX(SUJETOS!$F$2:$F$601,MATCH($B102,SUJETOS!$A$2:$A$601,0)))&gt;0,INDEX(SUJETOS!$F$2:$F$601,MATCH($B102,SUJETOS!$A$2:$A$601,0)),$B102),$B102))</f>
        <v/>
      </c>
    </row>
    <row r="103">
      <c r="E103" s="18" t="n"/>
      <c r="K103" s="13">
        <f>IF(OR($A103="",$E103=""),"",IFERROR(E103*INDEX(CONTRATOS!$P$2:$P$601,MATCH($A103,CONTRATOS!$A$2:$A$601,0)),""))</f>
        <v/>
      </c>
      <c r="L103" s="17">
        <f>IF(OR($A103="",$E103=""),"",IFERROR(E103*INDEX(CONTRATOS!$Z$2:$Z$601,MATCH($A103,CONTRATOS!$A$2:$A$601,0)),""))</f>
        <v/>
      </c>
      <c r="M103" s="13">
        <f>IF(OR($A103="",$E103=""),"",IFERROR(E103*INDEX(CONTRATOS!$AA$2:$AA$601,MATCH($A103,CONTRATOS!$A$2:$A$601,0)),""))</f>
        <v/>
      </c>
      <c r="N103" s="19">
        <f>IF($A103="","",SUMIFS($E$2:$E$601,$A$2:$A$601,$A103))</f>
        <v/>
      </c>
      <c r="O103" s="12">
        <f>IF($A103="","",IFERROR(INDEX(CONTRATOS!$F$2:$F$601,MATCH($A103,CONTRATOS!$A$2:$A$601,0)),""))</f>
        <v/>
      </c>
      <c r="P103" s="12">
        <f>IF($A103="","",IFERROR(INDEX(CONTRATOS!$M$2:$M$601,MATCH($A103,CONTRATOS!$A$2:$A$601,0)),""))</f>
        <v/>
      </c>
      <c r="Q103" s="12">
        <f>IF($A103="","",IF(COUNTIF(CONTRATOS!$A$2:$A$601,$A103)=0,"El contrato no existe en CONTRATOS; ","")&amp;IF($B103="","Falta sujeto; ",IF(COUNTIF(SUJETOS!$A$2:$A$601,$B103)=0,"El sujeto no existe en SUJETOS; ",""))&amp;IF($E103="","Falta porcentaje; ","")&amp;IF(N103&gt;1.0001,"Los porcentajes del contrato suman más de 100 %; ","")&amp;IF(AND($C103="Individual",$E103&lt;&gt;"",$E103&lt;&gt;1),"Individual debe ser 100 %; ","")&amp;IF(AND($C103&lt;&gt;"Individual",$C103&lt;&gt;"",$E103=1),"Consorcio o UT con 100 %: revise; ","")&amp;IF(COUNTIFS($A$2:$A$601,$A103,$B$2:$B$601,$B103)&gt;1,"Participación repetida; ","")&amp;IF(AND(IFERROR(INDEX(SUJETOS!$B$2:$B$601,MATCH($B103,SUJETOS!$A$2:$A$601,0)),"")="Persona natural",$G103=""),"Persona natural sin cargo; ",""))</f>
        <v/>
      </c>
      <c r="R103" s="12">
        <f>IF($A103="","",IFERROR(IF(LEN(INDEX(SUJETOS!$F$2:$F$601,MATCH($B103,SUJETOS!$A$2:$A$601,0)))&gt;0,INDEX(SUJETOS!$F$2:$F$601,MATCH($B103,SUJETOS!$A$2:$A$601,0)),$B103),$B103))</f>
        <v/>
      </c>
    </row>
    <row r="104">
      <c r="E104" s="18" t="n"/>
      <c r="K104" s="13">
        <f>IF(OR($A104="",$E104=""),"",IFERROR(E104*INDEX(CONTRATOS!$P$2:$P$601,MATCH($A104,CONTRATOS!$A$2:$A$601,0)),""))</f>
        <v/>
      </c>
      <c r="L104" s="17">
        <f>IF(OR($A104="",$E104=""),"",IFERROR(E104*INDEX(CONTRATOS!$Z$2:$Z$601,MATCH($A104,CONTRATOS!$A$2:$A$601,0)),""))</f>
        <v/>
      </c>
      <c r="M104" s="13">
        <f>IF(OR($A104="",$E104=""),"",IFERROR(E104*INDEX(CONTRATOS!$AA$2:$AA$601,MATCH($A104,CONTRATOS!$A$2:$A$601,0)),""))</f>
        <v/>
      </c>
      <c r="N104" s="19">
        <f>IF($A104="","",SUMIFS($E$2:$E$601,$A$2:$A$601,$A104))</f>
        <v/>
      </c>
      <c r="O104" s="12">
        <f>IF($A104="","",IFERROR(INDEX(CONTRATOS!$F$2:$F$601,MATCH($A104,CONTRATOS!$A$2:$A$601,0)),""))</f>
        <v/>
      </c>
      <c r="P104" s="12">
        <f>IF($A104="","",IFERROR(INDEX(CONTRATOS!$M$2:$M$601,MATCH($A104,CONTRATOS!$A$2:$A$601,0)),""))</f>
        <v/>
      </c>
      <c r="Q104" s="12">
        <f>IF($A104="","",IF(COUNTIF(CONTRATOS!$A$2:$A$601,$A104)=0,"El contrato no existe en CONTRATOS; ","")&amp;IF($B104="","Falta sujeto; ",IF(COUNTIF(SUJETOS!$A$2:$A$601,$B104)=0,"El sujeto no existe en SUJETOS; ",""))&amp;IF($E104="","Falta porcentaje; ","")&amp;IF(N104&gt;1.0001,"Los porcentajes del contrato suman más de 100 %; ","")&amp;IF(AND($C104="Individual",$E104&lt;&gt;"",$E104&lt;&gt;1),"Individual debe ser 100 %; ","")&amp;IF(AND($C104&lt;&gt;"Individual",$C104&lt;&gt;"",$E104=1),"Consorcio o UT con 100 %: revise; ","")&amp;IF(COUNTIFS($A$2:$A$601,$A104,$B$2:$B$601,$B104)&gt;1,"Participación repetida; ","")&amp;IF(AND(IFERROR(INDEX(SUJETOS!$B$2:$B$601,MATCH($B104,SUJETOS!$A$2:$A$601,0)),"")="Persona natural",$G104=""),"Persona natural sin cargo; ",""))</f>
        <v/>
      </c>
      <c r="R104" s="12">
        <f>IF($A104="","",IFERROR(IF(LEN(INDEX(SUJETOS!$F$2:$F$601,MATCH($B104,SUJETOS!$A$2:$A$601,0)))&gt;0,INDEX(SUJETOS!$F$2:$F$601,MATCH($B104,SUJETOS!$A$2:$A$601,0)),$B104),$B104))</f>
        <v/>
      </c>
    </row>
    <row r="105">
      <c r="E105" s="18" t="n"/>
      <c r="K105" s="13">
        <f>IF(OR($A105="",$E105=""),"",IFERROR(E105*INDEX(CONTRATOS!$P$2:$P$601,MATCH($A105,CONTRATOS!$A$2:$A$601,0)),""))</f>
        <v/>
      </c>
      <c r="L105" s="17">
        <f>IF(OR($A105="",$E105=""),"",IFERROR(E105*INDEX(CONTRATOS!$Z$2:$Z$601,MATCH($A105,CONTRATOS!$A$2:$A$601,0)),""))</f>
        <v/>
      </c>
      <c r="M105" s="13">
        <f>IF(OR($A105="",$E105=""),"",IFERROR(E105*INDEX(CONTRATOS!$AA$2:$AA$601,MATCH($A105,CONTRATOS!$A$2:$A$601,0)),""))</f>
        <v/>
      </c>
      <c r="N105" s="19">
        <f>IF($A105="","",SUMIFS($E$2:$E$601,$A$2:$A$601,$A105))</f>
        <v/>
      </c>
      <c r="O105" s="12">
        <f>IF($A105="","",IFERROR(INDEX(CONTRATOS!$F$2:$F$601,MATCH($A105,CONTRATOS!$A$2:$A$601,0)),""))</f>
        <v/>
      </c>
      <c r="P105" s="12">
        <f>IF($A105="","",IFERROR(INDEX(CONTRATOS!$M$2:$M$601,MATCH($A105,CONTRATOS!$A$2:$A$601,0)),""))</f>
        <v/>
      </c>
      <c r="Q105" s="12">
        <f>IF($A105="","",IF(COUNTIF(CONTRATOS!$A$2:$A$601,$A105)=0,"El contrato no existe en CONTRATOS; ","")&amp;IF($B105="","Falta sujeto; ",IF(COUNTIF(SUJETOS!$A$2:$A$601,$B105)=0,"El sujeto no existe en SUJETOS; ",""))&amp;IF($E105="","Falta porcentaje; ","")&amp;IF(N105&gt;1.0001,"Los porcentajes del contrato suman más de 100 %; ","")&amp;IF(AND($C105="Individual",$E105&lt;&gt;"",$E105&lt;&gt;1),"Individual debe ser 100 %; ","")&amp;IF(AND($C105&lt;&gt;"Individual",$C105&lt;&gt;"",$E105=1),"Consorcio o UT con 100 %: revise; ","")&amp;IF(COUNTIFS($A$2:$A$601,$A105,$B$2:$B$601,$B105)&gt;1,"Participación repetida; ","")&amp;IF(AND(IFERROR(INDEX(SUJETOS!$B$2:$B$601,MATCH($B105,SUJETOS!$A$2:$A$601,0)),"")="Persona natural",$G105=""),"Persona natural sin cargo; ",""))</f>
        <v/>
      </c>
      <c r="R105" s="12">
        <f>IF($A105="","",IFERROR(IF(LEN(INDEX(SUJETOS!$F$2:$F$601,MATCH($B105,SUJETOS!$A$2:$A$601,0)))&gt;0,INDEX(SUJETOS!$F$2:$F$601,MATCH($B105,SUJETOS!$A$2:$A$601,0)),$B105),$B105))</f>
        <v/>
      </c>
    </row>
    <row r="106">
      <c r="E106" s="18" t="n"/>
      <c r="K106" s="13">
        <f>IF(OR($A106="",$E106=""),"",IFERROR(E106*INDEX(CONTRATOS!$P$2:$P$601,MATCH($A106,CONTRATOS!$A$2:$A$601,0)),""))</f>
        <v/>
      </c>
      <c r="L106" s="17">
        <f>IF(OR($A106="",$E106=""),"",IFERROR(E106*INDEX(CONTRATOS!$Z$2:$Z$601,MATCH($A106,CONTRATOS!$A$2:$A$601,0)),""))</f>
        <v/>
      </c>
      <c r="M106" s="13">
        <f>IF(OR($A106="",$E106=""),"",IFERROR(E106*INDEX(CONTRATOS!$AA$2:$AA$601,MATCH($A106,CONTRATOS!$A$2:$A$601,0)),""))</f>
        <v/>
      </c>
      <c r="N106" s="19">
        <f>IF($A106="","",SUMIFS($E$2:$E$601,$A$2:$A$601,$A106))</f>
        <v/>
      </c>
      <c r="O106" s="12">
        <f>IF($A106="","",IFERROR(INDEX(CONTRATOS!$F$2:$F$601,MATCH($A106,CONTRATOS!$A$2:$A$601,0)),""))</f>
        <v/>
      </c>
      <c r="P106" s="12">
        <f>IF($A106="","",IFERROR(INDEX(CONTRATOS!$M$2:$M$601,MATCH($A106,CONTRATOS!$A$2:$A$601,0)),""))</f>
        <v/>
      </c>
      <c r="Q106" s="12">
        <f>IF($A106="","",IF(COUNTIF(CONTRATOS!$A$2:$A$601,$A106)=0,"El contrato no existe en CONTRATOS; ","")&amp;IF($B106="","Falta sujeto; ",IF(COUNTIF(SUJETOS!$A$2:$A$601,$B106)=0,"El sujeto no existe en SUJETOS; ",""))&amp;IF($E106="","Falta porcentaje; ","")&amp;IF(N106&gt;1.0001,"Los porcentajes del contrato suman más de 100 %; ","")&amp;IF(AND($C106="Individual",$E106&lt;&gt;"",$E106&lt;&gt;1),"Individual debe ser 100 %; ","")&amp;IF(AND($C106&lt;&gt;"Individual",$C106&lt;&gt;"",$E106=1),"Consorcio o UT con 100 %: revise; ","")&amp;IF(COUNTIFS($A$2:$A$601,$A106,$B$2:$B$601,$B106)&gt;1,"Participación repetida; ","")&amp;IF(AND(IFERROR(INDEX(SUJETOS!$B$2:$B$601,MATCH($B106,SUJETOS!$A$2:$A$601,0)),"")="Persona natural",$G106=""),"Persona natural sin cargo; ",""))</f>
        <v/>
      </c>
      <c r="R106" s="12">
        <f>IF($A106="","",IFERROR(IF(LEN(INDEX(SUJETOS!$F$2:$F$601,MATCH($B106,SUJETOS!$A$2:$A$601,0)))&gt;0,INDEX(SUJETOS!$F$2:$F$601,MATCH($B106,SUJETOS!$A$2:$A$601,0)),$B106),$B106))</f>
        <v/>
      </c>
    </row>
    <row r="107">
      <c r="E107" s="18" t="n"/>
      <c r="K107" s="13">
        <f>IF(OR($A107="",$E107=""),"",IFERROR(E107*INDEX(CONTRATOS!$P$2:$P$601,MATCH($A107,CONTRATOS!$A$2:$A$601,0)),""))</f>
        <v/>
      </c>
      <c r="L107" s="17">
        <f>IF(OR($A107="",$E107=""),"",IFERROR(E107*INDEX(CONTRATOS!$Z$2:$Z$601,MATCH($A107,CONTRATOS!$A$2:$A$601,0)),""))</f>
        <v/>
      </c>
      <c r="M107" s="13">
        <f>IF(OR($A107="",$E107=""),"",IFERROR(E107*INDEX(CONTRATOS!$AA$2:$AA$601,MATCH($A107,CONTRATOS!$A$2:$A$601,0)),""))</f>
        <v/>
      </c>
      <c r="N107" s="19">
        <f>IF($A107="","",SUMIFS($E$2:$E$601,$A$2:$A$601,$A107))</f>
        <v/>
      </c>
      <c r="O107" s="12">
        <f>IF($A107="","",IFERROR(INDEX(CONTRATOS!$F$2:$F$601,MATCH($A107,CONTRATOS!$A$2:$A$601,0)),""))</f>
        <v/>
      </c>
      <c r="P107" s="12">
        <f>IF($A107="","",IFERROR(INDEX(CONTRATOS!$M$2:$M$601,MATCH($A107,CONTRATOS!$A$2:$A$601,0)),""))</f>
        <v/>
      </c>
      <c r="Q107" s="12">
        <f>IF($A107="","",IF(COUNTIF(CONTRATOS!$A$2:$A$601,$A107)=0,"El contrato no existe en CONTRATOS; ","")&amp;IF($B107="","Falta sujeto; ",IF(COUNTIF(SUJETOS!$A$2:$A$601,$B107)=0,"El sujeto no existe en SUJETOS; ",""))&amp;IF($E107="","Falta porcentaje; ","")&amp;IF(N107&gt;1.0001,"Los porcentajes del contrato suman más de 100 %; ","")&amp;IF(AND($C107="Individual",$E107&lt;&gt;"",$E107&lt;&gt;1),"Individual debe ser 100 %; ","")&amp;IF(AND($C107&lt;&gt;"Individual",$C107&lt;&gt;"",$E107=1),"Consorcio o UT con 100 %: revise; ","")&amp;IF(COUNTIFS($A$2:$A$601,$A107,$B$2:$B$601,$B107)&gt;1,"Participación repetida; ","")&amp;IF(AND(IFERROR(INDEX(SUJETOS!$B$2:$B$601,MATCH($B107,SUJETOS!$A$2:$A$601,0)),"")="Persona natural",$G107=""),"Persona natural sin cargo; ",""))</f>
        <v/>
      </c>
      <c r="R107" s="12">
        <f>IF($A107="","",IFERROR(IF(LEN(INDEX(SUJETOS!$F$2:$F$601,MATCH($B107,SUJETOS!$A$2:$A$601,0)))&gt;0,INDEX(SUJETOS!$F$2:$F$601,MATCH($B107,SUJETOS!$A$2:$A$601,0)),$B107),$B107))</f>
        <v/>
      </c>
    </row>
    <row r="108">
      <c r="E108" s="18" t="n"/>
      <c r="K108" s="13">
        <f>IF(OR($A108="",$E108=""),"",IFERROR(E108*INDEX(CONTRATOS!$P$2:$P$601,MATCH($A108,CONTRATOS!$A$2:$A$601,0)),""))</f>
        <v/>
      </c>
      <c r="L108" s="17">
        <f>IF(OR($A108="",$E108=""),"",IFERROR(E108*INDEX(CONTRATOS!$Z$2:$Z$601,MATCH($A108,CONTRATOS!$A$2:$A$601,0)),""))</f>
        <v/>
      </c>
      <c r="M108" s="13">
        <f>IF(OR($A108="",$E108=""),"",IFERROR(E108*INDEX(CONTRATOS!$AA$2:$AA$601,MATCH($A108,CONTRATOS!$A$2:$A$601,0)),""))</f>
        <v/>
      </c>
      <c r="N108" s="19">
        <f>IF($A108="","",SUMIFS($E$2:$E$601,$A$2:$A$601,$A108))</f>
        <v/>
      </c>
      <c r="O108" s="12">
        <f>IF($A108="","",IFERROR(INDEX(CONTRATOS!$F$2:$F$601,MATCH($A108,CONTRATOS!$A$2:$A$601,0)),""))</f>
        <v/>
      </c>
      <c r="P108" s="12">
        <f>IF($A108="","",IFERROR(INDEX(CONTRATOS!$M$2:$M$601,MATCH($A108,CONTRATOS!$A$2:$A$601,0)),""))</f>
        <v/>
      </c>
      <c r="Q108" s="12">
        <f>IF($A108="","",IF(COUNTIF(CONTRATOS!$A$2:$A$601,$A108)=0,"El contrato no existe en CONTRATOS; ","")&amp;IF($B108="","Falta sujeto; ",IF(COUNTIF(SUJETOS!$A$2:$A$601,$B108)=0,"El sujeto no existe en SUJETOS; ",""))&amp;IF($E108="","Falta porcentaje; ","")&amp;IF(N108&gt;1.0001,"Los porcentajes del contrato suman más de 100 %; ","")&amp;IF(AND($C108="Individual",$E108&lt;&gt;"",$E108&lt;&gt;1),"Individual debe ser 100 %; ","")&amp;IF(AND($C108&lt;&gt;"Individual",$C108&lt;&gt;"",$E108=1),"Consorcio o UT con 100 %: revise; ","")&amp;IF(COUNTIFS($A$2:$A$601,$A108,$B$2:$B$601,$B108)&gt;1,"Participación repetida; ","")&amp;IF(AND(IFERROR(INDEX(SUJETOS!$B$2:$B$601,MATCH($B108,SUJETOS!$A$2:$A$601,0)),"")="Persona natural",$G108=""),"Persona natural sin cargo; ",""))</f>
        <v/>
      </c>
      <c r="R108" s="12">
        <f>IF($A108="","",IFERROR(IF(LEN(INDEX(SUJETOS!$F$2:$F$601,MATCH($B108,SUJETOS!$A$2:$A$601,0)))&gt;0,INDEX(SUJETOS!$F$2:$F$601,MATCH($B108,SUJETOS!$A$2:$A$601,0)),$B108),$B108))</f>
        <v/>
      </c>
    </row>
    <row r="109">
      <c r="E109" s="18" t="n"/>
      <c r="K109" s="13">
        <f>IF(OR($A109="",$E109=""),"",IFERROR(E109*INDEX(CONTRATOS!$P$2:$P$601,MATCH($A109,CONTRATOS!$A$2:$A$601,0)),""))</f>
        <v/>
      </c>
      <c r="L109" s="17">
        <f>IF(OR($A109="",$E109=""),"",IFERROR(E109*INDEX(CONTRATOS!$Z$2:$Z$601,MATCH($A109,CONTRATOS!$A$2:$A$601,0)),""))</f>
        <v/>
      </c>
      <c r="M109" s="13">
        <f>IF(OR($A109="",$E109=""),"",IFERROR(E109*INDEX(CONTRATOS!$AA$2:$AA$601,MATCH($A109,CONTRATOS!$A$2:$A$601,0)),""))</f>
        <v/>
      </c>
      <c r="N109" s="19">
        <f>IF($A109="","",SUMIFS($E$2:$E$601,$A$2:$A$601,$A109))</f>
        <v/>
      </c>
      <c r="O109" s="12">
        <f>IF($A109="","",IFERROR(INDEX(CONTRATOS!$F$2:$F$601,MATCH($A109,CONTRATOS!$A$2:$A$601,0)),""))</f>
        <v/>
      </c>
      <c r="P109" s="12">
        <f>IF($A109="","",IFERROR(INDEX(CONTRATOS!$M$2:$M$601,MATCH($A109,CONTRATOS!$A$2:$A$601,0)),""))</f>
        <v/>
      </c>
      <c r="Q109" s="12">
        <f>IF($A109="","",IF(COUNTIF(CONTRATOS!$A$2:$A$601,$A109)=0,"El contrato no existe en CONTRATOS; ","")&amp;IF($B109="","Falta sujeto; ",IF(COUNTIF(SUJETOS!$A$2:$A$601,$B109)=0,"El sujeto no existe en SUJETOS; ",""))&amp;IF($E109="","Falta porcentaje; ","")&amp;IF(N109&gt;1.0001,"Los porcentajes del contrato suman más de 100 %; ","")&amp;IF(AND($C109="Individual",$E109&lt;&gt;"",$E109&lt;&gt;1),"Individual debe ser 100 %; ","")&amp;IF(AND($C109&lt;&gt;"Individual",$C109&lt;&gt;"",$E109=1),"Consorcio o UT con 100 %: revise; ","")&amp;IF(COUNTIFS($A$2:$A$601,$A109,$B$2:$B$601,$B109)&gt;1,"Participación repetida; ","")&amp;IF(AND(IFERROR(INDEX(SUJETOS!$B$2:$B$601,MATCH($B109,SUJETOS!$A$2:$A$601,0)),"")="Persona natural",$G109=""),"Persona natural sin cargo; ",""))</f>
        <v/>
      </c>
      <c r="R109" s="12">
        <f>IF($A109="","",IFERROR(IF(LEN(INDEX(SUJETOS!$F$2:$F$601,MATCH($B109,SUJETOS!$A$2:$A$601,0)))&gt;0,INDEX(SUJETOS!$F$2:$F$601,MATCH($B109,SUJETOS!$A$2:$A$601,0)),$B109),$B109))</f>
        <v/>
      </c>
    </row>
    <row r="110">
      <c r="E110" s="18" t="n"/>
      <c r="K110" s="13">
        <f>IF(OR($A110="",$E110=""),"",IFERROR(E110*INDEX(CONTRATOS!$P$2:$P$601,MATCH($A110,CONTRATOS!$A$2:$A$601,0)),""))</f>
        <v/>
      </c>
      <c r="L110" s="17">
        <f>IF(OR($A110="",$E110=""),"",IFERROR(E110*INDEX(CONTRATOS!$Z$2:$Z$601,MATCH($A110,CONTRATOS!$A$2:$A$601,0)),""))</f>
        <v/>
      </c>
      <c r="M110" s="13">
        <f>IF(OR($A110="",$E110=""),"",IFERROR(E110*INDEX(CONTRATOS!$AA$2:$AA$601,MATCH($A110,CONTRATOS!$A$2:$A$601,0)),""))</f>
        <v/>
      </c>
      <c r="N110" s="19">
        <f>IF($A110="","",SUMIFS($E$2:$E$601,$A$2:$A$601,$A110))</f>
        <v/>
      </c>
      <c r="O110" s="12">
        <f>IF($A110="","",IFERROR(INDEX(CONTRATOS!$F$2:$F$601,MATCH($A110,CONTRATOS!$A$2:$A$601,0)),""))</f>
        <v/>
      </c>
      <c r="P110" s="12">
        <f>IF($A110="","",IFERROR(INDEX(CONTRATOS!$M$2:$M$601,MATCH($A110,CONTRATOS!$A$2:$A$601,0)),""))</f>
        <v/>
      </c>
      <c r="Q110" s="12">
        <f>IF($A110="","",IF(COUNTIF(CONTRATOS!$A$2:$A$601,$A110)=0,"El contrato no existe en CONTRATOS; ","")&amp;IF($B110="","Falta sujeto; ",IF(COUNTIF(SUJETOS!$A$2:$A$601,$B110)=0,"El sujeto no existe en SUJETOS; ",""))&amp;IF($E110="","Falta porcentaje; ","")&amp;IF(N110&gt;1.0001,"Los porcentajes del contrato suman más de 100 %; ","")&amp;IF(AND($C110="Individual",$E110&lt;&gt;"",$E110&lt;&gt;1),"Individual debe ser 100 %; ","")&amp;IF(AND($C110&lt;&gt;"Individual",$C110&lt;&gt;"",$E110=1),"Consorcio o UT con 100 %: revise; ","")&amp;IF(COUNTIFS($A$2:$A$601,$A110,$B$2:$B$601,$B110)&gt;1,"Participación repetida; ","")&amp;IF(AND(IFERROR(INDEX(SUJETOS!$B$2:$B$601,MATCH($B110,SUJETOS!$A$2:$A$601,0)),"")="Persona natural",$G110=""),"Persona natural sin cargo; ",""))</f>
        <v/>
      </c>
      <c r="R110" s="12">
        <f>IF($A110="","",IFERROR(IF(LEN(INDEX(SUJETOS!$F$2:$F$601,MATCH($B110,SUJETOS!$A$2:$A$601,0)))&gt;0,INDEX(SUJETOS!$F$2:$F$601,MATCH($B110,SUJETOS!$A$2:$A$601,0)),$B110),$B110))</f>
        <v/>
      </c>
    </row>
    <row r="111">
      <c r="E111" s="18" t="n"/>
      <c r="K111" s="13">
        <f>IF(OR($A111="",$E111=""),"",IFERROR(E111*INDEX(CONTRATOS!$P$2:$P$601,MATCH($A111,CONTRATOS!$A$2:$A$601,0)),""))</f>
        <v/>
      </c>
      <c r="L111" s="17">
        <f>IF(OR($A111="",$E111=""),"",IFERROR(E111*INDEX(CONTRATOS!$Z$2:$Z$601,MATCH($A111,CONTRATOS!$A$2:$A$601,0)),""))</f>
        <v/>
      </c>
      <c r="M111" s="13">
        <f>IF(OR($A111="",$E111=""),"",IFERROR(E111*INDEX(CONTRATOS!$AA$2:$AA$601,MATCH($A111,CONTRATOS!$A$2:$A$601,0)),""))</f>
        <v/>
      </c>
      <c r="N111" s="19">
        <f>IF($A111="","",SUMIFS($E$2:$E$601,$A$2:$A$601,$A111))</f>
        <v/>
      </c>
      <c r="O111" s="12">
        <f>IF($A111="","",IFERROR(INDEX(CONTRATOS!$F$2:$F$601,MATCH($A111,CONTRATOS!$A$2:$A$601,0)),""))</f>
        <v/>
      </c>
      <c r="P111" s="12">
        <f>IF($A111="","",IFERROR(INDEX(CONTRATOS!$M$2:$M$601,MATCH($A111,CONTRATOS!$A$2:$A$601,0)),""))</f>
        <v/>
      </c>
      <c r="Q111" s="12">
        <f>IF($A111="","",IF(COUNTIF(CONTRATOS!$A$2:$A$601,$A111)=0,"El contrato no existe en CONTRATOS; ","")&amp;IF($B111="","Falta sujeto; ",IF(COUNTIF(SUJETOS!$A$2:$A$601,$B111)=0,"El sujeto no existe en SUJETOS; ",""))&amp;IF($E111="","Falta porcentaje; ","")&amp;IF(N111&gt;1.0001,"Los porcentajes del contrato suman más de 100 %; ","")&amp;IF(AND($C111="Individual",$E111&lt;&gt;"",$E111&lt;&gt;1),"Individual debe ser 100 %; ","")&amp;IF(AND($C111&lt;&gt;"Individual",$C111&lt;&gt;"",$E111=1),"Consorcio o UT con 100 %: revise; ","")&amp;IF(COUNTIFS($A$2:$A$601,$A111,$B$2:$B$601,$B111)&gt;1,"Participación repetida; ","")&amp;IF(AND(IFERROR(INDEX(SUJETOS!$B$2:$B$601,MATCH($B111,SUJETOS!$A$2:$A$601,0)),"")="Persona natural",$G111=""),"Persona natural sin cargo; ",""))</f>
        <v/>
      </c>
      <c r="R111" s="12">
        <f>IF($A111="","",IFERROR(IF(LEN(INDEX(SUJETOS!$F$2:$F$601,MATCH($B111,SUJETOS!$A$2:$A$601,0)))&gt;0,INDEX(SUJETOS!$F$2:$F$601,MATCH($B111,SUJETOS!$A$2:$A$601,0)),$B111),$B111))</f>
        <v/>
      </c>
    </row>
    <row r="112">
      <c r="E112" s="18" t="n"/>
      <c r="K112" s="13">
        <f>IF(OR($A112="",$E112=""),"",IFERROR(E112*INDEX(CONTRATOS!$P$2:$P$601,MATCH($A112,CONTRATOS!$A$2:$A$601,0)),""))</f>
        <v/>
      </c>
      <c r="L112" s="17">
        <f>IF(OR($A112="",$E112=""),"",IFERROR(E112*INDEX(CONTRATOS!$Z$2:$Z$601,MATCH($A112,CONTRATOS!$A$2:$A$601,0)),""))</f>
        <v/>
      </c>
      <c r="M112" s="13">
        <f>IF(OR($A112="",$E112=""),"",IFERROR(E112*INDEX(CONTRATOS!$AA$2:$AA$601,MATCH($A112,CONTRATOS!$A$2:$A$601,0)),""))</f>
        <v/>
      </c>
      <c r="N112" s="19">
        <f>IF($A112="","",SUMIFS($E$2:$E$601,$A$2:$A$601,$A112))</f>
        <v/>
      </c>
      <c r="O112" s="12">
        <f>IF($A112="","",IFERROR(INDEX(CONTRATOS!$F$2:$F$601,MATCH($A112,CONTRATOS!$A$2:$A$601,0)),""))</f>
        <v/>
      </c>
      <c r="P112" s="12">
        <f>IF($A112="","",IFERROR(INDEX(CONTRATOS!$M$2:$M$601,MATCH($A112,CONTRATOS!$A$2:$A$601,0)),""))</f>
        <v/>
      </c>
      <c r="Q112" s="12">
        <f>IF($A112="","",IF(COUNTIF(CONTRATOS!$A$2:$A$601,$A112)=0,"El contrato no existe en CONTRATOS; ","")&amp;IF($B112="","Falta sujeto; ",IF(COUNTIF(SUJETOS!$A$2:$A$601,$B112)=0,"El sujeto no existe en SUJETOS; ",""))&amp;IF($E112="","Falta porcentaje; ","")&amp;IF(N112&gt;1.0001,"Los porcentajes del contrato suman más de 100 %; ","")&amp;IF(AND($C112="Individual",$E112&lt;&gt;"",$E112&lt;&gt;1),"Individual debe ser 100 %; ","")&amp;IF(AND($C112&lt;&gt;"Individual",$C112&lt;&gt;"",$E112=1),"Consorcio o UT con 100 %: revise; ","")&amp;IF(COUNTIFS($A$2:$A$601,$A112,$B$2:$B$601,$B112)&gt;1,"Participación repetida; ","")&amp;IF(AND(IFERROR(INDEX(SUJETOS!$B$2:$B$601,MATCH($B112,SUJETOS!$A$2:$A$601,0)),"")="Persona natural",$G112=""),"Persona natural sin cargo; ",""))</f>
        <v/>
      </c>
      <c r="R112" s="12">
        <f>IF($A112="","",IFERROR(IF(LEN(INDEX(SUJETOS!$F$2:$F$601,MATCH($B112,SUJETOS!$A$2:$A$601,0)))&gt;0,INDEX(SUJETOS!$F$2:$F$601,MATCH($B112,SUJETOS!$A$2:$A$601,0)),$B112),$B112))</f>
        <v/>
      </c>
    </row>
    <row r="113">
      <c r="E113" s="18" t="n"/>
      <c r="K113" s="13">
        <f>IF(OR($A113="",$E113=""),"",IFERROR(E113*INDEX(CONTRATOS!$P$2:$P$601,MATCH($A113,CONTRATOS!$A$2:$A$601,0)),""))</f>
        <v/>
      </c>
      <c r="L113" s="17">
        <f>IF(OR($A113="",$E113=""),"",IFERROR(E113*INDEX(CONTRATOS!$Z$2:$Z$601,MATCH($A113,CONTRATOS!$A$2:$A$601,0)),""))</f>
        <v/>
      </c>
      <c r="M113" s="13">
        <f>IF(OR($A113="",$E113=""),"",IFERROR(E113*INDEX(CONTRATOS!$AA$2:$AA$601,MATCH($A113,CONTRATOS!$A$2:$A$601,0)),""))</f>
        <v/>
      </c>
      <c r="N113" s="19">
        <f>IF($A113="","",SUMIFS($E$2:$E$601,$A$2:$A$601,$A113))</f>
        <v/>
      </c>
      <c r="O113" s="12">
        <f>IF($A113="","",IFERROR(INDEX(CONTRATOS!$F$2:$F$601,MATCH($A113,CONTRATOS!$A$2:$A$601,0)),""))</f>
        <v/>
      </c>
      <c r="P113" s="12">
        <f>IF($A113="","",IFERROR(INDEX(CONTRATOS!$M$2:$M$601,MATCH($A113,CONTRATOS!$A$2:$A$601,0)),""))</f>
        <v/>
      </c>
      <c r="Q113" s="12">
        <f>IF($A113="","",IF(COUNTIF(CONTRATOS!$A$2:$A$601,$A113)=0,"El contrato no existe en CONTRATOS; ","")&amp;IF($B113="","Falta sujeto; ",IF(COUNTIF(SUJETOS!$A$2:$A$601,$B113)=0,"El sujeto no existe en SUJETOS; ",""))&amp;IF($E113="","Falta porcentaje; ","")&amp;IF(N113&gt;1.0001,"Los porcentajes del contrato suman más de 100 %; ","")&amp;IF(AND($C113="Individual",$E113&lt;&gt;"",$E113&lt;&gt;1),"Individual debe ser 100 %; ","")&amp;IF(AND($C113&lt;&gt;"Individual",$C113&lt;&gt;"",$E113=1),"Consorcio o UT con 100 %: revise; ","")&amp;IF(COUNTIFS($A$2:$A$601,$A113,$B$2:$B$601,$B113)&gt;1,"Participación repetida; ","")&amp;IF(AND(IFERROR(INDEX(SUJETOS!$B$2:$B$601,MATCH($B113,SUJETOS!$A$2:$A$601,0)),"")="Persona natural",$G113=""),"Persona natural sin cargo; ",""))</f>
        <v/>
      </c>
      <c r="R113" s="12">
        <f>IF($A113="","",IFERROR(IF(LEN(INDEX(SUJETOS!$F$2:$F$601,MATCH($B113,SUJETOS!$A$2:$A$601,0)))&gt;0,INDEX(SUJETOS!$F$2:$F$601,MATCH($B113,SUJETOS!$A$2:$A$601,0)),$B113),$B113))</f>
        <v/>
      </c>
    </row>
    <row r="114">
      <c r="E114" s="18" t="n"/>
      <c r="K114" s="13">
        <f>IF(OR($A114="",$E114=""),"",IFERROR(E114*INDEX(CONTRATOS!$P$2:$P$601,MATCH($A114,CONTRATOS!$A$2:$A$601,0)),""))</f>
        <v/>
      </c>
      <c r="L114" s="17">
        <f>IF(OR($A114="",$E114=""),"",IFERROR(E114*INDEX(CONTRATOS!$Z$2:$Z$601,MATCH($A114,CONTRATOS!$A$2:$A$601,0)),""))</f>
        <v/>
      </c>
      <c r="M114" s="13">
        <f>IF(OR($A114="",$E114=""),"",IFERROR(E114*INDEX(CONTRATOS!$AA$2:$AA$601,MATCH($A114,CONTRATOS!$A$2:$A$601,0)),""))</f>
        <v/>
      </c>
      <c r="N114" s="19">
        <f>IF($A114="","",SUMIFS($E$2:$E$601,$A$2:$A$601,$A114))</f>
        <v/>
      </c>
      <c r="O114" s="12">
        <f>IF($A114="","",IFERROR(INDEX(CONTRATOS!$F$2:$F$601,MATCH($A114,CONTRATOS!$A$2:$A$601,0)),""))</f>
        <v/>
      </c>
      <c r="P114" s="12">
        <f>IF($A114="","",IFERROR(INDEX(CONTRATOS!$M$2:$M$601,MATCH($A114,CONTRATOS!$A$2:$A$601,0)),""))</f>
        <v/>
      </c>
      <c r="Q114" s="12">
        <f>IF($A114="","",IF(COUNTIF(CONTRATOS!$A$2:$A$601,$A114)=0,"El contrato no existe en CONTRATOS; ","")&amp;IF($B114="","Falta sujeto; ",IF(COUNTIF(SUJETOS!$A$2:$A$601,$B114)=0,"El sujeto no existe en SUJETOS; ",""))&amp;IF($E114="","Falta porcentaje; ","")&amp;IF(N114&gt;1.0001,"Los porcentajes del contrato suman más de 100 %; ","")&amp;IF(AND($C114="Individual",$E114&lt;&gt;"",$E114&lt;&gt;1),"Individual debe ser 100 %; ","")&amp;IF(AND($C114&lt;&gt;"Individual",$C114&lt;&gt;"",$E114=1),"Consorcio o UT con 100 %: revise; ","")&amp;IF(COUNTIFS($A$2:$A$601,$A114,$B$2:$B$601,$B114)&gt;1,"Participación repetida; ","")&amp;IF(AND(IFERROR(INDEX(SUJETOS!$B$2:$B$601,MATCH($B114,SUJETOS!$A$2:$A$601,0)),"")="Persona natural",$G114=""),"Persona natural sin cargo; ",""))</f>
        <v/>
      </c>
      <c r="R114" s="12">
        <f>IF($A114="","",IFERROR(IF(LEN(INDEX(SUJETOS!$F$2:$F$601,MATCH($B114,SUJETOS!$A$2:$A$601,0)))&gt;0,INDEX(SUJETOS!$F$2:$F$601,MATCH($B114,SUJETOS!$A$2:$A$601,0)),$B114),$B114))</f>
        <v/>
      </c>
    </row>
    <row r="115">
      <c r="E115" s="18" t="n"/>
      <c r="K115" s="13">
        <f>IF(OR($A115="",$E115=""),"",IFERROR(E115*INDEX(CONTRATOS!$P$2:$P$601,MATCH($A115,CONTRATOS!$A$2:$A$601,0)),""))</f>
        <v/>
      </c>
      <c r="L115" s="17">
        <f>IF(OR($A115="",$E115=""),"",IFERROR(E115*INDEX(CONTRATOS!$Z$2:$Z$601,MATCH($A115,CONTRATOS!$A$2:$A$601,0)),""))</f>
        <v/>
      </c>
      <c r="M115" s="13">
        <f>IF(OR($A115="",$E115=""),"",IFERROR(E115*INDEX(CONTRATOS!$AA$2:$AA$601,MATCH($A115,CONTRATOS!$A$2:$A$601,0)),""))</f>
        <v/>
      </c>
      <c r="N115" s="19">
        <f>IF($A115="","",SUMIFS($E$2:$E$601,$A$2:$A$601,$A115))</f>
        <v/>
      </c>
      <c r="O115" s="12">
        <f>IF($A115="","",IFERROR(INDEX(CONTRATOS!$F$2:$F$601,MATCH($A115,CONTRATOS!$A$2:$A$601,0)),""))</f>
        <v/>
      </c>
      <c r="P115" s="12">
        <f>IF($A115="","",IFERROR(INDEX(CONTRATOS!$M$2:$M$601,MATCH($A115,CONTRATOS!$A$2:$A$601,0)),""))</f>
        <v/>
      </c>
      <c r="Q115" s="12">
        <f>IF($A115="","",IF(COUNTIF(CONTRATOS!$A$2:$A$601,$A115)=0,"El contrato no existe en CONTRATOS; ","")&amp;IF($B115="","Falta sujeto; ",IF(COUNTIF(SUJETOS!$A$2:$A$601,$B115)=0,"El sujeto no existe en SUJETOS; ",""))&amp;IF($E115="","Falta porcentaje; ","")&amp;IF(N115&gt;1.0001,"Los porcentajes del contrato suman más de 100 %; ","")&amp;IF(AND($C115="Individual",$E115&lt;&gt;"",$E115&lt;&gt;1),"Individual debe ser 100 %; ","")&amp;IF(AND($C115&lt;&gt;"Individual",$C115&lt;&gt;"",$E115=1),"Consorcio o UT con 100 %: revise; ","")&amp;IF(COUNTIFS($A$2:$A$601,$A115,$B$2:$B$601,$B115)&gt;1,"Participación repetida; ","")&amp;IF(AND(IFERROR(INDEX(SUJETOS!$B$2:$B$601,MATCH($B115,SUJETOS!$A$2:$A$601,0)),"")="Persona natural",$G115=""),"Persona natural sin cargo; ",""))</f>
        <v/>
      </c>
      <c r="R115" s="12">
        <f>IF($A115="","",IFERROR(IF(LEN(INDEX(SUJETOS!$F$2:$F$601,MATCH($B115,SUJETOS!$A$2:$A$601,0)))&gt;0,INDEX(SUJETOS!$F$2:$F$601,MATCH($B115,SUJETOS!$A$2:$A$601,0)),$B115),$B115))</f>
        <v/>
      </c>
    </row>
    <row r="116">
      <c r="E116" s="18" t="n"/>
      <c r="K116" s="13">
        <f>IF(OR($A116="",$E116=""),"",IFERROR(E116*INDEX(CONTRATOS!$P$2:$P$601,MATCH($A116,CONTRATOS!$A$2:$A$601,0)),""))</f>
        <v/>
      </c>
      <c r="L116" s="17">
        <f>IF(OR($A116="",$E116=""),"",IFERROR(E116*INDEX(CONTRATOS!$Z$2:$Z$601,MATCH($A116,CONTRATOS!$A$2:$A$601,0)),""))</f>
        <v/>
      </c>
      <c r="M116" s="13">
        <f>IF(OR($A116="",$E116=""),"",IFERROR(E116*INDEX(CONTRATOS!$AA$2:$AA$601,MATCH($A116,CONTRATOS!$A$2:$A$601,0)),""))</f>
        <v/>
      </c>
      <c r="N116" s="19">
        <f>IF($A116="","",SUMIFS($E$2:$E$601,$A$2:$A$601,$A116))</f>
        <v/>
      </c>
      <c r="O116" s="12">
        <f>IF($A116="","",IFERROR(INDEX(CONTRATOS!$F$2:$F$601,MATCH($A116,CONTRATOS!$A$2:$A$601,0)),""))</f>
        <v/>
      </c>
      <c r="P116" s="12">
        <f>IF($A116="","",IFERROR(INDEX(CONTRATOS!$M$2:$M$601,MATCH($A116,CONTRATOS!$A$2:$A$601,0)),""))</f>
        <v/>
      </c>
      <c r="Q116" s="12">
        <f>IF($A116="","",IF(COUNTIF(CONTRATOS!$A$2:$A$601,$A116)=0,"El contrato no existe en CONTRATOS; ","")&amp;IF($B116="","Falta sujeto; ",IF(COUNTIF(SUJETOS!$A$2:$A$601,$B116)=0,"El sujeto no existe en SUJETOS; ",""))&amp;IF($E116="","Falta porcentaje; ","")&amp;IF(N116&gt;1.0001,"Los porcentajes del contrato suman más de 100 %; ","")&amp;IF(AND($C116="Individual",$E116&lt;&gt;"",$E116&lt;&gt;1),"Individual debe ser 100 %; ","")&amp;IF(AND($C116&lt;&gt;"Individual",$C116&lt;&gt;"",$E116=1),"Consorcio o UT con 100 %: revise; ","")&amp;IF(COUNTIFS($A$2:$A$601,$A116,$B$2:$B$601,$B116)&gt;1,"Participación repetida; ","")&amp;IF(AND(IFERROR(INDEX(SUJETOS!$B$2:$B$601,MATCH($B116,SUJETOS!$A$2:$A$601,0)),"")="Persona natural",$G116=""),"Persona natural sin cargo; ",""))</f>
        <v/>
      </c>
      <c r="R116" s="12">
        <f>IF($A116="","",IFERROR(IF(LEN(INDEX(SUJETOS!$F$2:$F$601,MATCH($B116,SUJETOS!$A$2:$A$601,0)))&gt;0,INDEX(SUJETOS!$F$2:$F$601,MATCH($B116,SUJETOS!$A$2:$A$601,0)),$B116),$B116))</f>
        <v/>
      </c>
    </row>
    <row r="117">
      <c r="E117" s="18" t="n"/>
      <c r="K117" s="13">
        <f>IF(OR($A117="",$E117=""),"",IFERROR(E117*INDEX(CONTRATOS!$P$2:$P$601,MATCH($A117,CONTRATOS!$A$2:$A$601,0)),""))</f>
        <v/>
      </c>
      <c r="L117" s="17">
        <f>IF(OR($A117="",$E117=""),"",IFERROR(E117*INDEX(CONTRATOS!$Z$2:$Z$601,MATCH($A117,CONTRATOS!$A$2:$A$601,0)),""))</f>
        <v/>
      </c>
      <c r="M117" s="13">
        <f>IF(OR($A117="",$E117=""),"",IFERROR(E117*INDEX(CONTRATOS!$AA$2:$AA$601,MATCH($A117,CONTRATOS!$A$2:$A$601,0)),""))</f>
        <v/>
      </c>
      <c r="N117" s="19">
        <f>IF($A117="","",SUMIFS($E$2:$E$601,$A$2:$A$601,$A117))</f>
        <v/>
      </c>
      <c r="O117" s="12">
        <f>IF($A117="","",IFERROR(INDEX(CONTRATOS!$F$2:$F$601,MATCH($A117,CONTRATOS!$A$2:$A$601,0)),""))</f>
        <v/>
      </c>
      <c r="P117" s="12">
        <f>IF($A117="","",IFERROR(INDEX(CONTRATOS!$M$2:$M$601,MATCH($A117,CONTRATOS!$A$2:$A$601,0)),""))</f>
        <v/>
      </c>
      <c r="Q117" s="12">
        <f>IF($A117="","",IF(COUNTIF(CONTRATOS!$A$2:$A$601,$A117)=0,"El contrato no existe en CONTRATOS; ","")&amp;IF($B117="","Falta sujeto; ",IF(COUNTIF(SUJETOS!$A$2:$A$601,$B117)=0,"El sujeto no existe en SUJETOS; ",""))&amp;IF($E117="","Falta porcentaje; ","")&amp;IF(N117&gt;1.0001,"Los porcentajes del contrato suman más de 100 %; ","")&amp;IF(AND($C117="Individual",$E117&lt;&gt;"",$E117&lt;&gt;1),"Individual debe ser 100 %; ","")&amp;IF(AND($C117&lt;&gt;"Individual",$C117&lt;&gt;"",$E117=1),"Consorcio o UT con 100 %: revise; ","")&amp;IF(COUNTIFS($A$2:$A$601,$A117,$B$2:$B$601,$B117)&gt;1,"Participación repetida; ","")&amp;IF(AND(IFERROR(INDEX(SUJETOS!$B$2:$B$601,MATCH($B117,SUJETOS!$A$2:$A$601,0)),"")="Persona natural",$G117=""),"Persona natural sin cargo; ",""))</f>
        <v/>
      </c>
      <c r="R117" s="12">
        <f>IF($A117="","",IFERROR(IF(LEN(INDEX(SUJETOS!$F$2:$F$601,MATCH($B117,SUJETOS!$A$2:$A$601,0)))&gt;0,INDEX(SUJETOS!$F$2:$F$601,MATCH($B117,SUJETOS!$A$2:$A$601,0)),$B117),$B117))</f>
        <v/>
      </c>
    </row>
    <row r="118">
      <c r="E118" s="18" t="n"/>
      <c r="K118" s="13">
        <f>IF(OR($A118="",$E118=""),"",IFERROR(E118*INDEX(CONTRATOS!$P$2:$P$601,MATCH($A118,CONTRATOS!$A$2:$A$601,0)),""))</f>
        <v/>
      </c>
      <c r="L118" s="17">
        <f>IF(OR($A118="",$E118=""),"",IFERROR(E118*INDEX(CONTRATOS!$Z$2:$Z$601,MATCH($A118,CONTRATOS!$A$2:$A$601,0)),""))</f>
        <v/>
      </c>
      <c r="M118" s="13">
        <f>IF(OR($A118="",$E118=""),"",IFERROR(E118*INDEX(CONTRATOS!$AA$2:$AA$601,MATCH($A118,CONTRATOS!$A$2:$A$601,0)),""))</f>
        <v/>
      </c>
      <c r="N118" s="19">
        <f>IF($A118="","",SUMIFS($E$2:$E$601,$A$2:$A$601,$A118))</f>
        <v/>
      </c>
      <c r="O118" s="12">
        <f>IF($A118="","",IFERROR(INDEX(CONTRATOS!$F$2:$F$601,MATCH($A118,CONTRATOS!$A$2:$A$601,0)),""))</f>
        <v/>
      </c>
      <c r="P118" s="12">
        <f>IF($A118="","",IFERROR(INDEX(CONTRATOS!$M$2:$M$601,MATCH($A118,CONTRATOS!$A$2:$A$601,0)),""))</f>
        <v/>
      </c>
      <c r="Q118" s="12">
        <f>IF($A118="","",IF(COUNTIF(CONTRATOS!$A$2:$A$601,$A118)=0,"El contrato no existe en CONTRATOS; ","")&amp;IF($B118="","Falta sujeto; ",IF(COUNTIF(SUJETOS!$A$2:$A$601,$B118)=0,"El sujeto no existe en SUJETOS; ",""))&amp;IF($E118="","Falta porcentaje; ","")&amp;IF(N118&gt;1.0001,"Los porcentajes del contrato suman más de 100 %; ","")&amp;IF(AND($C118="Individual",$E118&lt;&gt;"",$E118&lt;&gt;1),"Individual debe ser 100 %; ","")&amp;IF(AND($C118&lt;&gt;"Individual",$C118&lt;&gt;"",$E118=1),"Consorcio o UT con 100 %: revise; ","")&amp;IF(COUNTIFS($A$2:$A$601,$A118,$B$2:$B$601,$B118)&gt;1,"Participación repetida; ","")&amp;IF(AND(IFERROR(INDEX(SUJETOS!$B$2:$B$601,MATCH($B118,SUJETOS!$A$2:$A$601,0)),"")="Persona natural",$G118=""),"Persona natural sin cargo; ",""))</f>
        <v/>
      </c>
      <c r="R118" s="12">
        <f>IF($A118="","",IFERROR(IF(LEN(INDEX(SUJETOS!$F$2:$F$601,MATCH($B118,SUJETOS!$A$2:$A$601,0)))&gt;0,INDEX(SUJETOS!$F$2:$F$601,MATCH($B118,SUJETOS!$A$2:$A$601,0)),$B118),$B118))</f>
        <v/>
      </c>
    </row>
    <row r="119">
      <c r="E119" s="18" t="n"/>
      <c r="K119" s="13">
        <f>IF(OR($A119="",$E119=""),"",IFERROR(E119*INDEX(CONTRATOS!$P$2:$P$601,MATCH($A119,CONTRATOS!$A$2:$A$601,0)),""))</f>
        <v/>
      </c>
      <c r="L119" s="17">
        <f>IF(OR($A119="",$E119=""),"",IFERROR(E119*INDEX(CONTRATOS!$Z$2:$Z$601,MATCH($A119,CONTRATOS!$A$2:$A$601,0)),""))</f>
        <v/>
      </c>
      <c r="M119" s="13">
        <f>IF(OR($A119="",$E119=""),"",IFERROR(E119*INDEX(CONTRATOS!$AA$2:$AA$601,MATCH($A119,CONTRATOS!$A$2:$A$601,0)),""))</f>
        <v/>
      </c>
      <c r="N119" s="19">
        <f>IF($A119="","",SUMIFS($E$2:$E$601,$A$2:$A$601,$A119))</f>
        <v/>
      </c>
      <c r="O119" s="12">
        <f>IF($A119="","",IFERROR(INDEX(CONTRATOS!$F$2:$F$601,MATCH($A119,CONTRATOS!$A$2:$A$601,0)),""))</f>
        <v/>
      </c>
      <c r="P119" s="12">
        <f>IF($A119="","",IFERROR(INDEX(CONTRATOS!$M$2:$M$601,MATCH($A119,CONTRATOS!$A$2:$A$601,0)),""))</f>
        <v/>
      </c>
      <c r="Q119" s="12">
        <f>IF($A119="","",IF(COUNTIF(CONTRATOS!$A$2:$A$601,$A119)=0,"El contrato no existe en CONTRATOS; ","")&amp;IF($B119="","Falta sujeto; ",IF(COUNTIF(SUJETOS!$A$2:$A$601,$B119)=0,"El sujeto no existe en SUJETOS; ",""))&amp;IF($E119="","Falta porcentaje; ","")&amp;IF(N119&gt;1.0001,"Los porcentajes del contrato suman más de 100 %; ","")&amp;IF(AND($C119="Individual",$E119&lt;&gt;"",$E119&lt;&gt;1),"Individual debe ser 100 %; ","")&amp;IF(AND($C119&lt;&gt;"Individual",$C119&lt;&gt;"",$E119=1),"Consorcio o UT con 100 %: revise; ","")&amp;IF(COUNTIFS($A$2:$A$601,$A119,$B$2:$B$601,$B119)&gt;1,"Participación repetida; ","")&amp;IF(AND(IFERROR(INDEX(SUJETOS!$B$2:$B$601,MATCH($B119,SUJETOS!$A$2:$A$601,0)),"")="Persona natural",$G119=""),"Persona natural sin cargo; ",""))</f>
        <v/>
      </c>
      <c r="R119" s="12">
        <f>IF($A119="","",IFERROR(IF(LEN(INDEX(SUJETOS!$F$2:$F$601,MATCH($B119,SUJETOS!$A$2:$A$601,0)))&gt;0,INDEX(SUJETOS!$F$2:$F$601,MATCH($B119,SUJETOS!$A$2:$A$601,0)),$B119),$B119))</f>
        <v/>
      </c>
    </row>
    <row r="120">
      <c r="E120" s="18" t="n"/>
      <c r="K120" s="13">
        <f>IF(OR($A120="",$E120=""),"",IFERROR(E120*INDEX(CONTRATOS!$P$2:$P$601,MATCH($A120,CONTRATOS!$A$2:$A$601,0)),""))</f>
        <v/>
      </c>
      <c r="L120" s="17">
        <f>IF(OR($A120="",$E120=""),"",IFERROR(E120*INDEX(CONTRATOS!$Z$2:$Z$601,MATCH($A120,CONTRATOS!$A$2:$A$601,0)),""))</f>
        <v/>
      </c>
      <c r="M120" s="13">
        <f>IF(OR($A120="",$E120=""),"",IFERROR(E120*INDEX(CONTRATOS!$AA$2:$AA$601,MATCH($A120,CONTRATOS!$A$2:$A$601,0)),""))</f>
        <v/>
      </c>
      <c r="N120" s="19">
        <f>IF($A120="","",SUMIFS($E$2:$E$601,$A$2:$A$601,$A120))</f>
        <v/>
      </c>
      <c r="O120" s="12">
        <f>IF($A120="","",IFERROR(INDEX(CONTRATOS!$F$2:$F$601,MATCH($A120,CONTRATOS!$A$2:$A$601,0)),""))</f>
        <v/>
      </c>
      <c r="P120" s="12">
        <f>IF($A120="","",IFERROR(INDEX(CONTRATOS!$M$2:$M$601,MATCH($A120,CONTRATOS!$A$2:$A$601,0)),""))</f>
        <v/>
      </c>
      <c r="Q120" s="12">
        <f>IF($A120="","",IF(COUNTIF(CONTRATOS!$A$2:$A$601,$A120)=0,"El contrato no existe en CONTRATOS; ","")&amp;IF($B120="","Falta sujeto; ",IF(COUNTIF(SUJETOS!$A$2:$A$601,$B120)=0,"El sujeto no existe en SUJETOS; ",""))&amp;IF($E120="","Falta porcentaje; ","")&amp;IF(N120&gt;1.0001,"Los porcentajes del contrato suman más de 100 %; ","")&amp;IF(AND($C120="Individual",$E120&lt;&gt;"",$E120&lt;&gt;1),"Individual debe ser 100 %; ","")&amp;IF(AND($C120&lt;&gt;"Individual",$C120&lt;&gt;"",$E120=1),"Consorcio o UT con 100 %: revise; ","")&amp;IF(COUNTIFS($A$2:$A$601,$A120,$B$2:$B$601,$B120)&gt;1,"Participación repetida; ","")&amp;IF(AND(IFERROR(INDEX(SUJETOS!$B$2:$B$601,MATCH($B120,SUJETOS!$A$2:$A$601,0)),"")="Persona natural",$G120=""),"Persona natural sin cargo; ",""))</f>
        <v/>
      </c>
      <c r="R120" s="12">
        <f>IF($A120="","",IFERROR(IF(LEN(INDEX(SUJETOS!$F$2:$F$601,MATCH($B120,SUJETOS!$A$2:$A$601,0)))&gt;0,INDEX(SUJETOS!$F$2:$F$601,MATCH($B120,SUJETOS!$A$2:$A$601,0)),$B120),$B120))</f>
        <v/>
      </c>
    </row>
    <row r="121">
      <c r="E121" s="18" t="n"/>
      <c r="K121" s="13">
        <f>IF(OR($A121="",$E121=""),"",IFERROR(E121*INDEX(CONTRATOS!$P$2:$P$601,MATCH($A121,CONTRATOS!$A$2:$A$601,0)),""))</f>
        <v/>
      </c>
      <c r="L121" s="17">
        <f>IF(OR($A121="",$E121=""),"",IFERROR(E121*INDEX(CONTRATOS!$Z$2:$Z$601,MATCH($A121,CONTRATOS!$A$2:$A$601,0)),""))</f>
        <v/>
      </c>
      <c r="M121" s="13">
        <f>IF(OR($A121="",$E121=""),"",IFERROR(E121*INDEX(CONTRATOS!$AA$2:$AA$601,MATCH($A121,CONTRATOS!$A$2:$A$601,0)),""))</f>
        <v/>
      </c>
      <c r="N121" s="19">
        <f>IF($A121="","",SUMIFS($E$2:$E$601,$A$2:$A$601,$A121))</f>
        <v/>
      </c>
      <c r="O121" s="12">
        <f>IF($A121="","",IFERROR(INDEX(CONTRATOS!$F$2:$F$601,MATCH($A121,CONTRATOS!$A$2:$A$601,0)),""))</f>
        <v/>
      </c>
      <c r="P121" s="12">
        <f>IF($A121="","",IFERROR(INDEX(CONTRATOS!$M$2:$M$601,MATCH($A121,CONTRATOS!$A$2:$A$601,0)),""))</f>
        <v/>
      </c>
      <c r="Q121" s="12">
        <f>IF($A121="","",IF(COUNTIF(CONTRATOS!$A$2:$A$601,$A121)=0,"El contrato no existe en CONTRATOS; ","")&amp;IF($B121="","Falta sujeto; ",IF(COUNTIF(SUJETOS!$A$2:$A$601,$B121)=0,"El sujeto no existe en SUJETOS; ",""))&amp;IF($E121="","Falta porcentaje; ","")&amp;IF(N121&gt;1.0001,"Los porcentajes del contrato suman más de 100 %; ","")&amp;IF(AND($C121="Individual",$E121&lt;&gt;"",$E121&lt;&gt;1),"Individual debe ser 100 %; ","")&amp;IF(AND($C121&lt;&gt;"Individual",$C121&lt;&gt;"",$E121=1),"Consorcio o UT con 100 %: revise; ","")&amp;IF(COUNTIFS($A$2:$A$601,$A121,$B$2:$B$601,$B121)&gt;1,"Participación repetida; ","")&amp;IF(AND(IFERROR(INDEX(SUJETOS!$B$2:$B$601,MATCH($B121,SUJETOS!$A$2:$A$601,0)),"")="Persona natural",$G121=""),"Persona natural sin cargo; ",""))</f>
        <v/>
      </c>
      <c r="R121" s="12">
        <f>IF($A121="","",IFERROR(IF(LEN(INDEX(SUJETOS!$F$2:$F$601,MATCH($B121,SUJETOS!$A$2:$A$601,0)))&gt;0,INDEX(SUJETOS!$F$2:$F$601,MATCH($B121,SUJETOS!$A$2:$A$601,0)),$B121),$B121))</f>
        <v/>
      </c>
    </row>
    <row r="122">
      <c r="E122" s="18" t="n"/>
      <c r="K122" s="13">
        <f>IF(OR($A122="",$E122=""),"",IFERROR(E122*INDEX(CONTRATOS!$P$2:$P$601,MATCH($A122,CONTRATOS!$A$2:$A$601,0)),""))</f>
        <v/>
      </c>
      <c r="L122" s="17">
        <f>IF(OR($A122="",$E122=""),"",IFERROR(E122*INDEX(CONTRATOS!$Z$2:$Z$601,MATCH($A122,CONTRATOS!$A$2:$A$601,0)),""))</f>
        <v/>
      </c>
      <c r="M122" s="13">
        <f>IF(OR($A122="",$E122=""),"",IFERROR(E122*INDEX(CONTRATOS!$AA$2:$AA$601,MATCH($A122,CONTRATOS!$A$2:$A$601,0)),""))</f>
        <v/>
      </c>
      <c r="N122" s="19">
        <f>IF($A122="","",SUMIFS($E$2:$E$601,$A$2:$A$601,$A122))</f>
        <v/>
      </c>
      <c r="O122" s="12">
        <f>IF($A122="","",IFERROR(INDEX(CONTRATOS!$F$2:$F$601,MATCH($A122,CONTRATOS!$A$2:$A$601,0)),""))</f>
        <v/>
      </c>
      <c r="P122" s="12">
        <f>IF($A122="","",IFERROR(INDEX(CONTRATOS!$M$2:$M$601,MATCH($A122,CONTRATOS!$A$2:$A$601,0)),""))</f>
        <v/>
      </c>
      <c r="Q122" s="12">
        <f>IF($A122="","",IF(COUNTIF(CONTRATOS!$A$2:$A$601,$A122)=0,"El contrato no existe en CONTRATOS; ","")&amp;IF($B122="","Falta sujeto; ",IF(COUNTIF(SUJETOS!$A$2:$A$601,$B122)=0,"El sujeto no existe en SUJETOS; ",""))&amp;IF($E122="","Falta porcentaje; ","")&amp;IF(N122&gt;1.0001,"Los porcentajes del contrato suman más de 100 %; ","")&amp;IF(AND($C122="Individual",$E122&lt;&gt;"",$E122&lt;&gt;1),"Individual debe ser 100 %; ","")&amp;IF(AND($C122&lt;&gt;"Individual",$C122&lt;&gt;"",$E122=1),"Consorcio o UT con 100 %: revise; ","")&amp;IF(COUNTIFS($A$2:$A$601,$A122,$B$2:$B$601,$B122)&gt;1,"Participación repetida; ","")&amp;IF(AND(IFERROR(INDEX(SUJETOS!$B$2:$B$601,MATCH($B122,SUJETOS!$A$2:$A$601,0)),"")="Persona natural",$G122=""),"Persona natural sin cargo; ",""))</f>
        <v/>
      </c>
      <c r="R122" s="12">
        <f>IF($A122="","",IFERROR(IF(LEN(INDEX(SUJETOS!$F$2:$F$601,MATCH($B122,SUJETOS!$A$2:$A$601,0)))&gt;0,INDEX(SUJETOS!$F$2:$F$601,MATCH($B122,SUJETOS!$A$2:$A$601,0)),$B122),$B122))</f>
        <v/>
      </c>
    </row>
    <row r="123">
      <c r="E123" s="18" t="n"/>
      <c r="K123" s="13">
        <f>IF(OR($A123="",$E123=""),"",IFERROR(E123*INDEX(CONTRATOS!$P$2:$P$601,MATCH($A123,CONTRATOS!$A$2:$A$601,0)),""))</f>
        <v/>
      </c>
      <c r="L123" s="17">
        <f>IF(OR($A123="",$E123=""),"",IFERROR(E123*INDEX(CONTRATOS!$Z$2:$Z$601,MATCH($A123,CONTRATOS!$A$2:$A$601,0)),""))</f>
        <v/>
      </c>
      <c r="M123" s="13">
        <f>IF(OR($A123="",$E123=""),"",IFERROR(E123*INDEX(CONTRATOS!$AA$2:$AA$601,MATCH($A123,CONTRATOS!$A$2:$A$601,0)),""))</f>
        <v/>
      </c>
      <c r="N123" s="19">
        <f>IF($A123="","",SUMIFS($E$2:$E$601,$A$2:$A$601,$A123))</f>
        <v/>
      </c>
      <c r="O123" s="12">
        <f>IF($A123="","",IFERROR(INDEX(CONTRATOS!$F$2:$F$601,MATCH($A123,CONTRATOS!$A$2:$A$601,0)),""))</f>
        <v/>
      </c>
      <c r="P123" s="12">
        <f>IF($A123="","",IFERROR(INDEX(CONTRATOS!$M$2:$M$601,MATCH($A123,CONTRATOS!$A$2:$A$601,0)),""))</f>
        <v/>
      </c>
      <c r="Q123" s="12">
        <f>IF($A123="","",IF(COUNTIF(CONTRATOS!$A$2:$A$601,$A123)=0,"El contrato no existe en CONTRATOS; ","")&amp;IF($B123="","Falta sujeto; ",IF(COUNTIF(SUJETOS!$A$2:$A$601,$B123)=0,"El sujeto no existe en SUJETOS; ",""))&amp;IF($E123="","Falta porcentaje; ","")&amp;IF(N123&gt;1.0001,"Los porcentajes del contrato suman más de 100 %; ","")&amp;IF(AND($C123="Individual",$E123&lt;&gt;"",$E123&lt;&gt;1),"Individual debe ser 100 %; ","")&amp;IF(AND($C123&lt;&gt;"Individual",$C123&lt;&gt;"",$E123=1),"Consorcio o UT con 100 %: revise; ","")&amp;IF(COUNTIFS($A$2:$A$601,$A123,$B$2:$B$601,$B123)&gt;1,"Participación repetida; ","")&amp;IF(AND(IFERROR(INDEX(SUJETOS!$B$2:$B$601,MATCH($B123,SUJETOS!$A$2:$A$601,0)),"")="Persona natural",$G123=""),"Persona natural sin cargo; ",""))</f>
        <v/>
      </c>
      <c r="R123" s="12">
        <f>IF($A123="","",IFERROR(IF(LEN(INDEX(SUJETOS!$F$2:$F$601,MATCH($B123,SUJETOS!$A$2:$A$601,0)))&gt;0,INDEX(SUJETOS!$F$2:$F$601,MATCH($B123,SUJETOS!$A$2:$A$601,0)),$B123),$B123))</f>
        <v/>
      </c>
    </row>
    <row r="124">
      <c r="E124" s="18" t="n"/>
      <c r="K124" s="13">
        <f>IF(OR($A124="",$E124=""),"",IFERROR(E124*INDEX(CONTRATOS!$P$2:$P$601,MATCH($A124,CONTRATOS!$A$2:$A$601,0)),""))</f>
        <v/>
      </c>
      <c r="L124" s="17">
        <f>IF(OR($A124="",$E124=""),"",IFERROR(E124*INDEX(CONTRATOS!$Z$2:$Z$601,MATCH($A124,CONTRATOS!$A$2:$A$601,0)),""))</f>
        <v/>
      </c>
      <c r="M124" s="13">
        <f>IF(OR($A124="",$E124=""),"",IFERROR(E124*INDEX(CONTRATOS!$AA$2:$AA$601,MATCH($A124,CONTRATOS!$A$2:$A$601,0)),""))</f>
        <v/>
      </c>
      <c r="N124" s="19">
        <f>IF($A124="","",SUMIFS($E$2:$E$601,$A$2:$A$601,$A124))</f>
        <v/>
      </c>
      <c r="O124" s="12">
        <f>IF($A124="","",IFERROR(INDEX(CONTRATOS!$F$2:$F$601,MATCH($A124,CONTRATOS!$A$2:$A$601,0)),""))</f>
        <v/>
      </c>
      <c r="P124" s="12">
        <f>IF($A124="","",IFERROR(INDEX(CONTRATOS!$M$2:$M$601,MATCH($A124,CONTRATOS!$A$2:$A$601,0)),""))</f>
        <v/>
      </c>
      <c r="Q124" s="12">
        <f>IF($A124="","",IF(COUNTIF(CONTRATOS!$A$2:$A$601,$A124)=0,"El contrato no existe en CONTRATOS; ","")&amp;IF($B124="","Falta sujeto; ",IF(COUNTIF(SUJETOS!$A$2:$A$601,$B124)=0,"El sujeto no existe en SUJETOS; ",""))&amp;IF($E124="","Falta porcentaje; ","")&amp;IF(N124&gt;1.0001,"Los porcentajes del contrato suman más de 100 %; ","")&amp;IF(AND($C124="Individual",$E124&lt;&gt;"",$E124&lt;&gt;1),"Individual debe ser 100 %; ","")&amp;IF(AND($C124&lt;&gt;"Individual",$C124&lt;&gt;"",$E124=1),"Consorcio o UT con 100 %: revise; ","")&amp;IF(COUNTIFS($A$2:$A$601,$A124,$B$2:$B$601,$B124)&gt;1,"Participación repetida; ","")&amp;IF(AND(IFERROR(INDEX(SUJETOS!$B$2:$B$601,MATCH($B124,SUJETOS!$A$2:$A$601,0)),"")="Persona natural",$G124=""),"Persona natural sin cargo; ",""))</f>
        <v/>
      </c>
      <c r="R124" s="12">
        <f>IF($A124="","",IFERROR(IF(LEN(INDEX(SUJETOS!$F$2:$F$601,MATCH($B124,SUJETOS!$A$2:$A$601,0)))&gt;0,INDEX(SUJETOS!$F$2:$F$601,MATCH($B124,SUJETOS!$A$2:$A$601,0)),$B124),$B124))</f>
        <v/>
      </c>
    </row>
    <row r="125">
      <c r="E125" s="18" t="n"/>
      <c r="K125" s="13">
        <f>IF(OR($A125="",$E125=""),"",IFERROR(E125*INDEX(CONTRATOS!$P$2:$P$601,MATCH($A125,CONTRATOS!$A$2:$A$601,0)),""))</f>
        <v/>
      </c>
      <c r="L125" s="17">
        <f>IF(OR($A125="",$E125=""),"",IFERROR(E125*INDEX(CONTRATOS!$Z$2:$Z$601,MATCH($A125,CONTRATOS!$A$2:$A$601,0)),""))</f>
        <v/>
      </c>
      <c r="M125" s="13">
        <f>IF(OR($A125="",$E125=""),"",IFERROR(E125*INDEX(CONTRATOS!$AA$2:$AA$601,MATCH($A125,CONTRATOS!$A$2:$A$601,0)),""))</f>
        <v/>
      </c>
      <c r="N125" s="19">
        <f>IF($A125="","",SUMIFS($E$2:$E$601,$A$2:$A$601,$A125))</f>
        <v/>
      </c>
      <c r="O125" s="12">
        <f>IF($A125="","",IFERROR(INDEX(CONTRATOS!$F$2:$F$601,MATCH($A125,CONTRATOS!$A$2:$A$601,0)),""))</f>
        <v/>
      </c>
      <c r="P125" s="12">
        <f>IF($A125="","",IFERROR(INDEX(CONTRATOS!$M$2:$M$601,MATCH($A125,CONTRATOS!$A$2:$A$601,0)),""))</f>
        <v/>
      </c>
      <c r="Q125" s="12">
        <f>IF($A125="","",IF(COUNTIF(CONTRATOS!$A$2:$A$601,$A125)=0,"El contrato no existe en CONTRATOS; ","")&amp;IF($B125="","Falta sujeto; ",IF(COUNTIF(SUJETOS!$A$2:$A$601,$B125)=0,"El sujeto no existe en SUJETOS; ",""))&amp;IF($E125="","Falta porcentaje; ","")&amp;IF(N125&gt;1.0001,"Los porcentajes del contrato suman más de 100 %; ","")&amp;IF(AND($C125="Individual",$E125&lt;&gt;"",$E125&lt;&gt;1),"Individual debe ser 100 %; ","")&amp;IF(AND($C125&lt;&gt;"Individual",$C125&lt;&gt;"",$E125=1),"Consorcio o UT con 100 %: revise; ","")&amp;IF(COUNTIFS($A$2:$A$601,$A125,$B$2:$B$601,$B125)&gt;1,"Participación repetida; ","")&amp;IF(AND(IFERROR(INDEX(SUJETOS!$B$2:$B$601,MATCH($B125,SUJETOS!$A$2:$A$601,0)),"")="Persona natural",$G125=""),"Persona natural sin cargo; ",""))</f>
        <v/>
      </c>
      <c r="R125" s="12">
        <f>IF($A125="","",IFERROR(IF(LEN(INDEX(SUJETOS!$F$2:$F$601,MATCH($B125,SUJETOS!$A$2:$A$601,0)))&gt;0,INDEX(SUJETOS!$F$2:$F$601,MATCH($B125,SUJETOS!$A$2:$A$601,0)),$B125),$B125))</f>
        <v/>
      </c>
    </row>
    <row r="126">
      <c r="E126" s="18" t="n"/>
      <c r="K126" s="13">
        <f>IF(OR($A126="",$E126=""),"",IFERROR(E126*INDEX(CONTRATOS!$P$2:$P$601,MATCH($A126,CONTRATOS!$A$2:$A$601,0)),""))</f>
        <v/>
      </c>
      <c r="L126" s="17">
        <f>IF(OR($A126="",$E126=""),"",IFERROR(E126*INDEX(CONTRATOS!$Z$2:$Z$601,MATCH($A126,CONTRATOS!$A$2:$A$601,0)),""))</f>
        <v/>
      </c>
      <c r="M126" s="13">
        <f>IF(OR($A126="",$E126=""),"",IFERROR(E126*INDEX(CONTRATOS!$AA$2:$AA$601,MATCH($A126,CONTRATOS!$A$2:$A$601,0)),""))</f>
        <v/>
      </c>
      <c r="N126" s="19">
        <f>IF($A126="","",SUMIFS($E$2:$E$601,$A$2:$A$601,$A126))</f>
        <v/>
      </c>
      <c r="O126" s="12">
        <f>IF($A126="","",IFERROR(INDEX(CONTRATOS!$F$2:$F$601,MATCH($A126,CONTRATOS!$A$2:$A$601,0)),""))</f>
        <v/>
      </c>
      <c r="P126" s="12">
        <f>IF($A126="","",IFERROR(INDEX(CONTRATOS!$M$2:$M$601,MATCH($A126,CONTRATOS!$A$2:$A$601,0)),""))</f>
        <v/>
      </c>
      <c r="Q126" s="12">
        <f>IF($A126="","",IF(COUNTIF(CONTRATOS!$A$2:$A$601,$A126)=0,"El contrato no existe en CONTRATOS; ","")&amp;IF($B126="","Falta sujeto; ",IF(COUNTIF(SUJETOS!$A$2:$A$601,$B126)=0,"El sujeto no existe en SUJETOS; ",""))&amp;IF($E126="","Falta porcentaje; ","")&amp;IF(N126&gt;1.0001,"Los porcentajes del contrato suman más de 100 %; ","")&amp;IF(AND($C126="Individual",$E126&lt;&gt;"",$E126&lt;&gt;1),"Individual debe ser 100 %; ","")&amp;IF(AND($C126&lt;&gt;"Individual",$C126&lt;&gt;"",$E126=1),"Consorcio o UT con 100 %: revise; ","")&amp;IF(COUNTIFS($A$2:$A$601,$A126,$B$2:$B$601,$B126)&gt;1,"Participación repetida; ","")&amp;IF(AND(IFERROR(INDEX(SUJETOS!$B$2:$B$601,MATCH($B126,SUJETOS!$A$2:$A$601,0)),"")="Persona natural",$G126=""),"Persona natural sin cargo; ",""))</f>
        <v/>
      </c>
      <c r="R126" s="12">
        <f>IF($A126="","",IFERROR(IF(LEN(INDEX(SUJETOS!$F$2:$F$601,MATCH($B126,SUJETOS!$A$2:$A$601,0)))&gt;0,INDEX(SUJETOS!$F$2:$F$601,MATCH($B126,SUJETOS!$A$2:$A$601,0)),$B126),$B126))</f>
        <v/>
      </c>
    </row>
    <row r="127">
      <c r="E127" s="18" t="n"/>
      <c r="K127" s="13">
        <f>IF(OR($A127="",$E127=""),"",IFERROR(E127*INDEX(CONTRATOS!$P$2:$P$601,MATCH($A127,CONTRATOS!$A$2:$A$601,0)),""))</f>
        <v/>
      </c>
      <c r="L127" s="17">
        <f>IF(OR($A127="",$E127=""),"",IFERROR(E127*INDEX(CONTRATOS!$Z$2:$Z$601,MATCH($A127,CONTRATOS!$A$2:$A$601,0)),""))</f>
        <v/>
      </c>
      <c r="M127" s="13">
        <f>IF(OR($A127="",$E127=""),"",IFERROR(E127*INDEX(CONTRATOS!$AA$2:$AA$601,MATCH($A127,CONTRATOS!$A$2:$A$601,0)),""))</f>
        <v/>
      </c>
      <c r="N127" s="19">
        <f>IF($A127="","",SUMIFS($E$2:$E$601,$A$2:$A$601,$A127))</f>
        <v/>
      </c>
      <c r="O127" s="12">
        <f>IF($A127="","",IFERROR(INDEX(CONTRATOS!$F$2:$F$601,MATCH($A127,CONTRATOS!$A$2:$A$601,0)),""))</f>
        <v/>
      </c>
      <c r="P127" s="12">
        <f>IF($A127="","",IFERROR(INDEX(CONTRATOS!$M$2:$M$601,MATCH($A127,CONTRATOS!$A$2:$A$601,0)),""))</f>
        <v/>
      </c>
      <c r="Q127" s="12">
        <f>IF($A127="","",IF(COUNTIF(CONTRATOS!$A$2:$A$601,$A127)=0,"El contrato no existe en CONTRATOS; ","")&amp;IF($B127="","Falta sujeto; ",IF(COUNTIF(SUJETOS!$A$2:$A$601,$B127)=0,"El sujeto no existe en SUJETOS; ",""))&amp;IF($E127="","Falta porcentaje; ","")&amp;IF(N127&gt;1.0001,"Los porcentajes del contrato suman más de 100 %; ","")&amp;IF(AND($C127="Individual",$E127&lt;&gt;"",$E127&lt;&gt;1),"Individual debe ser 100 %; ","")&amp;IF(AND($C127&lt;&gt;"Individual",$C127&lt;&gt;"",$E127=1),"Consorcio o UT con 100 %: revise; ","")&amp;IF(COUNTIFS($A$2:$A$601,$A127,$B$2:$B$601,$B127)&gt;1,"Participación repetida; ","")&amp;IF(AND(IFERROR(INDEX(SUJETOS!$B$2:$B$601,MATCH($B127,SUJETOS!$A$2:$A$601,0)),"")="Persona natural",$G127=""),"Persona natural sin cargo; ",""))</f>
        <v/>
      </c>
      <c r="R127" s="12">
        <f>IF($A127="","",IFERROR(IF(LEN(INDEX(SUJETOS!$F$2:$F$601,MATCH($B127,SUJETOS!$A$2:$A$601,0)))&gt;0,INDEX(SUJETOS!$F$2:$F$601,MATCH($B127,SUJETOS!$A$2:$A$601,0)),$B127),$B127))</f>
        <v/>
      </c>
    </row>
    <row r="128">
      <c r="E128" s="18" t="n"/>
      <c r="K128" s="13">
        <f>IF(OR($A128="",$E128=""),"",IFERROR(E128*INDEX(CONTRATOS!$P$2:$P$601,MATCH($A128,CONTRATOS!$A$2:$A$601,0)),""))</f>
        <v/>
      </c>
      <c r="L128" s="17">
        <f>IF(OR($A128="",$E128=""),"",IFERROR(E128*INDEX(CONTRATOS!$Z$2:$Z$601,MATCH($A128,CONTRATOS!$A$2:$A$601,0)),""))</f>
        <v/>
      </c>
      <c r="M128" s="13">
        <f>IF(OR($A128="",$E128=""),"",IFERROR(E128*INDEX(CONTRATOS!$AA$2:$AA$601,MATCH($A128,CONTRATOS!$A$2:$A$601,0)),""))</f>
        <v/>
      </c>
      <c r="N128" s="19">
        <f>IF($A128="","",SUMIFS($E$2:$E$601,$A$2:$A$601,$A128))</f>
        <v/>
      </c>
      <c r="O128" s="12">
        <f>IF($A128="","",IFERROR(INDEX(CONTRATOS!$F$2:$F$601,MATCH($A128,CONTRATOS!$A$2:$A$601,0)),""))</f>
        <v/>
      </c>
      <c r="P128" s="12">
        <f>IF($A128="","",IFERROR(INDEX(CONTRATOS!$M$2:$M$601,MATCH($A128,CONTRATOS!$A$2:$A$601,0)),""))</f>
        <v/>
      </c>
      <c r="Q128" s="12">
        <f>IF($A128="","",IF(COUNTIF(CONTRATOS!$A$2:$A$601,$A128)=0,"El contrato no existe en CONTRATOS; ","")&amp;IF($B128="","Falta sujeto; ",IF(COUNTIF(SUJETOS!$A$2:$A$601,$B128)=0,"El sujeto no existe en SUJETOS; ",""))&amp;IF($E128="","Falta porcentaje; ","")&amp;IF(N128&gt;1.0001,"Los porcentajes del contrato suman más de 100 %; ","")&amp;IF(AND($C128="Individual",$E128&lt;&gt;"",$E128&lt;&gt;1),"Individual debe ser 100 %; ","")&amp;IF(AND($C128&lt;&gt;"Individual",$C128&lt;&gt;"",$E128=1),"Consorcio o UT con 100 %: revise; ","")&amp;IF(COUNTIFS($A$2:$A$601,$A128,$B$2:$B$601,$B128)&gt;1,"Participación repetida; ","")&amp;IF(AND(IFERROR(INDEX(SUJETOS!$B$2:$B$601,MATCH($B128,SUJETOS!$A$2:$A$601,0)),"")="Persona natural",$G128=""),"Persona natural sin cargo; ",""))</f>
        <v/>
      </c>
      <c r="R128" s="12">
        <f>IF($A128="","",IFERROR(IF(LEN(INDEX(SUJETOS!$F$2:$F$601,MATCH($B128,SUJETOS!$A$2:$A$601,0)))&gt;0,INDEX(SUJETOS!$F$2:$F$601,MATCH($B128,SUJETOS!$A$2:$A$601,0)),$B128),$B128))</f>
        <v/>
      </c>
    </row>
    <row r="129">
      <c r="E129" s="18" t="n"/>
      <c r="K129" s="13">
        <f>IF(OR($A129="",$E129=""),"",IFERROR(E129*INDEX(CONTRATOS!$P$2:$P$601,MATCH($A129,CONTRATOS!$A$2:$A$601,0)),""))</f>
        <v/>
      </c>
      <c r="L129" s="17">
        <f>IF(OR($A129="",$E129=""),"",IFERROR(E129*INDEX(CONTRATOS!$Z$2:$Z$601,MATCH($A129,CONTRATOS!$A$2:$A$601,0)),""))</f>
        <v/>
      </c>
      <c r="M129" s="13">
        <f>IF(OR($A129="",$E129=""),"",IFERROR(E129*INDEX(CONTRATOS!$AA$2:$AA$601,MATCH($A129,CONTRATOS!$A$2:$A$601,0)),""))</f>
        <v/>
      </c>
      <c r="N129" s="19">
        <f>IF($A129="","",SUMIFS($E$2:$E$601,$A$2:$A$601,$A129))</f>
        <v/>
      </c>
      <c r="O129" s="12">
        <f>IF($A129="","",IFERROR(INDEX(CONTRATOS!$F$2:$F$601,MATCH($A129,CONTRATOS!$A$2:$A$601,0)),""))</f>
        <v/>
      </c>
      <c r="P129" s="12">
        <f>IF($A129="","",IFERROR(INDEX(CONTRATOS!$M$2:$M$601,MATCH($A129,CONTRATOS!$A$2:$A$601,0)),""))</f>
        <v/>
      </c>
      <c r="Q129" s="12">
        <f>IF($A129="","",IF(COUNTIF(CONTRATOS!$A$2:$A$601,$A129)=0,"El contrato no existe en CONTRATOS; ","")&amp;IF($B129="","Falta sujeto; ",IF(COUNTIF(SUJETOS!$A$2:$A$601,$B129)=0,"El sujeto no existe en SUJETOS; ",""))&amp;IF($E129="","Falta porcentaje; ","")&amp;IF(N129&gt;1.0001,"Los porcentajes del contrato suman más de 100 %; ","")&amp;IF(AND($C129="Individual",$E129&lt;&gt;"",$E129&lt;&gt;1),"Individual debe ser 100 %; ","")&amp;IF(AND($C129&lt;&gt;"Individual",$C129&lt;&gt;"",$E129=1),"Consorcio o UT con 100 %: revise; ","")&amp;IF(COUNTIFS($A$2:$A$601,$A129,$B$2:$B$601,$B129)&gt;1,"Participación repetida; ","")&amp;IF(AND(IFERROR(INDEX(SUJETOS!$B$2:$B$601,MATCH($B129,SUJETOS!$A$2:$A$601,0)),"")="Persona natural",$G129=""),"Persona natural sin cargo; ",""))</f>
        <v/>
      </c>
      <c r="R129" s="12">
        <f>IF($A129="","",IFERROR(IF(LEN(INDEX(SUJETOS!$F$2:$F$601,MATCH($B129,SUJETOS!$A$2:$A$601,0)))&gt;0,INDEX(SUJETOS!$F$2:$F$601,MATCH($B129,SUJETOS!$A$2:$A$601,0)),$B129),$B129))</f>
        <v/>
      </c>
    </row>
    <row r="130">
      <c r="E130" s="18" t="n"/>
      <c r="K130" s="13">
        <f>IF(OR($A130="",$E130=""),"",IFERROR(E130*INDEX(CONTRATOS!$P$2:$P$601,MATCH($A130,CONTRATOS!$A$2:$A$601,0)),""))</f>
        <v/>
      </c>
      <c r="L130" s="17">
        <f>IF(OR($A130="",$E130=""),"",IFERROR(E130*INDEX(CONTRATOS!$Z$2:$Z$601,MATCH($A130,CONTRATOS!$A$2:$A$601,0)),""))</f>
        <v/>
      </c>
      <c r="M130" s="13">
        <f>IF(OR($A130="",$E130=""),"",IFERROR(E130*INDEX(CONTRATOS!$AA$2:$AA$601,MATCH($A130,CONTRATOS!$A$2:$A$601,0)),""))</f>
        <v/>
      </c>
      <c r="N130" s="19">
        <f>IF($A130="","",SUMIFS($E$2:$E$601,$A$2:$A$601,$A130))</f>
        <v/>
      </c>
      <c r="O130" s="12">
        <f>IF($A130="","",IFERROR(INDEX(CONTRATOS!$F$2:$F$601,MATCH($A130,CONTRATOS!$A$2:$A$601,0)),""))</f>
        <v/>
      </c>
      <c r="P130" s="12">
        <f>IF($A130="","",IFERROR(INDEX(CONTRATOS!$M$2:$M$601,MATCH($A130,CONTRATOS!$A$2:$A$601,0)),""))</f>
        <v/>
      </c>
      <c r="Q130" s="12">
        <f>IF($A130="","",IF(COUNTIF(CONTRATOS!$A$2:$A$601,$A130)=0,"El contrato no existe en CONTRATOS; ","")&amp;IF($B130="","Falta sujeto; ",IF(COUNTIF(SUJETOS!$A$2:$A$601,$B130)=0,"El sujeto no existe en SUJETOS; ",""))&amp;IF($E130="","Falta porcentaje; ","")&amp;IF(N130&gt;1.0001,"Los porcentajes del contrato suman más de 100 %; ","")&amp;IF(AND($C130="Individual",$E130&lt;&gt;"",$E130&lt;&gt;1),"Individual debe ser 100 %; ","")&amp;IF(AND($C130&lt;&gt;"Individual",$C130&lt;&gt;"",$E130=1),"Consorcio o UT con 100 %: revise; ","")&amp;IF(COUNTIFS($A$2:$A$601,$A130,$B$2:$B$601,$B130)&gt;1,"Participación repetida; ","")&amp;IF(AND(IFERROR(INDEX(SUJETOS!$B$2:$B$601,MATCH($B130,SUJETOS!$A$2:$A$601,0)),"")="Persona natural",$G130=""),"Persona natural sin cargo; ",""))</f>
        <v/>
      </c>
      <c r="R130" s="12">
        <f>IF($A130="","",IFERROR(IF(LEN(INDEX(SUJETOS!$F$2:$F$601,MATCH($B130,SUJETOS!$A$2:$A$601,0)))&gt;0,INDEX(SUJETOS!$F$2:$F$601,MATCH($B130,SUJETOS!$A$2:$A$601,0)),$B130),$B130))</f>
        <v/>
      </c>
    </row>
    <row r="131">
      <c r="E131" s="18" t="n"/>
      <c r="K131" s="13">
        <f>IF(OR($A131="",$E131=""),"",IFERROR(E131*INDEX(CONTRATOS!$P$2:$P$601,MATCH($A131,CONTRATOS!$A$2:$A$601,0)),""))</f>
        <v/>
      </c>
      <c r="L131" s="17">
        <f>IF(OR($A131="",$E131=""),"",IFERROR(E131*INDEX(CONTRATOS!$Z$2:$Z$601,MATCH($A131,CONTRATOS!$A$2:$A$601,0)),""))</f>
        <v/>
      </c>
      <c r="M131" s="13">
        <f>IF(OR($A131="",$E131=""),"",IFERROR(E131*INDEX(CONTRATOS!$AA$2:$AA$601,MATCH($A131,CONTRATOS!$A$2:$A$601,0)),""))</f>
        <v/>
      </c>
      <c r="N131" s="19">
        <f>IF($A131="","",SUMIFS($E$2:$E$601,$A$2:$A$601,$A131))</f>
        <v/>
      </c>
      <c r="O131" s="12">
        <f>IF($A131="","",IFERROR(INDEX(CONTRATOS!$F$2:$F$601,MATCH($A131,CONTRATOS!$A$2:$A$601,0)),""))</f>
        <v/>
      </c>
      <c r="P131" s="12">
        <f>IF($A131="","",IFERROR(INDEX(CONTRATOS!$M$2:$M$601,MATCH($A131,CONTRATOS!$A$2:$A$601,0)),""))</f>
        <v/>
      </c>
      <c r="Q131" s="12">
        <f>IF($A131="","",IF(COUNTIF(CONTRATOS!$A$2:$A$601,$A131)=0,"El contrato no existe en CONTRATOS; ","")&amp;IF($B131="","Falta sujeto; ",IF(COUNTIF(SUJETOS!$A$2:$A$601,$B131)=0,"El sujeto no existe en SUJETOS; ",""))&amp;IF($E131="","Falta porcentaje; ","")&amp;IF(N131&gt;1.0001,"Los porcentajes del contrato suman más de 100 %; ","")&amp;IF(AND($C131="Individual",$E131&lt;&gt;"",$E131&lt;&gt;1),"Individual debe ser 100 %; ","")&amp;IF(AND($C131&lt;&gt;"Individual",$C131&lt;&gt;"",$E131=1),"Consorcio o UT con 100 %: revise; ","")&amp;IF(COUNTIFS($A$2:$A$601,$A131,$B$2:$B$601,$B131)&gt;1,"Participación repetida; ","")&amp;IF(AND(IFERROR(INDEX(SUJETOS!$B$2:$B$601,MATCH($B131,SUJETOS!$A$2:$A$601,0)),"")="Persona natural",$G131=""),"Persona natural sin cargo; ",""))</f>
        <v/>
      </c>
      <c r="R131" s="12">
        <f>IF($A131="","",IFERROR(IF(LEN(INDEX(SUJETOS!$F$2:$F$601,MATCH($B131,SUJETOS!$A$2:$A$601,0)))&gt;0,INDEX(SUJETOS!$F$2:$F$601,MATCH($B131,SUJETOS!$A$2:$A$601,0)),$B131),$B131))</f>
        <v/>
      </c>
    </row>
    <row r="132">
      <c r="E132" s="18" t="n"/>
      <c r="K132" s="13">
        <f>IF(OR($A132="",$E132=""),"",IFERROR(E132*INDEX(CONTRATOS!$P$2:$P$601,MATCH($A132,CONTRATOS!$A$2:$A$601,0)),""))</f>
        <v/>
      </c>
      <c r="L132" s="17">
        <f>IF(OR($A132="",$E132=""),"",IFERROR(E132*INDEX(CONTRATOS!$Z$2:$Z$601,MATCH($A132,CONTRATOS!$A$2:$A$601,0)),""))</f>
        <v/>
      </c>
      <c r="M132" s="13">
        <f>IF(OR($A132="",$E132=""),"",IFERROR(E132*INDEX(CONTRATOS!$AA$2:$AA$601,MATCH($A132,CONTRATOS!$A$2:$A$601,0)),""))</f>
        <v/>
      </c>
      <c r="N132" s="19">
        <f>IF($A132="","",SUMIFS($E$2:$E$601,$A$2:$A$601,$A132))</f>
        <v/>
      </c>
      <c r="O132" s="12">
        <f>IF($A132="","",IFERROR(INDEX(CONTRATOS!$F$2:$F$601,MATCH($A132,CONTRATOS!$A$2:$A$601,0)),""))</f>
        <v/>
      </c>
      <c r="P132" s="12">
        <f>IF($A132="","",IFERROR(INDEX(CONTRATOS!$M$2:$M$601,MATCH($A132,CONTRATOS!$A$2:$A$601,0)),""))</f>
        <v/>
      </c>
      <c r="Q132" s="12">
        <f>IF($A132="","",IF(COUNTIF(CONTRATOS!$A$2:$A$601,$A132)=0,"El contrato no existe en CONTRATOS; ","")&amp;IF($B132="","Falta sujeto; ",IF(COUNTIF(SUJETOS!$A$2:$A$601,$B132)=0,"El sujeto no existe en SUJETOS; ",""))&amp;IF($E132="","Falta porcentaje; ","")&amp;IF(N132&gt;1.0001,"Los porcentajes del contrato suman más de 100 %; ","")&amp;IF(AND($C132="Individual",$E132&lt;&gt;"",$E132&lt;&gt;1),"Individual debe ser 100 %; ","")&amp;IF(AND($C132&lt;&gt;"Individual",$C132&lt;&gt;"",$E132=1),"Consorcio o UT con 100 %: revise; ","")&amp;IF(COUNTIFS($A$2:$A$601,$A132,$B$2:$B$601,$B132)&gt;1,"Participación repetida; ","")&amp;IF(AND(IFERROR(INDEX(SUJETOS!$B$2:$B$601,MATCH($B132,SUJETOS!$A$2:$A$601,0)),"")="Persona natural",$G132=""),"Persona natural sin cargo; ",""))</f>
        <v/>
      </c>
      <c r="R132" s="12">
        <f>IF($A132="","",IFERROR(IF(LEN(INDEX(SUJETOS!$F$2:$F$601,MATCH($B132,SUJETOS!$A$2:$A$601,0)))&gt;0,INDEX(SUJETOS!$F$2:$F$601,MATCH($B132,SUJETOS!$A$2:$A$601,0)),$B132),$B132))</f>
        <v/>
      </c>
    </row>
    <row r="133">
      <c r="E133" s="18" t="n"/>
      <c r="K133" s="13">
        <f>IF(OR($A133="",$E133=""),"",IFERROR(E133*INDEX(CONTRATOS!$P$2:$P$601,MATCH($A133,CONTRATOS!$A$2:$A$601,0)),""))</f>
        <v/>
      </c>
      <c r="L133" s="17">
        <f>IF(OR($A133="",$E133=""),"",IFERROR(E133*INDEX(CONTRATOS!$Z$2:$Z$601,MATCH($A133,CONTRATOS!$A$2:$A$601,0)),""))</f>
        <v/>
      </c>
      <c r="M133" s="13">
        <f>IF(OR($A133="",$E133=""),"",IFERROR(E133*INDEX(CONTRATOS!$AA$2:$AA$601,MATCH($A133,CONTRATOS!$A$2:$A$601,0)),""))</f>
        <v/>
      </c>
      <c r="N133" s="19">
        <f>IF($A133="","",SUMIFS($E$2:$E$601,$A$2:$A$601,$A133))</f>
        <v/>
      </c>
      <c r="O133" s="12">
        <f>IF($A133="","",IFERROR(INDEX(CONTRATOS!$F$2:$F$601,MATCH($A133,CONTRATOS!$A$2:$A$601,0)),""))</f>
        <v/>
      </c>
      <c r="P133" s="12">
        <f>IF($A133="","",IFERROR(INDEX(CONTRATOS!$M$2:$M$601,MATCH($A133,CONTRATOS!$A$2:$A$601,0)),""))</f>
        <v/>
      </c>
      <c r="Q133" s="12">
        <f>IF($A133="","",IF(COUNTIF(CONTRATOS!$A$2:$A$601,$A133)=0,"El contrato no existe en CONTRATOS; ","")&amp;IF($B133="","Falta sujeto; ",IF(COUNTIF(SUJETOS!$A$2:$A$601,$B133)=0,"El sujeto no existe en SUJETOS; ",""))&amp;IF($E133="","Falta porcentaje; ","")&amp;IF(N133&gt;1.0001,"Los porcentajes del contrato suman más de 100 %; ","")&amp;IF(AND($C133="Individual",$E133&lt;&gt;"",$E133&lt;&gt;1),"Individual debe ser 100 %; ","")&amp;IF(AND($C133&lt;&gt;"Individual",$C133&lt;&gt;"",$E133=1),"Consorcio o UT con 100 %: revise; ","")&amp;IF(COUNTIFS($A$2:$A$601,$A133,$B$2:$B$601,$B133)&gt;1,"Participación repetida; ","")&amp;IF(AND(IFERROR(INDEX(SUJETOS!$B$2:$B$601,MATCH($B133,SUJETOS!$A$2:$A$601,0)),"")="Persona natural",$G133=""),"Persona natural sin cargo; ",""))</f>
        <v/>
      </c>
      <c r="R133" s="12">
        <f>IF($A133="","",IFERROR(IF(LEN(INDEX(SUJETOS!$F$2:$F$601,MATCH($B133,SUJETOS!$A$2:$A$601,0)))&gt;0,INDEX(SUJETOS!$F$2:$F$601,MATCH($B133,SUJETOS!$A$2:$A$601,0)),$B133),$B133))</f>
        <v/>
      </c>
    </row>
    <row r="134">
      <c r="E134" s="18" t="n"/>
      <c r="K134" s="13">
        <f>IF(OR($A134="",$E134=""),"",IFERROR(E134*INDEX(CONTRATOS!$P$2:$P$601,MATCH($A134,CONTRATOS!$A$2:$A$601,0)),""))</f>
        <v/>
      </c>
      <c r="L134" s="17">
        <f>IF(OR($A134="",$E134=""),"",IFERROR(E134*INDEX(CONTRATOS!$Z$2:$Z$601,MATCH($A134,CONTRATOS!$A$2:$A$601,0)),""))</f>
        <v/>
      </c>
      <c r="M134" s="13">
        <f>IF(OR($A134="",$E134=""),"",IFERROR(E134*INDEX(CONTRATOS!$AA$2:$AA$601,MATCH($A134,CONTRATOS!$A$2:$A$601,0)),""))</f>
        <v/>
      </c>
      <c r="N134" s="19">
        <f>IF($A134="","",SUMIFS($E$2:$E$601,$A$2:$A$601,$A134))</f>
        <v/>
      </c>
      <c r="O134" s="12">
        <f>IF($A134="","",IFERROR(INDEX(CONTRATOS!$F$2:$F$601,MATCH($A134,CONTRATOS!$A$2:$A$601,0)),""))</f>
        <v/>
      </c>
      <c r="P134" s="12">
        <f>IF($A134="","",IFERROR(INDEX(CONTRATOS!$M$2:$M$601,MATCH($A134,CONTRATOS!$A$2:$A$601,0)),""))</f>
        <v/>
      </c>
      <c r="Q134" s="12">
        <f>IF($A134="","",IF(COUNTIF(CONTRATOS!$A$2:$A$601,$A134)=0,"El contrato no existe en CONTRATOS; ","")&amp;IF($B134="","Falta sujeto; ",IF(COUNTIF(SUJETOS!$A$2:$A$601,$B134)=0,"El sujeto no existe en SUJETOS; ",""))&amp;IF($E134="","Falta porcentaje; ","")&amp;IF(N134&gt;1.0001,"Los porcentajes del contrato suman más de 100 %; ","")&amp;IF(AND($C134="Individual",$E134&lt;&gt;"",$E134&lt;&gt;1),"Individual debe ser 100 %; ","")&amp;IF(AND($C134&lt;&gt;"Individual",$C134&lt;&gt;"",$E134=1),"Consorcio o UT con 100 %: revise; ","")&amp;IF(COUNTIFS($A$2:$A$601,$A134,$B$2:$B$601,$B134)&gt;1,"Participación repetida; ","")&amp;IF(AND(IFERROR(INDEX(SUJETOS!$B$2:$B$601,MATCH($B134,SUJETOS!$A$2:$A$601,0)),"")="Persona natural",$G134=""),"Persona natural sin cargo; ",""))</f>
        <v/>
      </c>
      <c r="R134" s="12">
        <f>IF($A134="","",IFERROR(IF(LEN(INDEX(SUJETOS!$F$2:$F$601,MATCH($B134,SUJETOS!$A$2:$A$601,0)))&gt;0,INDEX(SUJETOS!$F$2:$F$601,MATCH($B134,SUJETOS!$A$2:$A$601,0)),$B134),$B134))</f>
        <v/>
      </c>
    </row>
    <row r="135">
      <c r="E135" s="18" t="n"/>
      <c r="K135" s="13">
        <f>IF(OR($A135="",$E135=""),"",IFERROR(E135*INDEX(CONTRATOS!$P$2:$P$601,MATCH($A135,CONTRATOS!$A$2:$A$601,0)),""))</f>
        <v/>
      </c>
      <c r="L135" s="17">
        <f>IF(OR($A135="",$E135=""),"",IFERROR(E135*INDEX(CONTRATOS!$Z$2:$Z$601,MATCH($A135,CONTRATOS!$A$2:$A$601,0)),""))</f>
        <v/>
      </c>
      <c r="M135" s="13">
        <f>IF(OR($A135="",$E135=""),"",IFERROR(E135*INDEX(CONTRATOS!$AA$2:$AA$601,MATCH($A135,CONTRATOS!$A$2:$A$601,0)),""))</f>
        <v/>
      </c>
      <c r="N135" s="19">
        <f>IF($A135="","",SUMIFS($E$2:$E$601,$A$2:$A$601,$A135))</f>
        <v/>
      </c>
      <c r="O135" s="12">
        <f>IF($A135="","",IFERROR(INDEX(CONTRATOS!$F$2:$F$601,MATCH($A135,CONTRATOS!$A$2:$A$601,0)),""))</f>
        <v/>
      </c>
      <c r="P135" s="12">
        <f>IF($A135="","",IFERROR(INDEX(CONTRATOS!$M$2:$M$601,MATCH($A135,CONTRATOS!$A$2:$A$601,0)),""))</f>
        <v/>
      </c>
      <c r="Q135" s="12">
        <f>IF($A135="","",IF(COUNTIF(CONTRATOS!$A$2:$A$601,$A135)=0,"El contrato no existe en CONTRATOS; ","")&amp;IF($B135="","Falta sujeto; ",IF(COUNTIF(SUJETOS!$A$2:$A$601,$B135)=0,"El sujeto no existe en SUJETOS; ",""))&amp;IF($E135="","Falta porcentaje; ","")&amp;IF(N135&gt;1.0001,"Los porcentajes del contrato suman más de 100 %; ","")&amp;IF(AND($C135="Individual",$E135&lt;&gt;"",$E135&lt;&gt;1),"Individual debe ser 100 %; ","")&amp;IF(AND($C135&lt;&gt;"Individual",$C135&lt;&gt;"",$E135=1),"Consorcio o UT con 100 %: revise; ","")&amp;IF(COUNTIFS($A$2:$A$601,$A135,$B$2:$B$601,$B135)&gt;1,"Participación repetida; ","")&amp;IF(AND(IFERROR(INDEX(SUJETOS!$B$2:$B$601,MATCH($B135,SUJETOS!$A$2:$A$601,0)),"")="Persona natural",$G135=""),"Persona natural sin cargo; ",""))</f>
        <v/>
      </c>
      <c r="R135" s="12">
        <f>IF($A135="","",IFERROR(IF(LEN(INDEX(SUJETOS!$F$2:$F$601,MATCH($B135,SUJETOS!$A$2:$A$601,0)))&gt;0,INDEX(SUJETOS!$F$2:$F$601,MATCH($B135,SUJETOS!$A$2:$A$601,0)),$B135),$B135))</f>
        <v/>
      </c>
    </row>
    <row r="136">
      <c r="E136" s="18" t="n"/>
      <c r="K136" s="13">
        <f>IF(OR($A136="",$E136=""),"",IFERROR(E136*INDEX(CONTRATOS!$P$2:$P$601,MATCH($A136,CONTRATOS!$A$2:$A$601,0)),""))</f>
        <v/>
      </c>
      <c r="L136" s="17">
        <f>IF(OR($A136="",$E136=""),"",IFERROR(E136*INDEX(CONTRATOS!$Z$2:$Z$601,MATCH($A136,CONTRATOS!$A$2:$A$601,0)),""))</f>
        <v/>
      </c>
      <c r="M136" s="13">
        <f>IF(OR($A136="",$E136=""),"",IFERROR(E136*INDEX(CONTRATOS!$AA$2:$AA$601,MATCH($A136,CONTRATOS!$A$2:$A$601,0)),""))</f>
        <v/>
      </c>
      <c r="N136" s="19">
        <f>IF($A136="","",SUMIFS($E$2:$E$601,$A$2:$A$601,$A136))</f>
        <v/>
      </c>
      <c r="O136" s="12">
        <f>IF($A136="","",IFERROR(INDEX(CONTRATOS!$F$2:$F$601,MATCH($A136,CONTRATOS!$A$2:$A$601,0)),""))</f>
        <v/>
      </c>
      <c r="P136" s="12">
        <f>IF($A136="","",IFERROR(INDEX(CONTRATOS!$M$2:$M$601,MATCH($A136,CONTRATOS!$A$2:$A$601,0)),""))</f>
        <v/>
      </c>
      <c r="Q136" s="12">
        <f>IF($A136="","",IF(COUNTIF(CONTRATOS!$A$2:$A$601,$A136)=0,"El contrato no existe en CONTRATOS; ","")&amp;IF($B136="","Falta sujeto; ",IF(COUNTIF(SUJETOS!$A$2:$A$601,$B136)=0,"El sujeto no existe en SUJETOS; ",""))&amp;IF($E136="","Falta porcentaje; ","")&amp;IF(N136&gt;1.0001,"Los porcentajes del contrato suman más de 100 %; ","")&amp;IF(AND($C136="Individual",$E136&lt;&gt;"",$E136&lt;&gt;1),"Individual debe ser 100 %; ","")&amp;IF(AND($C136&lt;&gt;"Individual",$C136&lt;&gt;"",$E136=1),"Consorcio o UT con 100 %: revise; ","")&amp;IF(COUNTIFS($A$2:$A$601,$A136,$B$2:$B$601,$B136)&gt;1,"Participación repetida; ","")&amp;IF(AND(IFERROR(INDEX(SUJETOS!$B$2:$B$601,MATCH($B136,SUJETOS!$A$2:$A$601,0)),"")="Persona natural",$G136=""),"Persona natural sin cargo; ",""))</f>
        <v/>
      </c>
      <c r="R136" s="12">
        <f>IF($A136="","",IFERROR(IF(LEN(INDEX(SUJETOS!$F$2:$F$601,MATCH($B136,SUJETOS!$A$2:$A$601,0)))&gt;0,INDEX(SUJETOS!$F$2:$F$601,MATCH($B136,SUJETOS!$A$2:$A$601,0)),$B136),$B136))</f>
        <v/>
      </c>
    </row>
    <row r="137">
      <c r="E137" s="18" t="n"/>
      <c r="K137" s="13">
        <f>IF(OR($A137="",$E137=""),"",IFERROR(E137*INDEX(CONTRATOS!$P$2:$P$601,MATCH($A137,CONTRATOS!$A$2:$A$601,0)),""))</f>
        <v/>
      </c>
      <c r="L137" s="17">
        <f>IF(OR($A137="",$E137=""),"",IFERROR(E137*INDEX(CONTRATOS!$Z$2:$Z$601,MATCH($A137,CONTRATOS!$A$2:$A$601,0)),""))</f>
        <v/>
      </c>
      <c r="M137" s="13">
        <f>IF(OR($A137="",$E137=""),"",IFERROR(E137*INDEX(CONTRATOS!$AA$2:$AA$601,MATCH($A137,CONTRATOS!$A$2:$A$601,0)),""))</f>
        <v/>
      </c>
      <c r="N137" s="19">
        <f>IF($A137="","",SUMIFS($E$2:$E$601,$A$2:$A$601,$A137))</f>
        <v/>
      </c>
      <c r="O137" s="12">
        <f>IF($A137="","",IFERROR(INDEX(CONTRATOS!$F$2:$F$601,MATCH($A137,CONTRATOS!$A$2:$A$601,0)),""))</f>
        <v/>
      </c>
      <c r="P137" s="12">
        <f>IF($A137="","",IFERROR(INDEX(CONTRATOS!$M$2:$M$601,MATCH($A137,CONTRATOS!$A$2:$A$601,0)),""))</f>
        <v/>
      </c>
      <c r="Q137" s="12">
        <f>IF($A137="","",IF(COUNTIF(CONTRATOS!$A$2:$A$601,$A137)=0,"El contrato no existe en CONTRATOS; ","")&amp;IF($B137="","Falta sujeto; ",IF(COUNTIF(SUJETOS!$A$2:$A$601,$B137)=0,"El sujeto no existe en SUJETOS; ",""))&amp;IF($E137="","Falta porcentaje; ","")&amp;IF(N137&gt;1.0001,"Los porcentajes del contrato suman más de 100 %; ","")&amp;IF(AND($C137="Individual",$E137&lt;&gt;"",$E137&lt;&gt;1),"Individual debe ser 100 %; ","")&amp;IF(AND($C137&lt;&gt;"Individual",$C137&lt;&gt;"",$E137=1),"Consorcio o UT con 100 %: revise; ","")&amp;IF(COUNTIFS($A$2:$A$601,$A137,$B$2:$B$601,$B137)&gt;1,"Participación repetida; ","")&amp;IF(AND(IFERROR(INDEX(SUJETOS!$B$2:$B$601,MATCH($B137,SUJETOS!$A$2:$A$601,0)),"")="Persona natural",$G137=""),"Persona natural sin cargo; ",""))</f>
        <v/>
      </c>
      <c r="R137" s="12">
        <f>IF($A137="","",IFERROR(IF(LEN(INDEX(SUJETOS!$F$2:$F$601,MATCH($B137,SUJETOS!$A$2:$A$601,0)))&gt;0,INDEX(SUJETOS!$F$2:$F$601,MATCH($B137,SUJETOS!$A$2:$A$601,0)),$B137),$B137))</f>
        <v/>
      </c>
    </row>
    <row r="138">
      <c r="E138" s="18" t="n"/>
      <c r="K138" s="13">
        <f>IF(OR($A138="",$E138=""),"",IFERROR(E138*INDEX(CONTRATOS!$P$2:$P$601,MATCH($A138,CONTRATOS!$A$2:$A$601,0)),""))</f>
        <v/>
      </c>
      <c r="L138" s="17">
        <f>IF(OR($A138="",$E138=""),"",IFERROR(E138*INDEX(CONTRATOS!$Z$2:$Z$601,MATCH($A138,CONTRATOS!$A$2:$A$601,0)),""))</f>
        <v/>
      </c>
      <c r="M138" s="13">
        <f>IF(OR($A138="",$E138=""),"",IFERROR(E138*INDEX(CONTRATOS!$AA$2:$AA$601,MATCH($A138,CONTRATOS!$A$2:$A$601,0)),""))</f>
        <v/>
      </c>
      <c r="N138" s="19">
        <f>IF($A138="","",SUMIFS($E$2:$E$601,$A$2:$A$601,$A138))</f>
        <v/>
      </c>
      <c r="O138" s="12">
        <f>IF($A138="","",IFERROR(INDEX(CONTRATOS!$F$2:$F$601,MATCH($A138,CONTRATOS!$A$2:$A$601,0)),""))</f>
        <v/>
      </c>
      <c r="P138" s="12">
        <f>IF($A138="","",IFERROR(INDEX(CONTRATOS!$M$2:$M$601,MATCH($A138,CONTRATOS!$A$2:$A$601,0)),""))</f>
        <v/>
      </c>
      <c r="Q138" s="12">
        <f>IF($A138="","",IF(COUNTIF(CONTRATOS!$A$2:$A$601,$A138)=0,"El contrato no existe en CONTRATOS; ","")&amp;IF($B138="","Falta sujeto; ",IF(COUNTIF(SUJETOS!$A$2:$A$601,$B138)=0,"El sujeto no existe en SUJETOS; ",""))&amp;IF($E138="","Falta porcentaje; ","")&amp;IF(N138&gt;1.0001,"Los porcentajes del contrato suman más de 100 %; ","")&amp;IF(AND($C138="Individual",$E138&lt;&gt;"",$E138&lt;&gt;1),"Individual debe ser 100 %; ","")&amp;IF(AND($C138&lt;&gt;"Individual",$C138&lt;&gt;"",$E138=1),"Consorcio o UT con 100 %: revise; ","")&amp;IF(COUNTIFS($A$2:$A$601,$A138,$B$2:$B$601,$B138)&gt;1,"Participación repetida; ","")&amp;IF(AND(IFERROR(INDEX(SUJETOS!$B$2:$B$601,MATCH($B138,SUJETOS!$A$2:$A$601,0)),"")="Persona natural",$G138=""),"Persona natural sin cargo; ",""))</f>
        <v/>
      </c>
      <c r="R138" s="12">
        <f>IF($A138="","",IFERROR(IF(LEN(INDEX(SUJETOS!$F$2:$F$601,MATCH($B138,SUJETOS!$A$2:$A$601,0)))&gt;0,INDEX(SUJETOS!$F$2:$F$601,MATCH($B138,SUJETOS!$A$2:$A$601,0)),$B138),$B138))</f>
        <v/>
      </c>
    </row>
    <row r="139">
      <c r="E139" s="18" t="n"/>
      <c r="K139" s="13">
        <f>IF(OR($A139="",$E139=""),"",IFERROR(E139*INDEX(CONTRATOS!$P$2:$P$601,MATCH($A139,CONTRATOS!$A$2:$A$601,0)),""))</f>
        <v/>
      </c>
      <c r="L139" s="17">
        <f>IF(OR($A139="",$E139=""),"",IFERROR(E139*INDEX(CONTRATOS!$Z$2:$Z$601,MATCH($A139,CONTRATOS!$A$2:$A$601,0)),""))</f>
        <v/>
      </c>
      <c r="M139" s="13">
        <f>IF(OR($A139="",$E139=""),"",IFERROR(E139*INDEX(CONTRATOS!$AA$2:$AA$601,MATCH($A139,CONTRATOS!$A$2:$A$601,0)),""))</f>
        <v/>
      </c>
      <c r="N139" s="19">
        <f>IF($A139="","",SUMIFS($E$2:$E$601,$A$2:$A$601,$A139))</f>
        <v/>
      </c>
      <c r="O139" s="12">
        <f>IF($A139="","",IFERROR(INDEX(CONTRATOS!$F$2:$F$601,MATCH($A139,CONTRATOS!$A$2:$A$601,0)),""))</f>
        <v/>
      </c>
      <c r="P139" s="12">
        <f>IF($A139="","",IFERROR(INDEX(CONTRATOS!$M$2:$M$601,MATCH($A139,CONTRATOS!$A$2:$A$601,0)),""))</f>
        <v/>
      </c>
      <c r="Q139" s="12">
        <f>IF($A139="","",IF(COUNTIF(CONTRATOS!$A$2:$A$601,$A139)=0,"El contrato no existe en CONTRATOS; ","")&amp;IF($B139="","Falta sujeto; ",IF(COUNTIF(SUJETOS!$A$2:$A$601,$B139)=0,"El sujeto no existe en SUJETOS; ",""))&amp;IF($E139="","Falta porcentaje; ","")&amp;IF(N139&gt;1.0001,"Los porcentajes del contrato suman más de 100 %; ","")&amp;IF(AND($C139="Individual",$E139&lt;&gt;"",$E139&lt;&gt;1),"Individual debe ser 100 %; ","")&amp;IF(AND($C139&lt;&gt;"Individual",$C139&lt;&gt;"",$E139=1),"Consorcio o UT con 100 %: revise; ","")&amp;IF(COUNTIFS($A$2:$A$601,$A139,$B$2:$B$601,$B139)&gt;1,"Participación repetida; ","")&amp;IF(AND(IFERROR(INDEX(SUJETOS!$B$2:$B$601,MATCH($B139,SUJETOS!$A$2:$A$601,0)),"")="Persona natural",$G139=""),"Persona natural sin cargo; ",""))</f>
        <v/>
      </c>
      <c r="R139" s="12">
        <f>IF($A139="","",IFERROR(IF(LEN(INDEX(SUJETOS!$F$2:$F$601,MATCH($B139,SUJETOS!$A$2:$A$601,0)))&gt;0,INDEX(SUJETOS!$F$2:$F$601,MATCH($B139,SUJETOS!$A$2:$A$601,0)),$B139),$B139))</f>
        <v/>
      </c>
    </row>
    <row r="140">
      <c r="E140" s="18" t="n"/>
      <c r="K140" s="13">
        <f>IF(OR($A140="",$E140=""),"",IFERROR(E140*INDEX(CONTRATOS!$P$2:$P$601,MATCH($A140,CONTRATOS!$A$2:$A$601,0)),""))</f>
        <v/>
      </c>
      <c r="L140" s="17">
        <f>IF(OR($A140="",$E140=""),"",IFERROR(E140*INDEX(CONTRATOS!$Z$2:$Z$601,MATCH($A140,CONTRATOS!$A$2:$A$601,0)),""))</f>
        <v/>
      </c>
      <c r="M140" s="13">
        <f>IF(OR($A140="",$E140=""),"",IFERROR(E140*INDEX(CONTRATOS!$AA$2:$AA$601,MATCH($A140,CONTRATOS!$A$2:$A$601,0)),""))</f>
        <v/>
      </c>
      <c r="N140" s="19">
        <f>IF($A140="","",SUMIFS($E$2:$E$601,$A$2:$A$601,$A140))</f>
        <v/>
      </c>
      <c r="O140" s="12">
        <f>IF($A140="","",IFERROR(INDEX(CONTRATOS!$F$2:$F$601,MATCH($A140,CONTRATOS!$A$2:$A$601,0)),""))</f>
        <v/>
      </c>
      <c r="P140" s="12">
        <f>IF($A140="","",IFERROR(INDEX(CONTRATOS!$M$2:$M$601,MATCH($A140,CONTRATOS!$A$2:$A$601,0)),""))</f>
        <v/>
      </c>
      <c r="Q140" s="12">
        <f>IF($A140="","",IF(COUNTIF(CONTRATOS!$A$2:$A$601,$A140)=0,"El contrato no existe en CONTRATOS; ","")&amp;IF($B140="","Falta sujeto; ",IF(COUNTIF(SUJETOS!$A$2:$A$601,$B140)=0,"El sujeto no existe en SUJETOS; ",""))&amp;IF($E140="","Falta porcentaje; ","")&amp;IF(N140&gt;1.0001,"Los porcentajes del contrato suman más de 100 %; ","")&amp;IF(AND($C140="Individual",$E140&lt;&gt;"",$E140&lt;&gt;1),"Individual debe ser 100 %; ","")&amp;IF(AND($C140&lt;&gt;"Individual",$C140&lt;&gt;"",$E140=1),"Consorcio o UT con 100 %: revise; ","")&amp;IF(COUNTIFS($A$2:$A$601,$A140,$B$2:$B$601,$B140)&gt;1,"Participación repetida; ","")&amp;IF(AND(IFERROR(INDEX(SUJETOS!$B$2:$B$601,MATCH($B140,SUJETOS!$A$2:$A$601,0)),"")="Persona natural",$G140=""),"Persona natural sin cargo; ",""))</f>
        <v/>
      </c>
      <c r="R140" s="12">
        <f>IF($A140="","",IFERROR(IF(LEN(INDEX(SUJETOS!$F$2:$F$601,MATCH($B140,SUJETOS!$A$2:$A$601,0)))&gt;0,INDEX(SUJETOS!$F$2:$F$601,MATCH($B140,SUJETOS!$A$2:$A$601,0)),$B140),$B140))</f>
        <v/>
      </c>
    </row>
    <row r="141">
      <c r="E141" s="18" t="n"/>
      <c r="K141" s="13">
        <f>IF(OR($A141="",$E141=""),"",IFERROR(E141*INDEX(CONTRATOS!$P$2:$P$601,MATCH($A141,CONTRATOS!$A$2:$A$601,0)),""))</f>
        <v/>
      </c>
      <c r="L141" s="17">
        <f>IF(OR($A141="",$E141=""),"",IFERROR(E141*INDEX(CONTRATOS!$Z$2:$Z$601,MATCH($A141,CONTRATOS!$A$2:$A$601,0)),""))</f>
        <v/>
      </c>
      <c r="M141" s="13">
        <f>IF(OR($A141="",$E141=""),"",IFERROR(E141*INDEX(CONTRATOS!$AA$2:$AA$601,MATCH($A141,CONTRATOS!$A$2:$A$601,0)),""))</f>
        <v/>
      </c>
      <c r="N141" s="19">
        <f>IF($A141="","",SUMIFS($E$2:$E$601,$A$2:$A$601,$A141))</f>
        <v/>
      </c>
      <c r="O141" s="12">
        <f>IF($A141="","",IFERROR(INDEX(CONTRATOS!$F$2:$F$601,MATCH($A141,CONTRATOS!$A$2:$A$601,0)),""))</f>
        <v/>
      </c>
      <c r="P141" s="12">
        <f>IF($A141="","",IFERROR(INDEX(CONTRATOS!$M$2:$M$601,MATCH($A141,CONTRATOS!$A$2:$A$601,0)),""))</f>
        <v/>
      </c>
      <c r="Q141" s="12">
        <f>IF($A141="","",IF(COUNTIF(CONTRATOS!$A$2:$A$601,$A141)=0,"El contrato no existe en CONTRATOS; ","")&amp;IF($B141="","Falta sujeto; ",IF(COUNTIF(SUJETOS!$A$2:$A$601,$B141)=0,"El sujeto no existe en SUJETOS; ",""))&amp;IF($E141="","Falta porcentaje; ","")&amp;IF(N141&gt;1.0001,"Los porcentajes del contrato suman más de 100 %; ","")&amp;IF(AND($C141="Individual",$E141&lt;&gt;"",$E141&lt;&gt;1),"Individual debe ser 100 %; ","")&amp;IF(AND($C141&lt;&gt;"Individual",$C141&lt;&gt;"",$E141=1),"Consorcio o UT con 100 %: revise; ","")&amp;IF(COUNTIFS($A$2:$A$601,$A141,$B$2:$B$601,$B141)&gt;1,"Participación repetida; ","")&amp;IF(AND(IFERROR(INDEX(SUJETOS!$B$2:$B$601,MATCH($B141,SUJETOS!$A$2:$A$601,0)),"")="Persona natural",$G141=""),"Persona natural sin cargo; ",""))</f>
        <v/>
      </c>
      <c r="R141" s="12">
        <f>IF($A141="","",IFERROR(IF(LEN(INDEX(SUJETOS!$F$2:$F$601,MATCH($B141,SUJETOS!$A$2:$A$601,0)))&gt;0,INDEX(SUJETOS!$F$2:$F$601,MATCH($B141,SUJETOS!$A$2:$A$601,0)),$B141),$B141))</f>
        <v/>
      </c>
    </row>
    <row r="142">
      <c r="E142" s="18" t="n"/>
      <c r="K142" s="13">
        <f>IF(OR($A142="",$E142=""),"",IFERROR(E142*INDEX(CONTRATOS!$P$2:$P$601,MATCH($A142,CONTRATOS!$A$2:$A$601,0)),""))</f>
        <v/>
      </c>
      <c r="L142" s="17">
        <f>IF(OR($A142="",$E142=""),"",IFERROR(E142*INDEX(CONTRATOS!$Z$2:$Z$601,MATCH($A142,CONTRATOS!$A$2:$A$601,0)),""))</f>
        <v/>
      </c>
      <c r="M142" s="13">
        <f>IF(OR($A142="",$E142=""),"",IFERROR(E142*INDEX(CONTRATOS!$AA$2:$AA$601,MATCH($A142,CONTRATOS!$A$2:$A$601,0)),""))</f>
        <v/>
      </c>
      <c r="N142" s="19">
        <f>IF($A142="","",SUMIFS($E$2:$E$601,$A$2:$A$601,$A142))</f>
        <v/>
      </c>
      <c r="O142" s="12">
        <f>IF($A142="","",IFERROR(INDEX(CONTRATOS!$F$2:$F$601,MATCH($A142,CONTRATOS!$A$2:$A$601,0)),""))</f>
        <v/>
      </c>
      <c r="P142" s="12">
        <f>IF($A142="","",IFERROR(INDEX(CONTRATOS!$M$2:$M$601,MATCH($A142,CONTRATOS!$A$2:$A$601,0)),""))</f>
        <v/>
      </c>
      <c r="Q142" s="12">
        <f>IF($A142="","",IF(COUNTIF(CONTRATOS!$A$2:$A$601,$A142)=0,"El contrato no existe en CONTRATOS; ","")&amp;IF($B142="","Falta sujeto; ",IF(COUNTIF(SUJETOS!$A$2:$A$601,$B142)=0,"El sujeto no existe en SUJETOS; ",""))&amp;IF($E142="","Falta porcentaje; ","")&amp;IF(N142&gt;1.0001,"Los porcentajes del contrato suman más de 100 %; ","")&amp;IF(AND($C142="Individual",$E142&lt;&gt;"",$E142&lt;&gt;1),"Individual debe ser 100 %; ","")&amp;IF(AND($C142&lt;&gt;"Individual",$C142&lt;&gt;"",$E142=1),"Consorcio o UT con 100 %: revise; ","")&amp;IF(COUNTIFS($A$2:$A$601,$A142,$B$2:$B$601,$B142)&gt;1,"Participación repetida; ","")&amp;IF(AND(IFERROR(INDEX(SUJETOS!$B$2:$B$601,MATCH($B142,SUJETOS!$A$2:$A$601,0)),"")="Persona natural",$G142=""),"Persona natural sin cargo; ",""))</f>
        <v/>
      </c>
      <c r="R142" s="12">
        <f>IF($A142="","",IFERROR(IF(LEN(INDEX(SUJETOS!$F$2:$F$601,MATCH($B142,SUJETOS!$A$2:$A$601,0)))&gt;0,INDEX(SUJETOS!$F$2:$F$601,MATCH($B142,SUJETOS!$A$2:$A$601,0)),$B142),$B142))</f>
        <v/>
      </c>
    </row>
    <row r="143">
      <c r="E143" s="18" t="n"/>
      <c r="K143" s="13">
        <f>IF(OR($A143="",$E143=""),"",IFERROR(E143*INDEX(CONTRATOS!$P$2:$P$601,MATCH($A143,CONTRATOS!$A$2:$A$601,0)),""))</f>
        <v/>
      </c>
      <c r="L143" s="17">
        <f>IF(OR($A143="",$E143=""),"",IFERROR(E143*INDEX(CONTRATOS!$Z$2:$Z$601,MATCH($A143,CONTRATOS!$A$2:$A$601,0)),""))</f>
        <v/>
      </c>
      <c r="M143" s="13">
        <f>IF(OR($A143="",$E143=""),"",IFERROR(E143*INDEX(CONTRATOS!$AA$2:$AA$601,MATCH($A143,CONTRATOS!$A$2:$A$601,0)),""))</f>
        <v/>
      </c>
      <c r="N143" s="19">
        <f>IF($A143="","",SUMIFS($E$2:$E$601,$A$2:$A$601,$A143))</f>
        <v/>
      </c>
      <c r="O143" s="12">
        <f>IF($A143="","",IFERROR(INDEX(CONTRATOS!$F$2:$F$601,MATCH($A143,CONTRATOS!$A$2:$A$601,0)),""))</f>
        <v/>
      </c>
      <c r="P143" s="12">
        <f>IF($A143="","",IFERROR(INDEX(CONTRATOS!$M$2:$M$601,MATCH($A143,CONTRATOS!$A$2:$A$601,0)),""))</f>
        <v/>
      </c>
      <c r="Q143" s="12">
        <f>IF($A143="","",IF(COUNTIF(CONTRATOS!$A$2:$A$601,$A143)=0,"El contrato no existe en CONTRATOS; ","")&amp;IF($B143="","Falta sujeto; ",IF(COUNTIF(SUJETOS!$A$2:$A$601,$B143)=0,"El sujeto no existe en SUJETOS; ",""))&amp;IF($E143="","Falta porcentaje; ","")&amp;IF(N143&gt;1.0001,"Los porcentajes del contrato suman más de 100 %; ","")&amp;IF(AND($C143="Individual",$E143&lt;&gt;"",$E143&lt;&gt;1),"Individual debe ser 100 %; ","")&amp;IF(AND($C143&lt;&gt;"Individual",$C143&lt;&gt;"",$E143=1),"Consorcio o UT con 100 %: revise; ","")&amp;IF(COUNTIFS($A$2:$A$601,$A143,$B$2:$B$601,$B143)&gt;1,"Participación repetida; ","")&amp;IF(AND(IFERROR(INDEX(SUJETOS!$B$2:$B$601,MATCH($B143,SUJETOS!$A$2:$A$601,0)),"")="Persona natural",$G143=""),"Persona natural sin cargo; ",""))</f>
        <v/>
      </c>
      <c r="R143" s="12">
        <f>IF($A143="","",IFERROR(IF(LEN(INDEX(SUJETOS!$F$2:$F$601,MATCH($B143,SUJETOS!$A$2:$A$601,0)))&gt;0,INDEX(SUJETOS!$F$2:$F$601,MATCH($B143,SUJETOS!$A$2:$A$601,0)),$B143),$B143))</f>
        <v/>
      </c>
    </row>
    <row r="144">
      <c r="E144" s="18" t="n"/>
      <c r="K144" s="13">
        <f>IF(OR($A144="",$E144=""),"",IFERROR(E144*INDEX(CONTRATOS!$P$2:$P$601,MATCH($A144,CONTRATOS!$A$2:$A$601,0)),""))</f>
        <v/>
      </c>
      <c r="L144" s="17">
        <f>IF(OR($A144="",$E144=""),"",IFERROR(E144*INDEX(CONTRATOS!$Z$2:$Z$601,MATCH($A144,CONTRATOS!$A$2:$A$601,0)),""))</f>
        <v/>
      </c>
      <c r="M144" s="13">
        <f>IF(OR($A144="",$E144=""),"",IFERROR(E144*INDEX(CONTRATOS!$AA$2:$AA$601,MATCH($A144,CONTRATOS!$A$2:$A$601,0)),""))</f>
        <v/>
      </c>
      <c r="N144" s="19">
        <f>IF($A144="","",SUMIFS($E$2:$E$601,$A$2:$A$601,$A144))</f>
        <v/>
      </c>
      <c r="O144" s="12">
        <f>IF($A144="","",IFERROR(INDEX(CONTRATOS!$F$2:$F$601,MATCH($A144,CONTRATOS!$A$2:$A$601,0)),""))</f>
        <v/>
      </c>
      <c r="P144" s="12">
        <f>IF($A144="","",IFERROR(INDEX(CONTRATOS!$M$2:$M$601,MATCH($A144,CONTRATOS!$A$2:$A$601,0)),""))</f>
        <v/>
      </c>
      <c r="Q144" s="12">
        <f>IF($A144="","",IF(COUNTIF(CONTRATOS!$A$2:$A$601,$A144)=0,"El contrato no existe en CONTRATOS; ","")&amp;IF($B144="","Falta sujeto; ",IF(COUNTIF(SUJETOS!$A$2:$A$601,$B144)=0,"El sujeto no existe en SUJETOS; ",""))&amp;IF($E144="","Falta porcentaje; ","")&amp;IF(N144&gt;1.0001,"Los porcentajes del contrato suman más de 100 %; ","")&amp;IF(AND($C144="Individual",$E144&lt;&gt;"",$E144&lt;&gt;1),"Individual debe ser 100 %; ","")&amp;IF(AND($C144&lt;&gt;"Individual",$C144&lt;&gt;"",$E144=1),"Consorcio o UT con 100 %: revise; ","")&amp;IF(COUNTIFS($A$2:$A$601,$A144,$B$2:$B$601,$B144)&gt;1,"Participación repetida; ","")&amp;IF(AND(IFERROR(INDEX(SUJETOS!$B$2:$B$601,MATCH($B144,SUJETOS!$A$2:$A$601,0)),"")="Persona natural",$G144=""),"Persona natural sin cargo; ",""))</f>
        <v/>
      </c>
      <c r="R144" s="12">
        <f>IF($A144="","",IFERROR(IF(LEN(INDEX(SUJETOS!$F$2:$F$601,MATCH($B144,SUJETOS!$A$2:$A$601,0)))&gt;0,INDEX(SUJETOS!$F$2:$F$601,MATCH($B144,SUJETOS!$A$2:$A$601,0)),$B144),$B144))</f>
        <v/>
      </c>
    </row>
    <row r="145">
      <c r="E145" s="18" t="n"/>
      <c r="K145" s="13">
        <f>IF(OR($A145="",$E145=""),"",IFERROR(E145*INDEX(CONTRATOS!$P$2:$P$601,MATCH($A145,CONTRATOS!$A$2:$A$601,0)),""))</f>
        <v/>
      </c>
      <c r="L145" s="17">
        <f>IF(OR($A145="",$E145=""),"",IFERROR(E145*INDEX(CONTRATOS!$Z$2:$Z$601,MATCH($A145,CONTRATOS!$A$2:$A$601,0)),""))</f>
        <v/>
      </c>
      <c r="M145" s="13">
        <f>IF(OR($A145="",$E145=""),"",IFERROR(E145*INDEX(CONTRATOS!$AA$2:$AA$601,MATCH($A145,CONTRATOS!$A$2:$A$601,0)),""))</f>
        <v/>
      </c>
      <c r="N145" s="19">
        <f>IF($A145="","",SUMIFS($E$2:$E$601,$A$2:$A$601,$A145))</f>
        <v/>
      </c>
      <c r="O145" s="12">
        <f>IF($A145="","",IFERROR(INDEX(CONTRATOS!$F$2:$F$601,MATCH($A145,CONTRATOS!$A$2:$A$601,0)),""))</f>
        <v/>
      </c>
      <c r="P145" s="12">
        <f>IF($A145="","",IFERROR(INDEX(CONTRATOS!$M$2:$M$601,MATCH($A145,CONTRATOS!$A$2:$A$601,0)),""))</f>
        <v/>
      </c>
      <c r="Q145" s="12">
        <f>IF($A145="","",IF(COUNTIF(CONTRATOS!$A$2:$A$601,$A145)=0,"El contrato no existe en CONTRATOS; ","")&amp;IF($B145="","Falta sujeto; ",IF(COUNTIF(SUJETOS!$A$2:$A$601,$B145)=0,"El sujeto no existe en SUJETOS; ",""))&amp;IF($E145="","Falta porcentaje; ","")&amp;IF(N145&gt;1.0001,"Los porcentajes del contrato suman más de 100 %; ","")&amp;IF(AND($C145="Individual",$E145&lt;&gt;"",$E145&lt;&gt;1),"Individual debe ser 100 %; ","")&amp;IF(AND($C145&lt;&gt;"Individual",$C145&lt;&gt;"",$E145=1),"Consorcio o UT con 100 %: revise; ","")&amp;IF(COUNTIFS($A$2:$A$601,$A145,$B$2:$B$601,$B145)&gt;1,"Participación repetida; ","")&amp;IF(AND(IFERROR(INDEX(SUJETOS!$B$2:$B$601,MATCH($B145,SUJETOS!$A$2:$A$601,0)),"")="Persona natural",$G145=""),"Persona natural sin cargo; ",""))</f>
        <v/>
      </c>
      <c r="R145" s="12">
        <f>IF($A145="","",IFERROR(IF(LEN(INDEX(SUJETOS!$F$2:$F$601,MATCH($B145,SUJETOS!$A$2:$A$601,0)))&gt;0,INDEX(SUJETOS!$F$2:$F$601,MATCH($B145,SUJETOS!$A$2:$A$601,0)),$B145),$B145))</f>
        <v/>
      </c>
    </row>
    <row r="146">
      <c r="E146" s="18" t="n"/>
      <c r="K146" s="13">
        <f>IF(OR($A146="",$E146=""),"",IFERROR(E146*INDEX(CONTRATOS!$P$2:$P$601,MATCH($A146,CONTRATOS!$A$2:$A$601,0)),""))</f>
        <v/>
      </c>
      <c r="L146" s="17">
        <f>IF(OR($A146="",$E146=""),"",IFERROR(E146*INDEX(CONTRATOS!$Z$2:$Z$601,MATCH($A146,CONTRATOS!$A$2:$A$601,0)),""))</f>
        <v/>
      </c>
      <c r="M146" s="13">
        <f>IF(OR($A146="",$E146=""),"",IFERROR(E146*INDEX(CONTRATOS!$AA$2:$AA$601,MATCH($A146,CONTRATOS!$A$2:$A$601,0)),""))</f>
        <v/>
      </c>
      <c r="N146" s="19">
        <f>IF($A146="","",SUMIFS($E$2:$E$601,$A$2:$A$601,$A146))</f>
        <v/>
      </c>
      <c r="O146" s="12">
        <f>IF($A146="","",IFERROR(INDEX(CONTRATOS!$F$2:$F$601,MATCH($A146,CONTRATOS!$A$2:$A$601,0)),""))</f>
        <v/>
      </c>
      <c r="P146" s="12">
        <f>IF($A146="","",IFERROR(INDEX(CONTRATOS!$M$2:$M$601,MATCH($A146,CONTRATOS!$A$2:$A$601,0)),""))</f>
        <v/>
      </c>
      <c r="Q146" s="12">
        <f>IF($A146="","",IF(COUNTIF(CONTRATOS!$A$2:$A$601,$A146)=0,"El contrato no existe en CONTRATOS; ","")&amp;IF($B146="","Falta sujeto; ",IF(COUNTIF(SUJETOS!$A$2:$A$601,$B146)=0,"El sujeto no existe en SUJETOS; ",""))&amp;IF($E146="","Falta porcentaje; ","")&amp;IF(N146&gt;1.0001,"Los porcentajes del contrato suman más de 100 %; ","")&amp;IF(AND($C146="Individual",$E146&lt;&gt;"",$E146&lt;&gt;1),"Individual debe ser 100 %; ","")&amp;IF(AND($C146&lt;&gt;"Individual",$C146&lt;&gt;"",$E146=1),"Consorcio o UT con 100 %: revise; ","")&amp;IF(COUNTIFS($A$2:$A$601,$A146,$B$2:$B$601,$B146)&gt;1,"Participación repetida; ","")&amp;IF(AND(IFERROR(INDEX(SUJETOS!$B$2:$B$601,MATCH($B146,SUJETOS!$A$2:$A$601,0)),"")="Persona natural",$G146=""),"Persona natural sin cargo; ",""))</f>
        <v/>
      </c>
      <c r="R146" s="12">
        <f>IF($A146="","",IFERROR(IF(LEN(INDEX(SUJETOS!$F$2:$F$601,MATCH($B146,SUJETOS!$A$2:$A$601,0)))&gt;0,INDEX(SUJETOS!$F$2:$F$601,MATCH($B146,SUJETOS!$A$2:$A$601,0)),$B146),$B146))</f>
        <v/>
      </c>
    </row>
    <row r="147">
      <c r="E147" s="18" t="n"/>
      <c r="K147" s="13">
        <f>IF(OR($A147="",$E147=""),"",IFERROR(E147*INDEX(CONTRATOS!$P$2:$P$601,MATCH($A147,CONTRATOS!$A$2:$A$601,0)),""))</f>
        <v/>
      </c>
      <c r="L147" s="17">
        <f>IF(OR($A147="",$E147=""),"",IFERROR(E147*INDEX(CONTRATOS!$Z$2:$Z$601,MATCH($A147,CONTRATOS!$A$2:$A$601,0)),""))</f>
        <v/>
      </c>
      <c r="M147" s="13">
        <f>IF(OR($A147="",$E147=""),"",IFERROR(E147*INDEX(CONTRATOS!$AA$2:$AA$601,MATCH($A147,CONTRATOS!$A$2:$A$601,0)),""))</f>
        <v/>
      </c>
      <c r="N147" s="19">
        <f>IF($A147="","",SUMIFS($E$2:$E$601,$A$2:$A$601,$A147))</f>
        <v/>
      </c>
      <c r="O147" s="12">
        <f>IF($A147="","",IFERROR(INDEX(CONTRATOS!$F$2:$F$601,MATCH($A147,CONTRATOS!$A$2:$A$601,0)),""))</f>
        <v/>
      </c>
      <c r="P147" s="12">
        <f>IF($A147="","",IFERROR(INDEX(CONTRATOS!$M$2:$M$601,MATCH($A147,CONTRATOS!$A$2:$A$601,0)),""))</f>
        <v/>
      </c>
      <c r="Q147" s="12">
        <f>IF($A147="","",IF(COUNTIF(CONTRATOS!$A$2:$A$601,$A147)=0,"El contrato no existe en CONTRATOS; ","")&amp;IF($B147="","Falta sujeto; ",IF(COUNTIF(SUJETOS!$A$2:$A$601,$B147)=0,"El sujeto no existe en SUJETOS; ",""))&amp;IF($E147="","Falta porcentaje; ","")&amp;IF(N147&gt;1.0001,"Los porcentajes del contrato suman más de 100 %; ","")&amp;IF(AND($C147="Individual",$E147&lt;&gt;"",$E147&lt;&gt;1),"Individual debe ser 100 %; ","")&amp;IF(AND($C147&lt;&gt;"Individual",$C147&lt;&gt;"",$E147=1),"Consorcio o UT con 100 %: revise; ","")&amp;IF(COUNTIFS($A$2:$A$601,$A147,$B$2:$B$601,$B147)&gt;1,"Participación repetida; ","")&amp;IF(AND(IFERROR(INDEX(SUJETOS!$B$2:$B$601,MATCH($B147,SUJETOS!$A$2:$A$601,0)),"")="Persona natural",$G147=""),"Persona natural sin cargo; ",""))</f>
        <v/>
      </c>
      <c r="R147" s="12">
        <f>IF($A147="","",IFERROR(IF(LEN(INDEX(SUJETOS!$F$2:$F$601,MATCH($B147,SUJETOS!$A$2:$A$601,0)))&gt;0,INDEX(SUJETOS!$F$2:$F$601,MATCH($B147,SUJETOS!$A$2:$A$601,0)),$B147),$B147))</f>
        <v/>
      </c>
    </row>
    <row r="148">
      <c r="E148" s="18" t="n"/>
      <c r="K148" s="13">
        <f>IF(OR($A148="",$E148=""),"",IFERROR(E148*INDEX(CONTRATOS!$P$2:$P$601,MATCH($A148,CONTRATOS!$A$2:$A$601,0)),""))</f>
        <v/>
      </c>
      <c r="L148" s="17">
        <f>IF(OR($A148="",$E148=""),"",IFERROR(E148*INDEX(CONTRATOS!$Z$2:$Z$601,MATCH($A148,CONTRATOS!$A$2:$A$601,0)),""))</f>
        <v/>
      </c>
      <c r="M148" s="13">
        <f>IF(OR($A148="",$E148=""),"",IFERROR(E148*INDEX(CONTRATOS!$AA$2:$AA$601,MATCH($A148,CONTRATOS!$A$2:$A$601,0)),""))</f>
        <v/>
      </c>
      <c r="N148" s="19">
        <f>IF($A148="","",SUMIFS($E$2:$E$601,$A$2:$A$601,$A148))</f>
        <v/>
      </c>
      <c r="O148" s="12">
        <f>IF($A148="","",IFERROR(INDEX(CONTRATOS!$F$2:$F$601,MATCH($A148,CONTRATOS!$A$2:$A$601,0)),""))</f>
        <v/>
      </c>
      <c r="P148" s="12">
        <f>IF($A148="","",IFERROR(INDEX(CONTRATOS!$M$2:$M$601,MATCH($A148,CONTRATOS!$A$2:$A$601,0)),""))</f>
        <v/>
      </c>
      <c r="Q148" s="12">
        <f>IF($A148="","",IF(COUNTIF(CONTRATOS!$A$2:$A$601,$A148)=0,"El contrato no existe en CONTRATOS; ","")&amp;IF($B148="","Falta sujeto; ",IF(COUNTIF(SUJETOS!$A$2:$A$601,$B148)=0,"El sujeto no existe en SUJETOS; ",""))&amp;IF($E148="","Falta porcentaje; ","")&amp;IF(N148&gt;1.0001,"Los porcentajes del contrato suman más de 100 %; ","")&amp;IF(AND($C148="Individual",$E148&lt;&gt;"",$E148&lt;&gt;1),"Individual debe ser 100 %; ","")&amp;IF(AND($C148&lt;&gt;"Individual",$C148&lt;&gt;"",$E148=1),"Consorcio o UT con 100 %: revise; ","")&amp;IF(COUNTIFS($A$2:$A$601,$A148,$B$2:$B$601,$B148)&gt;1,"Participación repetida; ","")&amp;IF(AND(IFERROR(INDEX(SUJETOS!$B$2:$B$601,MATCH($B148,SUJETOS!$A$2:$A$601,0)),"")="Persona natural",$G148=""),"Persona natural sin cargo; ",""))</f>
        <v/>
      </c>
      <c r="R148" s="12">
        <f>IF($A148="","",IFERROR(IF(LEN(INDEX(SUJETOS!$F$2:$F$601,MATCH($B148,SUJETOS!$A$2:$A$601,0)))&gt;0,INDEX(SUJETOS!$F$2:$F$601,MATCH($B148,SUJETOS!$A$2:$A$601,0)),$B148),$B148))</f>
        <v/>
      </c>
    </row>
    <row r="149">
      <c r="E149" s="18" t="n"/>
      <c r="K149" s="13">
        <f>IF(OR($A149="",$E149=""),"",IFERROR(E149*INDEX(CONTRATOS!$P$2:$P$601,MATCH($A149,CONTRATOS!$A$2:$A$601,0)),""))</f>
        <v/>
      </c>
      <c r="L149" s="17">
        <f>IF(OR($A149="",$E149=""),"",IFERROR(E149*INDEX(CONTRATOS!$Z$2:$Z$601,MATCH($A149,CONTRATOS!$A$2:$A$601,0)),""))</f>
        <v/>
      </c>
      <c r="M149" s="13">
        <f>IF(OR($A149="",$E149=""),"",IFERROR(E149*INDEX(CONTRATOS!$AA$2:$AA$601,MATCH($A149,CONTRATOS!$A$2:$A$601,0)),""))</f>
        <v/>
      </c>
      <c r="N149" s="19">
        <f>IF($A149="","",SUMIFS($E$2:$E$601,$A$2:$A$601,$A149))</f>
        <v/>
      </c>
      <c r="O149" s="12">
        <f>IF($A149="","",IFERROR(INDEX(CONTRATOS!$F$2:$F$601,MATCH($A149,CONTRATOS!$A$2:$A$601,0)),""))</f>
        <v/>
      </c>
      <c r="P149" s="12">
        <f>IF($A149="","",IFERROR(INDEX(CONTRATOS!$M$2:$M$601,MATCH($A149,CONTRATOS!$A$2:$A$601,0)),""))</f>
        <v/>
      </c>
      <c r="Q149" s="12">
        <f>IF($A149="","",IF(COUNTIF(CONTRATOS!$A$2:$A$601,$A149)=0,"El contrato no existe en CONTRATOS; ","")&amp;IF($B149="","Falta sujeto; ",IF(COUNTIF(SUJETOS!$A$2:$A$601,$B149)=0,"El sujeto no existe en SUJETOS; ",""))&amp;IF($E149="","Falta porcentaje; ","")&amp;IF(N149&gt;1.0001,"Los porcentajes del contrato suman más de 100 %; ","")&amp;IF(AND($C149="Individual",$E149&lt;&gt;"",$E149&lt;&gt;1),"Individual debe ser 100 %; ","")&amp;IF(AND($C149&lt;&gt;"Individual",$C149&lt;&gt;"",$E149=1),"Consorcio o UT con 100 %: revise; ","")&amp;IF(COUNTIFS($A$2:$A$601,$A149,$B$2:$B$601,$B149)&gt;1,"Participación repetida; ","")&amp;IF(AND(IFERROR(INDEX(SUJETOS!$B$2:$B$601,MATCH($B149,SUJETOS!$A$2:$A$601,0)),"")="Persona natural",$G149=""),"Persona natural sin cargo; ",""))</f>
        <v/>
      </c>
      <c r="R149" s="12">
        <f>IF($A149="","",IFERROR(IF(LEN(INDEX(SUJETOS!$F$2:$F$601,MATCH($B149,SUJETOS!$A$2:$A$601,0)))&gt;0,INDEX(SUJETOS!$F$2:$F$601,MATCH($B149,SUJETOS!$A$2:$A$601,0)),$B149),$B149))</f>
        <v/>
      </c>
    </row>
    <row r="150">
      <c r="E150" s="18" t="n"/>
      <c r="K150" s="13">
        <f>IF(OR($A150="",$E150=""),"",IFERROR(E150*INDEX(CONTRATOS!$P$2:$P$601,MATCH($A150,CONTRATOS!$A$2:$A$601,0)),""))</f>
        <v/>
      </c>
      <c r="L150" s="17">
        <f>IF(OR($A150="",$E150=""),"",IFERROR(E150*INDEX(CONTRATOS!$Z$2:$Z$601,MATCH($A150,CONTRATOS!$A$2:$A$601,0)),""))</f>
        <v/>
      </c>
      <c r="M150" s="13">
        <f>IF(OR($A150="",$E150=""),"",IFERROR(E150*INDEX(CONTRATOS!$AA$2:$AA$601,MATCH($A150,CONTRATOS!$A$2:$A$601,0)),""))</f>
        <v/>
      </c>
      <c r="N150" s="19">
        <f>IF($A150="","",SUMIFS($E$2:$E$601,$A$2:$A$601,$A150))</f>
        <v/>
      </c>
      <c r="O150" s="12">
        <f>IF($A150="","",IFERROR(INDEX(CONTRATOS!$F$2:$F$601,MATCH($A150,CONTRATOS!$A$2:$A$601,0)),""))</f>
        <v/>
      </c>
      <c r="P150" s="12">
        <f>IF($A150="","",IFERROR(INDEX(CONTRATOS!$M$2:$M$601,MATCH($A150,CONTRATOS!$A$2:$A$601,0)),""))</f>
        <v/>
      </c>
      <c r="Q150" s="12">
        <f>IF($A150="","",IF(COUNTIF(CONTRATOS!$A$2:$A$601,$A150)=0,"El contrato no existe en CONTRATOS; ","")&amp;IF($B150="","Falta sujeto; ",IF(COUNTIF(SUJETOS!$A$2:$A$601,$B150)=0,"El sujeto no existe en SUJETOS; ",""))&amp;IF($E150="","Falta porcentaje; ","")&amp;IF(N150&gt;1.0001,"Los porcentajes del contrato suman más de 100 %; ","")&amp;IF(AND($C150="Individual",$E150&lt;&gt;"",$E150&lt;&gt;1),"Individual debe ser 100 %; ","")&amp;IF(AND($C150&lt;&gt;"Individual",$C150&lt;&gt;"",$E150=1),"Consorcio o UT con 100 %: revise; ","")&amp;IF(COUNTIFS($A$2:$A$601,$A150,$B$2:$B$601,$B150)&gt;1,"Participación repetida; ","")&amp;IF(AND(IFERROR(INDEX(SUJETOS!$B$2:$B$601,MATCH($B150,SUJETOS!$A$2:$A$601,0)),"")="Persona natural",$G150=""),"Persona natural sin cargo; ",""))</f>
        <v/>
      </c>
      <c r="R150" s="12">
        <f>IF($A150="","",IFERROR(IF(LEN(INDEX(SUJETOS!$F$2:$F$601,MATCH($B150,SUJETOS!$A$2:$A$601,0)))&gt;0,INDEX(SUJETOS!$F$2:$F$601,MATCH($B150,SUJETOS!$A$2:$A$601,0)),$B150),$B150))</f>
        <v/>
      </c>
    </row>
    <row r="151">
      <c r="E151" s="18" t="n"/>
      <c r="K151" s="13">
        <f>IF(OR($A151="",$E151=""),"",IFERROR(E151*INDEX(CONTRATOS!$P$2:$P$601,MATCH($A151,CONTRATOS!$A$2:$A$601,0)),""))</f>
        <v/>
      </c>
      <c r="L151" s="17">
        <f>IF(OR($A151="",$E151=""),"",IFERROR(E151*INDEX(CONTRATOS!$Z$2:$Z$601,MATCH($A151,CONTRATOS!$A$2:$A$601,0)),""))</f>
        <v/>
      </c>
      <c r="M151" s="13">
        <f>IF(OR($A151="",$E151=""),"",IFERROR(E151*INDEX(CONTRATOS!$AA$2:$AA$601,MATCH($A151,CONTRATOS!$A$2:$A$601,0)),""))</f>
        <v/>
      </c>
      <c r="N151" s="19">
        <f>IF($A151="","",SUMIFS($E$2:$E$601,$A$2:$A$601,$A151))</f>
        <v/>
      </c>
      <c r="O151" s="12">
        <f>IF($A151="","",IFERROR(INDEX(CONTRATOS!$F$2:$F$601,MATCH($A151,CONTRATOS!$A$2:$A$601,0)),""))</f>
        <v/>
      </c>
      <c r="P151" s="12">
        <f>IF($A151="","",IFERROR(INDEX(CONTRATOS!$M$2:$M$601,MATCH($A151,CONTRATOS!$A$2:$A$601,0)),""))</f>
        <v/>
      </c>
      <c r="Q151" s="12">
        <f>IF($A151="","",IF(COUNTIF(CONTRATOS!$A$2:$A$601,$A151)=0,"El contrato no existe en CONTRATOS; ","")&amp;IF($B151="","Falta sujeto; ",IF(COUNTIF(SUJETOS!$A$2:$A$601,$B151)=0,"El sujeto no existe en SUJETOS; ",""))&amp;IF($E151="","Falta porcentaje; ","")&amp;IF(N151&gt;1.0001,"Los porcentajes del contrato suman más de 100 %; ","")&amp;IF(AND($C151="Individual",$E151&lt;&gt;"",$E151&lt;&gt;1),"Individual debe ser 100 %; ","")&amp;IF(AND($C151&lt;&gt;"Individual",$C151&lt;&gt;"",$E151=1),"Consorcio o UT con 100 %: revise; ","")&amp;IF(COUNTIFS($A$2:$A$601,$A151,$B$2:$B$601,$B151)&gt;1,"Participación repetida; ","")&amp;IF(AND(IFERROR(INDEX(SUJETOS!$B$2:$B$601,MATCH($B151,SUJETOS!$A$2:$A$601,0)),"")="Persona natural",$G151=""),"Persona natural sin cargo; ",""))</f>
        <v/>
      </c>
      <c r="R151" s="12">
        <f>IF($A151="","",IFERROR(IF(LEN(INDEX(SUJETOS!$F$2:$F$601,MATCH($B151,SUJETOS!$A$2:$A$601,0)))&gt;0,INDEX(SUJETOS!$F$2:$F$601,MATCH($B151,SUJETOS!$A$2:$A$601,0)),$B151),$B151))</f>
        <v/>
      </c>
    </row>
    <row r="152">
      <c r="E152" s="18" t="n"/>
      <c r="K152" s="13">
        <f>IF(OR($A152="",$E152=""),"",IFERROR(E152*INDEX(CONTRATOS!$P$2:$P$601,MATCH($A152,CONTRATOS!$A$2:$A$601,0)),""))</f>
        <v/>
      </c>
      <c r="L152" s="17">
        <f>IF(OR($A152="",$E152=""),"",IFERROR(E152*INDEX(CONTRATOS!$Z$2:$Z$601,MATCH($A152,CONTRATOS!$A$2:$A$601,0)),""))</f>
        <v/>
      </c>
      <c r="M152" s="13">
        <f>IF(OR($A152="",$E152=""),"",IFERROR(E152*INDEX(CONTRATOS!$AA$2:$AA$601,MATCH($A152,CONTRATOS!$A$2:$A$601,0)),""))</f>
        <v/>
      </c>
      <c r="N152" s="19">
        <f>IF($A152="","",SUMIFS($E$2:$E$601,$A$2:$A$601,$A152))</f>
        <v/>
      </c>
      <c r="O152" s="12">
        <f>IF($A152="","",IFERROR(INDEX(CONTRATOS!$F$2:$F$601,MATCH($A152,CONTRATOS!$A$2:$A$601,0)),""))</f>
        <v/>
      </c>
      <c r="P152" s="12">
        <f>IF($A152="","",IFERROR(INDEX(CONTRATOS!$M$2:$M$601,MATCH($A152,CONTRATOS!$A$2:$A$601,0)),""))</f>
        <v/>
      </c>
      <c r="Q152" s="12">
        <f>IF($A152="","",IF(COUNTIF(CONTRATOS!$A$2:$A$601,$A152)=0,"El contrato no existe en CONTRATOS; ","")&amp;IF($B152="","Falta sujeto; ",IF(COUNTIF(SUJETOS!$A$2:$A$601,$B152)=0,"El sujeto no existe en SUJETOS; ",""))&amp;IF($E152="","Falta porcentaje; ","")&amp;IF(N152&gt;1.0001,"Los porcentajes del contrato suman más de 100 %; ","")&amp;IF(AND($C152="Individual",$E152&lt;&gt;"",$E152&lt;&gt;1),"Individual debe ser 100 %; ","")&amp;IF(AND($C152&lt;&gt;"Individual",$C152&lt;&gt;"",$E152=1),"Consorcio o UT con 100 %: revise; ","")&amp;IF(COUNTIFS($A$2:$A$601,$A152,$B$2:$B$601,$B152)&gt;1,"Participación repetida; ","")&amp;IF(AND(IFERROR(INDEX(SUJETOS!$B$2:$B$601,MATCH($B152,SUJETOS!$A$2:$A$601,0)),"")="Persona natural",$G152=""),"Persona natural sin cargo; ",""))</f>
        <v/>
      </c>
      <c r="R152" s="12">
        <f>IF($A152="","",IFERROR(IF(LEN(INDEX(SUJETOS!$F$2:$F$601,MATCH($B152,SUJETOS!$A$2:$A$601,0)))&gt;0,INDEX(SUJETOS!$F$2:$F$601,MATCH($B152,SUJETOS!$A$2:$A$601,0)),$B152),$B152))</f>
        <v/>
      </c>
    </row>
    <row r="153">
      <c r="E153" s="18" t="n"/>
      <c r="K153" s="13">
        <f>IF(OR($A153="",$E153=""),"",IFERROR(E153*INDEX(CONTRATOS!$P$2:$P$601,MATCH($A153,CONTRATOS!$A$2:$A$601,0)),""))</f>
        <v/>
      </c>
      <c r="L153" s="17">
        <f>IF(OR($A153="",$E153=""),"",IFERROR(E153*INDEX(CONTRATOS!$Z$2:$Z$601,MATCH($A153,CONTRATOS!$A$2:$A$601,0)),""))</f>
        <v/>
      </c>
      <c r="M153" s="13">
        <f>IF(OR($A153="",$E153=""),"",IFERROR(E153*INDEX(CONTRATOS!$AA$2:$AA$601,MATCH($A153,CONTRATOS!$A$2:$A$601,0)),""))</f>
        <v/>
      </c>
      <c r="N153" s="19">
        <f>IF($A153="","",SUMIFS($E$2:$E$601,$A$2:$A$601,$A153))</f>
        <v/>
      </c>
      <c r="O153" s="12">
        <f>IF($A153="","",IFERROR(INDEX(CONTRATOS!$F$2:$F$601,MATCH($A153,CONTRATOS!$A$2:$A$601,0)),""))</f>
        <v/>
      </c>
      <c r="P153" s="12">
        <f>IF($A153="","",IFERROR(INDEX(CONTRATOS!$M$2:$M$601,MATCH($A153,CONTRATOS!$A$2:$A$601,0)),""))</f>
        <v/>
      </c>
      <c r="Q153" s="12">
        <f>IF($A153="","",IF(COUNTIF(CONTRATOS!$A$2:$A$601,$A153)=0,"El contrato no existe en CONTRATOS; ","")&amp;IF($B153="","Falta sujeto; ",IF(COUNTIF(SUJETOS!$A$2:$A$601,$B153)=0,"El sujeto no existe en SUJETOS; ",""))&amp;IF($E153="","Falta porcentaje; ","")&amp;IF(N153&gt;1.0001,"Los porcentajes del contrato suman más de 100 %; ","")&amp;IF(AND($C153="Individual",$E153&lt;&gt;"",$E153&lt;&gt;1),"Individual debe ser 100 %; ","")&amp;IF(AND($C153&lt;&gt;"Individual",$C153&lt;&gt;"",$E153=1),"Consorcio o UT con 100 %: revise; ","")&amp;IF(COUNTIFS($A$2:$A$601,$A153,$B$2:$B$601,$B153)&gt;1,"Participación repetida; ","")&amp;IF(AND(IFERROR(INDEX(SUJETOS!$B$2:$B$601,MATCH($B153,SUJETOS!$A$2:$A$601,0)),"")="Persona natural",$G153=""),"Persona natural sin cargo; ",""))</f>
        <v/>
      </c>
      <c r="R153" s="12">
        <f>IF($A153="","",IFERROR(IF(LEN(INDEX(SUJETOS!$F$2:$F$601,MATCH($B153,SUJETOS!$A$2:$A$601,0)))&gt;0,INDEX(SUJETOS!$F$2:$F$601,MATCH($B153,SUJETOS!$A$2:$A$601,0)),$B153),$B153))</f>
        <v/>
      </c>
    </row>
    <row r="154">
      <c r="E154" s="18" t="n"/>
      <c r="K154" s="13">
        <f>IF(OR($A154="",$E154=""),"",IFERROR(E154*INDEX(CONTRATOS!$P$2:$P$601,MATCH($A154,CONTRATOS!$A$2:$A$601,0)),""))</f>
        <v/>
      </c>
      <c r="L154" s="17">
        <f>IF(OR($A154="",$E154=""),"",IFERROR(E154*INDEX(CONTRATOS!$Z$2:$Z$601,MATCH($A154,CONTRATOS!$A$2:$A$601,0)),""))</f>
        <v/>
      </c>
      <c r="M154" s="13">
        <f>IF(OR($A154="",$E154=""),"",IFERROR(E154*INDEX(CONTRATOS!$AA$2:$AA$601,MATCH($A154,CONTRATOS!$A$2:$A$601,0)),""))</f>
        <v/>
      </c>
      <c r="N154" s="19">
        <f>IF($A154="","",SUMIFS($E$2:$E$601,$A$2:$A$601,$A154))</f>
        <v/>
      </c>
      <c r="O154" s="12">
        <f>IF($A154="","",IFERROR(INDEX(CONTRATOS!$F$2:$F$601,MATCH($A154,CONTRATOS!$A$2:$A$601,0)),""))</f>
        <v/>
      </c>
      <c r="P154" s="12">
        <f>IF($A154="","",IFERROR(INDEX(CONTRATOS!$M$2:$M$601,MATCH($A154,CONTRATOS!$A$2:$A$601,0)),""))</f>
        <v/>
      </c>
      <c r="Q154" s="12">
        <f>IF($A154="","",IF(COUNTIF(CONTRATOS!$A$2:$A$601,$A154)=0,"El contrato no existe en CONTRATOS; ","")&amp;IF($B154="","Falta sujeto; ",IF(COUNTIF(SUJETOS!$A$2:$A$601,$B154)=0,"El sujeto no existe en SUJETOS; ",""))&amp;IF($E154="","Falta porcentaje; ","")&amp;IF(N154&gt;1.0001,"Los porcentajes del contrato suman más de 100 %; ","")&amp;IF(AND($C154="Individual",$E154&lt;&gt;"",$E154&lt;&gt;1),"Individual debe ser 100 %; ","")&amp;IF(AND($C154&lt;&gt;"Individual",$C154&lt;&gt;"",$E154=1),"Consorcio o UT con 100 %: revise; ","")&amp;IF(COUNTIFS($A$2:$A$601,$A154,$B$2:$B$601,$B154)&gt;1,"Participación repetida; ","")&amp;IF(AND(IFERROR(INDEX(SUJETOS!$B$2:$B$601,MATCH($B154,SUJETOS!$A$2:$A$601,0)),"")="Persona natural",$G154=""),"Persona natural sin cargo; ",""))</f>
        <v/>
      </c>
      <c r="R154" s="12">
        <f>IF($A154="","",IFERROR(IF(LEN(INDEX(SUJETOS!$F$2:$F$601,MATCH($B154,SUJETOS!$A$2:$A$601,0)))&gt;0,INDEX(SUJETOS!$F$2:$F$601,MATCH($B154,SUJETOS!$A$2:$A$601,0)),$B154),$B154))</f>
        <v/>
      </c>
    </row>
    <row r="155">
      <c r="E155" s="18" t="n"/>
      <c r="K155" s="13">
        <f>IF(OR($A155="",$E155=""),"",IFERROR(E155*INDEX(CONTRATOS!$P$2:$P$601,MATCH($A155,CONTRATOS!$A$2:$A$601,0)),""))</f>
        <v/>
      </c>
      <c r="L155" s="17">
        <f>IF(OR($A155="",$E155=""),"",IFERROR(E155*INDEX(CONTRATOS!$Z$2:$Z$601,MATCH($A155,CONTRATOS!$A$2:$A$601,0)),""))</f>
        <v/>
      </c>
      <c r="M155" s="13">
        <f>IF(OR($A155="",$E155=""),"",IFERROR(E155*INDEX(CONTRATOS!$AA$2:$AA$601,MATCH($A155,CONTRATOS!$A$2:$A$601,0)),""))</f>
        <v/>
      </c>
      <c r="N155" s="19">
        <f>IF($A155="","",SUMIFS($E$2:$E$601,$A$2:$A$601,$A155))</f>
        <v/>
      </c>
      <c r="O155" s="12">
        <f>IF($A155="","",IFERROR(INDEX(CONTRATOS!$F$2:$F$601,MATCH($A155,CONTRATOS!$A$2:$A$601,0)),""))</f>
        <v/>
      </c>
      <c r="P155" s="12">
        <f>IF($A155="","",IFERROR(INDEX(CONTRATOS!$M$2:$M$601,MATCH($A155,CONTRATOS!$A$2:$A$601,0)),""))</f>
        <v/>
      </c>
      <c r="Q155" s="12">
        <f>IF($A155="","",IF(COUNTIF(CONTRATOS!$A$2:$A$601,$A155)=0,"El contrato no existe en CONTRATOS; ","")&amp;IF($B155="","Falta sujeto; ",IF(COUNTIF(SUJETOS!$A$2:$A$601,$B155)=0,"El sujeto no existe en SUJETOS; ",""))&amp;IF($E155="","Falta porcentaje; ","")&amp;IF(N155&gt;1.0001,"Los porcentajes del contrato suman más de 100 %; ","")&amp;IF(AND($C155="Individual",$E155&lt;&gt;"",$E155&lt;&gt;1),"Individual debe ser 100 %; ","")&amp;IF(AND($C155&lt;&gt;"Individual",$C155&lt;&gt;"",$E155=1),"Consorcio o UT con 100 %: revise; ","")&amp;IF(COUNTIFS($A$2:$A$601,$A155,$B$2:$B$601,$B155)&gt;1,"Participación repetida; ","")&amp;IF(AND(IFERROR(INDEX(SUJETOS!$B$2:$B$601,MATCH($B155,SUJETOS!$A$2:$A$601,0)),"")="Persona natural",$G155=""),"Persona natural sin cargo; ",""))</f>
        <v/>
      </c>
      <c r="R155" s="12">
        <f>IF($A155="","",IFERROR(IF(LEN(INDEX(SUJETOS!$F$2:$F$601,MATCH($B155,SUJETOS!$A$2:$A$601,0)))&gt;0,INDEX(SUJETOS!$F$2:$F$601,MATCH($B155,SUJETOS!$A$2:$A$601,0)),$B155),$B155))</f>
        <v/>
      </c>
    </row>
    <row r="156">
      <c r="E156" s="18" t="n"/>
      <c r="K156" s="13">
        <f>IF(OR($A156="",$E156=""),"",IFERROR(E156*INDEX(CONTRATOS!$P$2:$P$601,MATCH($A156,CONTRATOS!$A$2:$A$601,0)),""))</f>
        <v/>
      </c>
      <c r="L156" s="17">
        <f>IF(OR($A156="",$E156=""),"",IFERROR(E156*INDEX(CONTRATOS!$Z$2:$Z$601,MATCH($A156,CONTRATOS!$A$2:$A$601,0)),""))</f>
        <v/>
      </c>
      <c r="M156" s="13">
        <f>IF(OR($A156="",$E156=""),"",IFERROR(E156*INDEX(CONTRATOS!$AA$2:$AA$601,MATCH($A156,CONTRATOS!$A$2:$A$601,0)),""))</f>
        <v/>
      </c>
      <c r="N156" s="19">
        <f>IF($A156="","",SUMIFS($E$2:$E$601,$A$2:$A$601,$A156))</f>
        <v/>
      </c>
      <c r="O156" s="12">
        <f>IF($A156="","",IFERROR(INDEX(CONTRATOS!$F$2:$F$601,MATCH($A156,CONTRATOS!$A$2:$A$601,0)),""))</f>
        <v/>
      </c>
      <c r="P156" s="12">
        <f>IF($A156="","",IFERROR(INDEX(CONTRATOS!$M$2:$M$601,MATCH($A156,CONTRATOS!$A$2:$A$601,0)),""))</f>
        <v/>
      </c>
      <c r="Q156" s="12">
        <f>IF($A156="","",IF(COUNTIF(CONTRATOS!$A$2:$A$601,$A156)=0,"El contrato no existe en CONTRATOS; ","")&amp;IF($B156="","Falta sujeto; ",IF(COUNTIF(SUJETOS!$A$2:$A$601,$B156)=0,"El sujeto no existe en SUJETOS; ",""))&amp;IF($E156="","Falta porcentaje; ","")&amp;IF(N156&gt;1.0001,"Los porcentajes del contrato suman más de 100 %; ","")&amp;IF(AND($C156="Individual",$E156&lt;&gt;"",$E156&lt;&gt;1),"Individual debe ser 100 %; ","")&amp;IF(AND($C156&lt;&gt;"Individual",$C156&lt;&gt;"",$E156=1),"Consorcio o UT con 100 %: revise; ","")&amp;IF(COUNTIFS($A$2:$A$601,$A156,$B$2:$B$601,$B156)&gt;1,"Participación repetida; ","")&amp;IF(AND(IFERROR(INDEX(SUJETOS!$B$2:$B$601,MATCH($B156,SUJETOS!$A$2:$A$601,0)),"")="Persona natural",$G156=""),"Persona natural sin cargo; ",""))</f>
        <v/>
      </c>
      <c r="R156" s="12">
        <f>IF($A156="","",IFERROR(IF(LEN(INDEX(SUJETOS!$F$2:$F$601,MATCH($B156,SUJETOS!$A$2:$A$601,0)))&gt;0,INDEX(SUJETOS!$F$2:$F$601,MATCH($B156,SUJETOS!$A$2:$A$601,0)),$B156),$B156))</f>
        <v/>
      </c>
    </row>
    <row r="157">
      <c r="E157" s="18" t="n"/>
      <c r="K157" s="13">
        <f>IF(OR($A157="",$E157=""),"",IFERROR(E157*INDEX(CONTRATOS!$P$2:$P$601,MATCH($A157,CONTRATOS!$A$2:$A$601,0)),""))</f>
        <v/>
      </c>
      <c r="L157" s="17">
        <f>IF(OR($A157="",$E157=""),"",IFERROR(E157*INDEX(CONTRATOS!$Z$2:$Z$601,MATCH($A157,CONTRATOS!$A$2:$A$601,0)),""))</f>
        <v/>
      </c>
      <c r="M157" s="13">
        <f>IF(OR($A157="",$E157=""),"",IFERROR(E157*INDEX(CONTRATOS!$AA$2:$AA$601,MATCH($A157,CONTRATOS!$A$2:$A$601,0)),""))</f>
        <v/>
      </c>
      <c r="N157" s="19">
        <f>IF($A157="","",SUMIFS($E$2:$E$601,$A$2:$A$601,$A157))</f>
        <v/>
      </c>
      <c r="O157" s="12">
        <f>IF($A157="","",IFERROR(INDEX(CONTRATOS!$F$2:$F$601,MATCH($A157,CONTRATOS!$A$2:$A$601,0)),""))</f>
        <v/>
      </c>
      <c r="P157" s="12">
        <f>IF($A157="","",IFERROR(INDEX(CONTRATOS!$M$2:$M$601,MATCH($A157,CONTRATOS!$A$2:$A$601,0)),""))</f>
        <v/>
      </c>
      <c r="Q157" s="12">
        <f>IF($A157="","",IF(COUNTIF(CONTRATOS!$A$2:$A$601,$A157)=0,"El contrato no existe en CONTRATOS; ","")&amp;IF($B157="","Falta sujeto; ",IF(COUNTIF(SUJETOS!$A$2:$A$601,$B157)=0,"El sujeto no existe en SUJETOS; ",""))&amp;IF($E157="","Falta porcentaje; ","")&amp;IF(N157&gt;1.0001,"Los porcentajes del contrato suman más de 100 %; ","")&amp;IF(AND($C157="Individual",$E157&lt;&gt;"",$E157&lt;&gt;1),"Individual debe ser 100 %; ","")&amp;IF(AND($C157&lt;&gt;"Individual",$C157&lt;&gt;"",$E157=1),"Consorcio o UT con 100 %: revise; ","")&amp;IF(COUNTIFS($A$2:$A$601,$A157,$B$2:$B$601,$B157)&gt;1,"Participación repetida; ","")&amp;IF(AND(IFERROR(INDEX(SUJETOS!$B$2:$B$601,MATCH($B157,SUJETOS!$A$2:$A$601,0)),"")="Persona natural",$G157=""),"Persona natural sin cargo; ",""))</f>
        <v/>
      </c>
      <c r="R157" s="12">
        <f>IF($A157="","",IFERROR(IF(LEN(INDEX(SUJETOS!$F$2:$F$601,MATCH($B157,SUJETOS!$A$2:$A$601,0)))&gt;0,INDEX(SUJETOS!$F$2:$F$601,MATCH($B157,SUJETOS!$A$2:$A$601,0)),$B157),$B157))</f>
        <v/>
      </c>
    </row>
    <row r="158">
      <c r="E158" s="18" t="n"/>
      <c r="K158" s="13">
        <f>IF(OR($A158="",$E158=""),"",IFERROR(E158*INDEX(CONTRATOS!$P$2:$P$601,MATCH($A158,CONTRATOS!$A$2:$A$601,0)),""))</f>
        <v/>
      </c>
      <c r="L158" s="17">
        <f>IF(OR($A158="",$E158=""),"",IFERROR(E158*INDEX(CONTRATOS!$Z$2:$Z$601,MATCH($A158,CONTRATOS!$A$2:$A$601,0)),""))</f>
        <v/>
      </c>
      <c r="M158" s="13">
        <f>IF(OR($A158="",$E158=""),"",IFERROR(E158*INDEX(CONTRATOS!$AA$2:$AA$601,MATCH($A158,CONTRATOS!$A$2:$A$601,0)),""))</f>
        <v/>
      </c>
      <c r="N158" s="19">
        <f>IF($A158="","",SUMIFS($E$2:$E$601,$A$2:$A$601,$A158))</f>
        <v/>
      </c>
      <c r="O158" s="12">
        <f>IF($A158="","",IFERROR(INDEX(CONTRATOS!$F$2:$F$601,MATCH($A158,CONTRATOS!$A$2:$A$601,0)),""))</f>
        <v/>
      </c>
      <c r="P158" s="12">
        <f>IF($A158="","",IFERROR(INDEX(CONTRATOS!$M$2:$M$601,MATCH($A158,CONTRATOS!$A$2:$A$601,0)),""))</f>
        <v/>
      </c>
      <c r="Q158" s="12">
        <f>IF($A158="","",IF(COUNTIF(CONTRATOS!$A$2:$A$601,$A158)=0,"El contrato no existe en CONTRATOS; ","")&amp;IF($B158="","Falta sujeto; ",IF(COUNTIF(SUJETOS!$A$2:$A$601,$B158)=0,"El sujeto no existe en SUJETOS; ",""))&amp;IF($E158="","Falta porcentaje; ","")&amp;IF(N158&gt;1.0001,"Los porcentajes del contrato suman más de 100 %; ","")&amp;IF(AND($C158="Individual",$E158&lt;&gt;"",$E158&lt;&gt;1),"Individual debe ser 100 %; ","")&amp;IF(AND($C158&lt;&gt;"Individual",$C158&lt;&gt;"",$E158=1),"Consorcio o UT con 100 %: revise; ","")&amp;IF(COUNTIFS($A$2:$A$601,$A158,$B$2:$B$601,$B158)&gt;1,"Participación repetida; ","")&amp;IF(AND(IFERROR(INDEX(SUJETOS!$B$2:$B$601,MATCH($B158,SUJETOS!$A$2:$A$601,0)),"")="Persona natural",$G158=""),"Persona natural sin cargo; ",""))</f>
        <v/>
      </c>
      <c r="R158" s="12">
        <f>IF($A158="","",IFERROR(IF(LEN(INDEX(SUJETOS!$F$2:$F$601,MATCH($B158,SUJETOS!$A$2:$A$601,0)))&gt;0,INDEX(SUJETOS!$F$2:$F$601,MATCH($B158,SUJETOS!$A$2:$A$601,0)),$B158),$B158))</f>
        <v/>
      </c>
    </row>
    <row r="159">
      <c r="E159" s="18" t="n"/>
      <c r="K159" s="13">
        <f>IF(OR($A159="",$E159=""),"",IFERROR(E159*INDEX(CONTRATOS!$P$2:$P$601,MATCH($A159,CONTRATOS!$A$2:$A$601,0)),""))</f>
        <v/>
      </c>
      <c r="L159" s="17">
        <f>IF(OR($A159="",$E159=""),"",IFERROR(E159*INDEX(CONTRATOS!$Z$2:$Z$601,MATCH($A159,CONTRATOS!$A$2:$A$601,0)),""))</f>
        <v/>
      </c>
      <c r="M159" s="13">
        <f>IF(OR($A159="",$E159=""),"",IFERROR(E159*INDEX(CONTRATOS!$AA$2:$AA$601,MATCH($A159,CONTRATOS!$A$2:$A$601,0)),""))</f>
        <v/>
      </c>
      <c r="N159" s="19">
        <f>IF($A159="","",SUMIFS($E$2:$E$601,$A$2:$A$601,$A159))</f>
        <v/>
      </c>
      <c r="O159" s="12">
        <f>IF($A159="","",IFERROR(INDEX(CONTRATOS!$F$2:$F$601,MATCH($A159,CONTRATOS!$A$2:$A$601,0)),""))</f>
        <v/>
      </c>
      <c r="P159" s="12">
        <f>IF($A159="","",IFERROR(INDEX(CONTRATOS!$M$2:$M$601,MATCH($A159,CONTRATOS!$A$2:$A$601,0)),""))</f>
        <v/>
      </c>
      <c r="Q159" s="12">
        <f>IF($A159="","",IF(COUNTIF(CONTRATOS!$A$2:$A$601,$A159)=0,"El contrato no existe en CONTRATOS; ","")&amp;IF($B159="","Falta sujeto; ",IF(COUNTIF(SUJETOS!$A$2:$A$601,$B159)=0,"El sujeto no existe en SUJETOS; ",""))&amp;IF($E159="","Falta porcentaje; ","")&amp;IF(N159&gt;1.0001,"Los porcentajes del contrato suman más de 100 %; ","")&amp;IF(AND($C159="Individual",$E159&lt;&gt;"",$E159&lt;&gt;1),"Individual debe ser 100 %; ","")&amp;IF(AND($C159&lt;&gt;"Individual",$C159&lt;&gt;"",$E159=1),"Consorcio o UT con 100 %: revise; ","")&amp;IF(COUNTIFS($A$2:$A$601,$A159,$B$2:$B$601,$B159)&gt;1,"Participación repetida; ","")&amp;IF(AND(IFERROR(INDEX(SUJETOS!$B$2:$B$601,MATCH($B159,SUJETOS!$A$2:$A$601,0)),"")="Persona natural",$G159=""),"Persona natural sin cargo; ",""))</f>
        <v/>
      </c>
      <c r="R159" s="12">
        <f>IF($A159="","",IFERROR(IF(LEN(INDEX(SUJETOS!$F$2:$F$601,MATCH($B159,SUJETOS!$A$2:$A$601,0)))&gt;0,INDEX(SUJETOS!$F$2:$F$601,MATCH($B159,SUJETOS!$A$2:$A$601,0)),$B159),$B159))</f>
        <v/>
      </c>
    </row>
    <row r="160">
      <c r="E160" s="18" t="n"/>
      <c r="K160" s="13">
        <f>IF(OR($A160="",$E160=""),"",IFERROR(E160*INDEX(CONTRATOS!$P$2:$P$601,MATCH($A160,CONTRATOS!$A$2:$A$601,0)),""))</f>
        <v/>
      </c>
      <c r="L160" s="17">
        <f>IF(OR($A160="",$E160=""),"",IFERROR(E160*INDEX(CONTRATOS!$Z$2:$Z$601,MATCH($A160,CONTRATOS!$A$2:$A$601,0)),""))</f>
        <v/>
      </c>
      <c r="M160" s="13">
        <f>IF(OR($A160="",$E160=""),"",IFERROR(E160*INDEX(CONTRATOS!$AA$2:$AA$601,MATCH($A160,CONTRATOS!$A$2:$A$601,0)),""))</f>
        <v/>
      </c>
      <c r="N160" s="19">
        <f>IF($A160="","",SUMIFS($E$2:$E$601,$A$2:$A$601,$A160))</f>
        <v/>
      </c>
      <c r="O160" s="12">
        <f>IF($A160="","",IFERROR(INDEX(CONTRATOS!$F$2:$F$601,MATCH($A160,CONTRATOS!$A$2:$A$601,0)),""))</f>
        <v/>
      </c>
      <c r="P160" s="12">
        <f>IF($A160="","",IFERROR(INDEX(CONTRATOS!$M$2:$M$601,MATCH($A160,CONTRATOS!$A$2:$A$601,0)),""))</f>
        <v/>
      </c>
      <c r="Q160" s="12">
        <f>IF($A160="","",IF(COUNTIF(CONTRATOS!$A$2:$A$601,$A160)=0,"El contrato no existe en CONTRATOS; ","")&amp;IF($B160="","Falta sujeto; ",IF(COUNTIF(SUJETOS!$A$2:$A$601,$B160)=0,"El sujeto no existe en SUJETOS; ",""))&amp;IF($E160="","Falta porcentaje; ","")&amp;IF(N160&gt;1.0001,"Los porcentajes del contrato suman más de 100 %; ","")&amp;IF(AND($C160="Individual",$E160&lt;&gt;"",$E160&lt;&gt;1),"Individual debe ser 100 %; ","")&amp;IF(AND($C160&lt;&gt;"Individual",$C160&lt;&gt;"",$E160=1),"Consorcio o UT con 100 %: revise; ","")&amp;IF(COUNTIFS($A$2:$A$601,$A160,$B$2:$B$601,$B160)&gt;1,"Participación repetida; ","")&amp;IF(AND(IFERROR(INDEX(SUJETOS!$B$2:$B$601,MATCH($B160,SUJETOS!$A$2:$A$601,0)),"")="Persona natural",$G160=""),"Persona natural sin cargo; ",""))</f>
        <v/>
      </c>
      <c r="R160" s="12">
        <f>IF($A160="","",IFERROR(IF(LEN(INDEX(SUJETOS!$F$2:$F$601,MATCH($B160,SUJETOS!$A$2:$A$601,0)))&gt;0,INDEX(SUJETOS!$F$2:$F$601,MATCH($B160,SUJETOS!$A$2:$A$601,0)),$B160),$B160))</f>
        <v/>
      </c>
    </row>
    <row r="161">
      <c r="E161" s="18" t="n"/>
      <c r="K161" s="13">
        <f>IF(OR($A161="",$E161=""),"",IFERROR(E161*INDEX(CONTRATOS!$P$2:$P$601,MATCH($A161,CONTRATOS!$A$2:$A$601,0)),""))</f>
        <v/>
      </c>
      <c r="L161" s="17">
        <f>IF(OR($A161="",$E161=""),"",IFERROR(E161*INDEX(CONTRATOS!$Z$2:$Z$601,MATCH($A161,CONTRATOS!$A$2:$A$601,0)),""))</f>
        <v/>
      </c>
      <c r="M161" s="13">
        <f>IF(OR($A161="",$E161=""),"",IFERROR(E161*INDEX(CONTRATOS!$AA$2:$AA$601,MATCH($A161,CONTRATOS!$A$2:$A$601,0)),""))</f>
        <v/>
      </c>
      <c r="N161" s="19">
        <f>IF($A161="","",SUMIFS($E$2:$E$601,$A$2:$A$601,$A161))</f>
        <v/>
      </c>
      <c r="O161" s="12">
        <f>IF($A161="","",IFERROR(INDEX(CONTRATOS!$F$2:$F$601,MATCH($A161,CONTRATOS!$A$2:$A$601,0)),""))</f>
        <v/>
      </c>
      <c r="P161" s="12">
        <f>IF($A161="","",IFERROR(INDEX(CONTRATOS!$M$2:$M$601,MATCH($A161,CONTRATOS!$A$2:$A$601,0)),""))</f>
        <v/>
      </c>
      <c r="Q161" s="12">
        <f>IF($A161="","",IF(COUNTIF(CONTRATOS!$A$2:$A$601,$A161)=0,"El contrato no existe en CONTRATOS; ","")&amp;IF($B161="","Falta sujeto; ",IF(COUNTIF(SUJETOS!$A$2:$A$601,$B161)=0,"El sujeto no existe en SUJETOS; ",""))&amp;IF($E161="","Falta porcentaje; ","")&amp;IF(N161&gt;1.0001,"Los porcentajes del contrato suman más de 100 %; ","")&amp;IF(AND($C161="Individual",$E161&lt;&gt;"",$E161&lt;&gt;1),"Individual debe ser 100 %; ","")&amp;IF(AND($C161&lt;&gt;"Individual",$C161&lt;&gt;"",$E161=1),"Consorcio o UT con 100 %: revise; ","")&amp;IF(COUNTIFS($A$2:$A$601,$A161,$B$2:$B$601,$B161)&gt;1,"Participación repetida; ","")&amp;IF(AND(IFERROR(INDEX(SUJETOS!$B$2:$B$601,MATCH($B161,SUJETOS!$A$2:$A$601,0)),"")="Persona natural",$G161=""),"Persona natural sin cargo; ",""))</f>
        <v/>
      </c>
      <c r="R161" s="12">
        <f>IF($A161="","",IFERROR(IF(LEN(INDEX(SUJETOS!$F$2:$F$601,MATCH($B161,SUJETOS!$A$2:$A$601,0)))&gt;0,INDEX(SUJETOS!$F$2:$F$601,MATCH($B161,SUJETOS!$A$2:$A$601,0)),$B161),$B161))</f>
        <v/>
      </c>
    </row>
    <row r="162">
      <c r="E162" s="18" t="n"/>
      <c r="K162" s="13">
        <f>IF(OR($A162="",$E162=""),"",IFERROR(E162*INDEX(CONTRATOS!$P$2:$P$601,MATCH($A162,CONTRATOS!$A$2:$A$601,0)),""))</f>
        <v/>
      </c>
      <c r="L162" s="17">
        <f>IF(OR($A162="",$E162=""),"",IFERROR(E162*INDEX(CONTRATOS!$Z$2:$Z$601,MATCH($A162,CONTRATOS!$A$2:$A$601,0)),""))</f>
        <v/>
      </c>
      <c r="M162" s="13">
        <f>IF(OR($A162="",$E162=""),"",IFERROR(E162*INDEX(CONTRATOS!$AA$2:$AA$601,MATCH($A162,CONTRATOS!$A$2:$A$601,0)),""))</f>
        <v/>
      </c>
      <c r="N162" s="19">
        <f>IF($A162="","",SUMIFS($E$2:$E$601,$A$2:$A$601,$A162))</f>
        <v/>
      </c>
      <c r="O162" s="12">
        <f>IF($A162="","",IFERROR(INDEX(CONTRATOS!$F$2:$F$601,MATCH($A162,CONTRATOS!$A$2:$A$601,0)),""))</f>
        <v/>
      </c>
      <c r="P162" s="12">
        <f>IF($A162="","",IFERROR(INDEX(CONTRATOS!$M$2:$M$601,MATCH($A162,CONTRATOS!$A$2:$A$601,0)),""))</f>
        <v/>
      </c>
      <c r="Q162" s="12">
        <f>IF($A162="","",IF(COUNTIF(CONTRATOS!$A$2:$A$601,$A162)=0,"El contrato no existe en CONTRATOS; ","")&amp;IF($B162="","Falta sujeto; ",IF(COUNTIF(SUJETOS!$A$2:$A$601,$B162)=0,"El sujeto no existe en SUJETOS; ",""))&amp;IF($E162="","Falta porcentaje; ","")&amp;IF(N162&gt;1.0001,"Los porcentajes del contrato suman más de 100 %; ","")&amp;IF(AND($C162="Individual",$E162&lt;&gt;"",$E162&lt;&gt;1),"Individual debe ser 100 %; ","")&amp;IF(AND($C162&lt;&gt;"Individual",$C162&lt;&gt;"",$E162=1),"Consorcio o UT con 100 %: revise; ","")&amp;IF(COUNTIFS($A$2:$A$601,$A162,$B$2:$B$601,$B162)&gt;1,"Participación repetida; ","")&amp;IF(AND(IFERROR(INDEX(SUJETOS!$B$2:$B$601,MATCH($B162,SUJETOS!$A$2:$A$601,0)),"")="Persona natural",$G162=""),"Persona natural sin cargo; ",""))</f>
        <v/>
      </c>
      <c r="R162" s="12">
        <f>IF($A162="","",IFERROR(IF(LEN(INDEX(SUJETOS!$F$2:$F$601,MATCH($B162,SUJETOS!$A$2:$A$601,0)))&gt;0,INDEX(SUJETOS!$F$2:$F$601,MATCH($B162,SUJETOS!$A$2:$A$601,0)),$B162),$B162))</f>
        <v/>
      </c>
    </row>
    <row r="163">
      <c r="E163" s="18" t="n"/>
      <c r="K163" s="13">
        <f>IF(OR($A163="",$E163=""),"",IFERROR(E163*INDEX(CONTRATOS!$P$2:$P$601,MATCH($A163,CONTRATOS!$A$2:$A$601,0)),""))</f>
        <v/>
      </c>
      <c r="L163" s="17">
        <f>IF(OR($A163="",$E163=""),"",IFERROR(E163*INDEX(CONTRATOS!$Z$2:$Z$601,MATCH($A163,CONTRATOS!$A$2:$A$601,0)),""))</f>
        <v/>
      </c>
      <c r="M163" s="13">
        <f>IF(OR($A163="",$E163=""),"",IFERROR(E163*INDEX(CONTRATOS!$AA$2:$AA$601,MATCH($A163,CONTRATOS!$A$2:$A$601,0)),""))</f>
        <v/>
      </c>
      <c r="N163" s="19">
        <f>IF($A163="","",SUMIFS($E$2:$E$601,$A$2:$A$601,$A163))</f>
        <v/>
      </c>
      <c r="O163" s="12">
        <f>IF($A163="","",IFERROR(INDEX(CONTRATOS!$F$2:$F$601,MATCH($A163,CONTRATOS!$A$2:$A$601,0)),""))</f>
        <v/>
      </c>
      <c r="P163" s="12">
        <f>IF($A163="","",IFERROR(INDEX(CONTRATOS!$M$2:$M$601,MATCH($A163,CONTRATOS!$A$2:$A$601,0)),""))</f>
        <v/>
      </c>
      <c r="Q163" s="12">
        <f>IF($A163="","",IF(COUNTIF(CONTRATOS!$A$2:$A$601,$A163)=0,"El contrato no existe en CONTRATOS; ","")&amp;IF($B163="","Falta sujeto; ",IF(COUNTIF(SUJETOS!$A$2:$A$601,$B163)=0,"El sujeto no existe en SUJETOS; ",""))&amp;IF($E163="","Falta porcentaje; ","")&amp;IF(N163&gt;1.0001,"Los porcentajes del contrato suman más de 100 %; ","")&amp;IF(AND($C163="Individual",$E163&lt;&gt;"",$E163&lt;&gt;1),"Individual debe ser 100 %; ","")&amp;IF(AND($C163&lt;&gt;"Individual",$C163&lt;&gt;"",$E163=1),"Consorcio o UT con 100 %: revise; ","")&amp;IF(COUNTIFS($A$2:$A$601,$A163,$B$2:$B$601,$B163)&gt;1,"Participación repetida; ","")&amp;IF(AND(IFERROR(INDEX(SUJETOS!$B$2:$B$601,MATCH($B163,SUJETOS!$A$2:$A$601,0)),"")="Persona natural",$G163=""),"Persona natural sin cargo; ",""))</f>
        <v/>
      </c>
      <c r="R163" s="12">
        <f>IF($A163="","",IFERROR(IF(LEN(INDEX(SUJETOS!$F$2:$F$601,MATCH($B163,SUJETOS!$A$2:$A$601,0)))&gt;0,INDEX(SUJETOS!$F$2:$F$601,MATCH($B163,SUJETOS!$A$2:$A$601,0)),$B163),$B163))</f>
        <v/>
      </c>
    </row>
    <row r="164">
      <c r="E164" s="18" t="n"/>
      <c r="K164" s="13">
        <f>IF(OR($A164="",$E164=""),"",IFERROR(E164*INDEX(CONTRATOS!$P$2:$P$601,MATCH($A164,CONTRATOS!$A$2:$A$601,0)),""))</f>
        <v/>
      </c>
      <c r="L164" s="17">
        <f>IF(OR($A164="",$E164=""),"",IFERROR(E164*INDEX(CONTRATOS!$Z$2:$Z$601,MATCH($A164,CONTRATOS!$A$2:$A$601,0)),""))</f>
        <v/>
      </c>
      <c r="M164" s="13">
        <f>IF(OR($A164="",$E164=""),"",IFERROR(E164*INDEX(CONTRATOS!$AA$2:$AA$601,MATCH($A164,CONTRATOS!$A$2:$A$601,0)),""))</f>
        <v/>
      </c>
      <c r="N164" s="19">
        <f>IF($A164="","",SUMIFS($E$2:$E$601,$A$2:$A$601,$A164))</f>
        <v/>
      </c>
      <c r="O164" s="12">
        <f>IF($A164="","",IFERROR(INDEX(CONTRATOS!$F$2:$F$601,MATCH($A164,CONTRATOS!$A$2:$A$601,0)),""))</f>
        <v/>
      </c>
      <c r="P164" s="12">
        <f>IF($A164="","",IFERROR(INDEX(CONTRATOS!$M$2:$M$601,MATCH($A164,CONTRATOS!$A$2:$A$601,0)),""))</f>
        <v/>
      </c>
      <c r="Q164" s="12">
        <f>IF($A164="","",IF(COUNTIF(CONTRATOS!$A$2:$A$601,$A164)=0,"El contrato no existe en CONTRATOS; ","")&amp;IF($B164="","Falta sujeto; ",IF(COUNTIF(SUJETOS!$A$2:$A$601,$B164)=0,"El sujeto no existe en SUJETOS; ",""))&amp;IF($E164="","Falta porcentaje; ","")&amp;IF(N164&gt;1.0001,"Los porcentajes del contrato suman más de 100 %; ","")&amp;IF(AND($C164="Individual",$E164&lt;&gt;"",$E164&lt;&gt;1),"Individual debe ser 100 %; ","")&amp;IF(AND($C164&lt;&gt;"Individual",$C164&lt;&gt;"",$E164=1),"Consorcio o UT con 100 %: revise; ","")&amp;IF(COUNTIFS($A$2:$A$601,$A164,$B$2:$B$601,$B164)&gt;1,"Participación repetida; ","")&amp;IF(AND(IFERROR(INDEX(SUJETOS!$B$2:$B$601,MATCH($B164,SUJETOS!$A$2:$A$601,0)),"")="Persona natural",$G164=""),"Persona natural sin cargo; ",""))</f>
        <v/>
      </c>
      <c r="R164" s="12">
        <f>IF($A164="","",IFERROR(IF(LEN(INDEX(SUJETOS!$F$2:$F$601,MATCH($B164,SUJETOS!$A$2:$A$601,0)))&gt;0,INDEX(SUJETOS!$F$2:$F$601,MATCH($B164,SUJETOS!$A$2:$A$601,0)),$B164),$B164))</f>
        <v/>
      </c>
    </row>
    <row r="165">
      <c r="E165" s="18" t="n"/>
      <c r="K165" s="13">
        <f>IF(OR($A165="",$E165=""),"",IFERROR(E165*INDEX(CONTRATOS!$P$2:$P$601,MATCH($A165,CONTRATOS!$A$2:$A$601,0)),""))</f>
        <v/>
      </c>
      <c r="L165" s="17">
        <f>IF(OR($A165="",$E165=""),"",IFERROR(E165*INDEX(CONTRATOS!$Z$2:$Z$601,MATCH($A165,CONTRATOS!$A$2:$A$601,0)),""))</f>
        <v/>
      </c>
      <c r="M165" s="13">
        <f>IF(OR($A165="",$E165=""),"",IFERROR(E165*INDEX(CONTRATOS!$AA$2:$AA$601,MATCH($A165,CONTRATOS!$A$2:$A$601,0)),""))</f>
        <v/>
      </c>
      <c r="N165" s="19">
        <f>IF($A165="","",SUMIFS($E$2:$E$601,$A$2:$A$601,$A165))</f>
        <v/>
      </c>
      <c r="O165" s="12">
        <f>IF($A165="","",IFERROR(INDEX(CONTRATOS!$F$2:$F$601,MATCH($A165,CONTRATOS!$A$2:$A$601,0)),""))</f>
        <v/>
      </c>
      <c r="P165" s="12">
        <f>IF($A165="","",IFERROR(INDEX(CONTRATOS!$M$2:$M$601,MATCH($A165,CONTRATOS!$A$2:$A$601,0)),""))</f>
        <v/>
      </c>
      <c r="Q165" s="12">
        <f>IF($A165="","",IF(COUNTIF(CONTRATOS!$A$2:$A$601,$A165)=0,"El contrato no existe en CONTRATOS; ","")&amp;IF($B165="","Falta sujeto; ",IF(COUNTIF(SUJETOS!$A$2:$A$601,$B165)=0,"El sujeto no existe en SUJETOS; ",""))&amp;IF($E165="","Falta porcentaje; ","")&amp;IF(N165&gt;1.0001,"Los porcentajes del contrato suman más de 100 %; ","")&amp;IF(AND($C165="Individual",$E165&lt;&gt;"",$E165&lt;&gt;1),"Individual debe ser 100 %; ","")&amp;IF(AND($C165&lt;&gt;"Individual",$C165&lt;&gt;"",$E165=1),"Consorcio o UT con 100 %: revise; ","")&amp;IF(COUNTIFS($A$2:$A$601,$A165,$B$2:$B$601,$B165)&gt;1,"Participación repetida; ","")&amp;IF(AND(IFERROR(INDEX(SUJETOS!$B$2:$B$601,MATCH($B165,SUJETOS!$A$2:$A$601,0)),"")="Persona natural",$G165=""),"Persona natural sin cargo; ",""))</f>
        <v/>
      </c>
      <c r="R165" s="12">
        <f>IF($A165="","",IFERROR(IF(LEN(INDEX(SUJETOS!$F$2:$F$601,MATCH($B165,SUJETOS!$A$2:$A$601,0)))&gt;0,INDEX(SUJETOS!$F$2:$F$601,MATCH($B165,SUJETOS!$A$2:$A$601,0)),$B165),$B165))</f>
        <v/>
      </c>
    </row>
    <row r="166">
      <c r="E166" s="18" t="n"/>
      <c r="K166" s="13">
        <f>IF(OR($A166="",$E166=""),"",IFERROR(E166*INDEX(CONTRATOS!$P$2:$P$601,MATCH($A166,CONTRATOS!$A$2:$A$601,0)),""))</f>
        <v/>
      </c>
      <c r="L166" s="17">
        <f>IF(OR($A166="",$E166=""),"",IFERROR(E166*INDEX(CONTRATOS!$Z$2:$Z$601,MATCH($A166,CONTRATOS!$A$2:$A$601,0)),""))</f>
        <v/>
      </c>
      <c r="M166" s="13">
        <f>IF(OR($A166="",$E166=""),"",IFERROR(E166*INDEX(CONTRATOS!$AA$2:$AA$601,MATCH($A166,CONTRATOS!$A$2:$A$601,0)),""))</f>
        <v/>
      </c>
      <c r="N166" s="19">
        <f>IF($A166="","",SUMIFS($E$2:$E$601,$A$2:$A$601,$A166))</f>
        <v/>
      </c>
      <c r="O166" s="12">
        <f>IF($A166="","",IFERROR(INDEX(CONTRATOS!$F$2:$F$601,MATCH($A166,CONTRATOS!$A$2:$A$601,0)),""))</f>
        <v/>
      </c>
      <c r="P166" s="12">
        <f>IF($A166="","",IFERROR(INDEX(CONTRATOS!$M$2:$M$601,MATCH($A166,CONTRATOS!$A$2:$A$601,0)),""))</f>
        <v/>
      </c>
      <c r="Q166" s="12">
        <f>IF($A166="","",IF(COUNTIF(CONTRATOS!$A$2:$A$601,$A166)=0,"El contrato no existe en CONTRATOS; ","")&amp;IF($B166="","Falta sujeto; ",IF(COUNTIF(SUJETOS!$A$2:$A$601,$B166)=0,"El sujeto no existe en SUJETOS; ",""))&amp;IF($E166="","Falta porcentaje; ","")&amp;IF(N166&gt;1.0001,"Los porcentajes del contrato suman más de 100 %; ","")&amp;IF(AND($C166="Individual",$E166&lt;&gt;"",$E166&lt;&gt;1),"Individual debe ser 100 %; ","")&amp;IF(AND($C166&lt;&gt;"Individual",$C166&lt;&gt;"",$E166=1),"Consorcio o UT con 100 %: revise; ","")&amp;IF(COUNTIFS($A$2:$A$601,$A166,$B$2:$B$601,$B166)&gt;1,"Participación repetida; ","")&amp;IF(AND(IFERROR(INDEX(SUJETOS!$B$2:$B$601,MATCH($B166,SUJETOS!$A$2:$A$601,0)),"")="Persona natural",$G166=""),"Persona natural sin cargo; ",""))</f>
        <v/>
      </c>
      <c r="R166" s="12">
        <f>IF($A166="","",IFERROR(IF(LEN(INDEX(SUJETOS!$F$2:$F$601,MATCH($B166,SUJETOS!$A$2:$A$601,0)))&gt;0,INDEX(SUJETOS!$F$2:$F$601,MATCH($B166,SUJETOS!$A$2:$A$601,0)),$B166),$B166))</f>
        <v/>
      </c>
    </row>
    <row r="167">
      <c r="E167" s="18" t="n"/>
      <c r="K167" s="13">
        <f>IF(OR($A167="",$E167=""),"",IFERROR(E167*INDEX(CONTRATOS!$P$2:$P$601,MATCH($A167,CONTRATOS!$A$2:$A$601,0)),""))</f>
        <v/>
      </c>
      <c r="L167" s="17">
        <f>IF(OR($A167="",$E167=""),"",IFERROR(E167*INDEX(CONTRATOS!$Z$2:$Z$601,MATCH($A167,CONTRATOS!$A$2:$A$601,0)),""))</f>
        <v/>
      </c>
      <c r="M167" s="13">
        <f>IF(OR($A167="",$E167=""),"",IFERROR(E167*INDEX(CONTRATOS!$AA$2:$AA$601,MATCH($A167,CONTRATOS!$A$2:$A$601,0)),""))</f>
        <v/>
      </c>
      <c r="N167" s="19">
        <f>IF($A167="","",SUMIFS($E$2:$E$601,$A$2:$A$601,$A167))</f>
        <v/>
      </c>
      <c r="O167" s="12">
        <f>IF($A167="","",IFERROR(INDEX(CONTRATOS!$F$2:$F$601,MATCH($A167,CONTRATOS!$A$2:$A$601,0)),""))</f>
        <v/>
      </c>
      <c r="P167" s="12">
        <f>IF($A167="","",IFERROR(INDEX(CONTRATOS!$M$2:$M$601,MATCH($A167,CONTRATOS!$A$2:$A$601,0)),""))</f>
        <v/>
      </c>
      <c r="Q167" s="12">
        <f>IF($A167="","",IF(COUNTIF(CONTRATOS!$A$2:$A$601,$A167)=0,"El contrato no existe en CONTRATOS; ","")&amp;IF($B167="","Falta sujeto; ",IF(COUNTIF(SUJETOS!$A$2:$A$601,$B167)=0,"El sujeto no existe en SUJETOS; ",""))&amp;IF($E167="","Falta porcentaje; ","")&amp;IF(N167&gt;1.0001,"Los porcentajes del contrato suman más de 100 %; ","")&amp;IF(AND($C167="Individual",$E167&lt;&gt;"",$E167&lt;&gt;1),"Individual debe ser 100 %; ","")&amp;IF(AND($C167&lt;&gt;"Individual",$C167&lt;&gt;"",$E167=1),"Consorcio o UT con 100 %: revise; ","")&amp;IF(COUNTIFS($A$2:$A$601,$A167,$B$2:$B$601,$B167)&gt;1,"Participación repetida; ","")&amp;IF(AND(IFERROR(INDEX(SUJETOS!$B$2:$B$601,MATCH($B167,SUJETOS!$A$2:$A$601,0)),"")="Persona natural",$G167=""),"Persona natural sin cargo; ",""))</f>
        <v/>
      </c>
      <c r="R167" s="12">
        <f>IF($A167="","",IFERROR(IF(LEN(INDEX(SUJETOS!$F$2:$F$601,MATCH($B167,SUJETOS!$A$2:$A$601,0)))&gt;0,INDEX(SUJETOS!$F$2:$F$601,MATCH($B167,SUJETOS!$A$2:$A$601,0)),$B167),$B167))</f>
        <v/>
      </c>
    </row>
    <row r="168">
      <c r="E168" s="18" t="n"/>
      <c r="K168" s="13">
        <f>IF(OR($A168="",$E168=""),"",IFERROR(E168*INDEX(CONTRATOS!$P$2:$P$601,MATCH($A168,CONTRATOS!$A$2:$A$601,0)),""))</f>
        <v/>
      </c>
      <c r="L168" s="17">
        <f>IF(OR($A168="",$E168=""),"",IFERROR(E168*INDEX(CONTRATOS!$Z$2:$Z$601,MATCH($A168,CONTRATOS!$A$2:$A$601,0)),""))</f>
        <v/>
      </c>
      <c r="M168" s="13">
        <f>IF(OR($A168="",$E168=""),"",IFERROR(E168*INDEX(CONTRATOS!$AA$2:$AA$601,MATCH($A168,CONTRATOS!$A$2:$A$601,0)),""))</f>
        <v/>
      </c>
      <c r="N168" s="19">
        <f>IF($A168="","",SUMIFS($E$2:$E$601,$A$2:$A$601,$A168))</f>
        <v/>
      </c>
      <c r="O168" s="12">
        <f>IF($A168="","",IFERROR(INDEX(CONTRATOS!$F$2:$F$601,MATCH($A168,CONTRATOS!$A$2:$A$601,0)),""))</f>
        <v/>
      </c>
      <c r="P168" s="12">
        <f>IF($A168="","",IFERROR(INDEX(CONTRATOS!$M$2:$M$601,MATCH($A168,CONTRATOS!$A$2:$A$601,0)),""))</f>
        <v/>
      </c>
      <c r="Q168" s="12">
        <f>IF($A168="","",IF(COUNTIF(CONTRATOS!$A$2:$A$601,$A168)=0,"El contrato no existe en CONTRATOS; ","")&amp;IF($B168="","Falta sujeto; ",IF(COUNTIF(SUJETOS!$A$2:$A$601,$B168)=0,"El sujeto no existe en SUJETOS; ",""))&amp;IF($E168="","Falta porcentaje; ","")&amp;IF(N168&gt;1.0001,"Los porcentajes del contrato suman más de 100 %; ","")&amp;IF(AND($C168="Individual",$E168&lt;&gt;"",$E168&lt;&gt;1),"Individual debe ser 100 %; ","")&amp;IF(AND($C168&lt;&gt;"Individual",$C168&lt;&gt;"",$E168=1),"Consorcio o UT con 100 %: revise; ","")&amp;IF(COUNTIFS($A$2:$A$601,$A168,$B$2:$B$601,$B168)&gt;1,"Participación repetida; ","")&amp;IF(AND(IFERROR(INDEX(SUJETOS!$B$2:$B$601,MATCH($B168,SUJETOS!$A$2:$A$601,0)),"")="Persona natural",$G168=""),"Persona natural sin cargo; ",""))</f>
        <v/>
      </c>
      <c r="R168" s="12">
        <f>IF($A168="","",IFERROR(IF(LEN(INDEX(SUJETOS!$F$2:$F$601,MATCH($B168,SUJETOS!$A$2:$A$601,0)))&gt;0,INDEX(SUJETOS!$F$2:$F$601,MATCH($B168,SUJETOS!$A$2:$A$601,0)),$B168),$B168))</f>
        <v/>
      </c>
    </row>
    <row r="169">
      <c r="E169" s="18" t="n"/>
      <c r="K169" s="13">
        <f>IF(OR($A169="",$E169=""),"",IFERROR(E169*INDEX(CONTRATOS!$P$2:$P$601,MATCH($A169,CONTRATOS!$A$2:$A$601,0)),""))</f>
        <v/>
      </c>
      <c r="L169" s="17">
        <f>IF(OR($A169="",$E169=""),"",IFERROR(E169*INDEX(CONTRATOS!$Z$2:$Z$601,MATCH($A169,CONTRATOS!$A$2:$A$601,0)),""))</f>
        <v/>
      </c>
      <c r="M169" s="13">
        <f>IF(OR($A169="",$E169=""),"",IFERROR(E169*INDEX(CONTRATOS!$AA$2:$AA$601,MATCH($A169,CONTRATOS!$A$2:$A$601,0)),""))</f>
        <v/>
      </c>
      <c r="N169" s="19">
        <f>IF($A169="","",SUMIFS($E$2:$E$601,$A$2:$A$601,$A169))</f>
        <v/>
      </c>
      <c r="O169" s="12">
        <f>IF($A169="","",IFERROR(INDEX(CONTRATOS!$F$2:$F$601,MATCH($A169,CONTRATOS!$A$2:$A$601,0)),""))</f>
        <v/>
      </c>
      <c r="P169" s="12">
        <f>IF($A169="","",IFERROR(INDEX(CONTRATOS!$M$2:$M$601,MATCH($A169,CONTRATOS!$A$2:$A$601,0)),""))</f>
        <v/>
      </c>
      <c r="Q169" s="12">
        <f>IF($A169="","",IF(COUNTIF(CONTRATOS!$A$2:$A$601,$A169)=0,"El contrato no existe en CONTRATOS; ","")&amp;IF($B169="","Falta sujeto; ",IF(COUNTIF(SUJETOS!$A$2:$A$601,$B169)=0,"El sujeto no existe en SUJETOS; ",""))&amp;IF($E169="","Falta porcentaje; ","")&amp;IF(N169&gt;1.0001,"Los porcentajes del contrato suman más de 100 %; ","")&amp;IF(AND($C169="Individual",$E169&lt;&gt;"",$E169&lt;&gt;1),"Individual debe ser 100 %; ","")&amp;IF(AND($C169&lt;&gt;"Individual",$C169&lt;&gt;"",$E169=1),"Consorcio o UT con 100 %: revise; ","")&amp;IF(COUNTIFS($A$2:$A$601,$A169,$B$2:$B$601,$B169)&gt;1,"Participación repetida; ","")&amp;IF(AND(IFERROR(INDEX(SUJETOS!$B$2:$B$601,MATCH($B169,SUJETOS!$A$2:$A$601,0)),"")="Persona natural",$G169=""),"Persona natural sin cargo; ",""))</f>
        <v/>
      </c>
      <c r="R169" s="12">
        <f>IF($A169="","",IFERROR(IF(LEN(INDEX(SUJETOS!$F$2:$F$601,MATCH($B169,SUJETOS!$A$2:$A$601,0)))&gt;0,INDEX(SUJETOS!$F$2:$F$601,MATCH($B169,SUJETOS!$A$2:$A$601,0)),$B169),$B169))</f>
        <v/>
      </c>
    </row>
    <row r="170">
      <c r="E170" s="18" t="n"/>
      <c r="K170" s="13">
        <f>IF(OR($A170="",$E170=""),"",IFERROR(E170*INDEX(CONTRATOS!$P$2:$P$601,MATCH($A170,CONTRATOS!$A$2:$A$601,0)),""))</f>
        <v/>
      </c>
      <c r="L170" s="17">
        <f>IF(OR($A170="",$E170=""),"",IFERROR(E170*INDEX(CONTRATOS!$Z$2:$Z$601,MATCH($A170,CONTRATOS!$A$2:$A$601,0)),""))</f>
        <v/>
      </c>
      <c r="M170" s="13">
        <f>IF(OR($A170="",$E170=""),"",IFERROR(E170*INDEX(CONTRATOS!$AA$2:$AA$601,MATCH($A170,CONTRATOS!$A$2:$A$601,0)),""))</f>
        <v/>
      </c>
      <c r="N170" s="19">
        <f>IF($A170="","",SUMIFS($E$2:$E$601,$A$2:$A$601,$A170))</f>
        <v/>
      </c>
      <c r="O170" s="12">
        <f>IF($A170="","",IFERROR(INDEX(CONTRATOS!$F$2:$F$601,MATCH($A170,CONTRATOS!$A$2:$A$601,0)),""))</f>
        <v/>
      </c>
      <c r="P170" s="12">
        <f>IF($A170="","",IFERROR(INDEX(CONTRATOS!$M$2:$M$601,MATCH($A170,CONTRATOS!$A$2:$A$601,0)),""))</f>
        <v/>
      </c>
      <c r="Q170" s="12">
        <f>IF($A170="","",IF(COUNTIF(CONTRATOS!$A$2:$A$601,$A170)=0,"El contrato no existe en CONTRATOS; ","")&amp;IF($B170="","Falta sujeto; ",IF(COUNTIF(SUJETOS!$A$2:$A$601,$B170)=0,"El sujeto no existe en SUJETOS; ",""))&amp;IF($E170="","Falta porcentaje; ","")&amp;IF(N170&gt;1.0001,"Los porcentajes del contrato suman más de 100 %; ","")&amp;IF(AND($C170="Individual",$E170&lt;&gt;"",$E170&lt;&gt;1),"Individual debe ser 100 %; ","")&amp;IF(AND($C170&lt;&gt;"Individual",$C170&lt;&gt;"",$E170=1),"Consorcio o UT con 100 %: revise; ","")&amp;IF(COUNTIFS($A$2:$A$601,$A170,$B$2:$B$601,$B170)&gt;1,"Participación repetida; ","")&amp;IF(AND(IFERROR(INDEX(SUJETOS!$B$2:$B$601,MATCH($B170,SUJETOS!$A$2:$A$601,0)),"")="Persona natural",$G170=""),"Persona natural sin cargo; ",""))</f>
        <v/>
      </c>
      <c r="R170" s="12">
        <f>IF($A170="","",IFERROR(IF(LEN(INDEX(SUJETOS!$F$2:$F$601,MATCH($B170,SUJETOS!$A$2:$A$601,0)))&gt;0,INDEX(SUJETOS!$F$2:$F$601,MATCH($B170,SUJETOS!$A$2:$A$601,0)),$B170),$B170))</f>
        <v/>
      </c>
    </row>
    <row r="171">
      <c r="E171" s="18" t="n"/>
      <c r="K171" s="13">
        <f>IF(OR($A171="",$E171=""),"",IFERROR(E171*INDEX(CONTRATOS!$P$2:$P$601,MATCH($A171,CONTRATOS!$A$2:$A$601,0)),""))</f>
        <v/>
      </c>
      <c r="L171" s="17">
        <f>IF(OR($A171="",$E171=""),"",IFERROR(E171*INDEX(CONTRATOS!$Z$2:$Z$601,MATCH($A171,CONTRATOS!$A$2:$A$601,0)),""))</f>
        <v/>
      </c>
      <c r="M171" s="13">
        <f>IF(OR($A171="",$E171=""),"",IFERROR(E171*INDEX(CONTRATOS!$AA$2:$AA$601,MATCH($A171,CONTRATOS!$A$2:$A$601,0)),""))</f>
        <v/>
      </c>
      <c r="N171" s="19">
        <f>IF($A171="","",SUMIFS($E$2:$E$601,$A$2:$A$601,$A171))</f>
        <v/>
      </c>
      <c r="O171" s="12">
        <f>IF($A171="","",IFERROR(INDEX(CONTRATOS!$F$2:$F$601,MATCH($A171,CONTRATOS!$A$2:$A$601,0)),""))</f>
        <v/>
      </c>
      <c r="P171" s="12">
        <f>IF($A171="","",IFERROR(INDEX(CONTRATOS!$M$2:$M$601,MATCH($A171,CONTRATOS!$A$2:$A$601,0)),""))</f>
        <v/>
      </c>
      <c r="Q171" s="12">
        <f>IF($A171="","",IF(COUNTIF(CONTRATOS!$A$2:$A$601,$A171)=0,"El contrato no existe en CONTRATOS; ","")&amp;IF($B171="","Falta sujeto; ",IF(COUNTIF(SUJETOS!$A$2:$A$601,$B171)=0,"El sujeto no existe en SUJETOS; ",""))&amp;IF($E171="","Falta porcentaje; ","")&amp;IF(N171&gt;1.0001,"Los porcentajes del contrato suman más de 100 %; ","")&amp;IF(AND($C171="Individual",$E171&lt;&gt;"",$E171&lt;&gt;1),"Individual debe ser 100 %; ","")&amp;IF(AND($C171&lt;&gt;"Individual",$C171&lt;&gt;"",$E171=1),"Consorcio o UT con 100 %: revise; ","")&amp;IF(COUNTIFS($A$2:$A$601,$A171,$B$2:$B$601,$B171)&gt;1,"Participación repetida; ","")&amp;IF(AND(IFERROR(INDEX(SUJETOS!$B$2:$B$601,MATCH($B171,SUJETOS!$A$2:$A$601,0)),"")="Persona natural",$G171=""),"Persona natural sin cargo; ",""))</f>
        <v/>
      </c>
      <c r="R171" s="12">
        <f>IF($A171="","",IFERROR(IF(LEN(INDEX(SUJETOS!$F$2:$F$601,MATCH($B171,SUJETOS!$A$2:$A$601,0)))&gt;0,INDEX(SUJETOS!$F$2:$F$601,MATCH($B171,SUJETOS!$A$2:$A$601,0)),$B171),$B171))</f>
        <v/>
      </c>
    </row>
    <row r="172">
      <c r="E172" s="18" t="n"/>
      <c r="K172" s="13">
        <f>IF(OR($A172="",$E172=""),"",IFERROR(E172*INDEX(CONTRATOS!$P$2:$P$601,MATCH($A172,CONTRATOS!$A$2:$A$601,0)),""))</f>
        <v/>
      </c>
      <c r="L172" s="17">
        <f>IF(OR($A172="",$E172=""),"",IFERROR(E172*INDEX(CONTRATOS!$Z$2:$Z$601,MATCH($A172,CONTRATOS!$A$2:$A$601,0)),""))</f>
        <v/>
      </c>
      <c r="M172" s="13">
        <f>IF(OR($A172="",$E172=""),"",IFERROR(E172*INDEX(CONTRATOS!$AA$2:$AA$601,MATCH($A172,CONTRATOS!$A$2:$A$601,0)),""))</f>
        <v/>
      </c>
      <c r="N172" s="19">
        <f>IF($A172="","",SUMIFS($E$2:$E$601,$A$2:$A$601,$A172))</f>
        <v/>
      </c>
      <c r="O172" s="12">
        <f>IF($A172="","",IFERROR(INDEX(CONTRATOS!$F$2:$F$601,MATCH($A172,CONTRATOS!$A$2:$A$601,0)),""))</f>
        <v/>
      </c>
      <c r="P172" s="12">
        <f>IF($A172="","",IFERROR(INDEX(CONTRATOS!$M$2:$M$601,MATCH($A172,CONTRATOS!$A$2:$A$601,0)),""))</f>
        <v/>
      </c>
      <c r="Q172" s="12">
        <f>IF($A172="","",IF(COUNTIF(CONTRATOS!$A$2:$A$601,$A172)=0,"El contrato no existe en CONTRATOS; ","")&amp;IF($B172="","Falta sujeto; ",IF(COUNTIF(SUJETOS!$A$2:$A$601,$B172)=0,"El sujeto no existe en SUJETOS; ",""))&amp;IF($E172="","Falta porcentaje; ","")&amp;IF(N172&gt;1.0001,"Los porcentajes del contrato suman más de 100 %; ","")&amp;IF(AND($C172="Individual",$E172&lt;&gt;"",$E172&lt;&gt;1),"Individual debe ser 100 %; ","")&amp;IF(AND($C172&lt;&gt;"Individual",$C172&lt;&gt;"",$E172=1),"Consorcio o UT con 100 %: revise; ","")&amp;IF(COUNTIFS($A$2:$A$601,$A172,$B$2:$B$601,$B172)&gt;1,"Participación repetida; ","")&amp;IF(AND(IFERROR(INDEX(SUJETOS!$B$2:$B$601,MATCH($B172,SUJETOS!$A$2:$A$601,0)),"")="Persona natural",$G172=""),"Persona natural sin cargo; ",""))</f>
        <v/>
      </c>
      <c r="R172" s="12">
        <f>IF($A172="","",IFERROR(IF(LEN(INDEX(SUJETOS!$F$2:$F$601,MATCH($B172,SUJETOS!$A$2:$A$601,0)))&gt;0,INDEX(SUJETOS!$F$2:$F$601,MATCH($B172,SUJETOS!$A$2:$A$601,0)),$B172),$B172))</f>
        <v/>
      </c>
    </row>
    <row r="173">
      <c r="E173" s="18" t="n"/>
      <c r="K173" s="13">
        <f>IF(OR($A173="",$E173=""),"",IFERROR(E173*INDEX(CONTRATOS!$P$2:$P$601,MATCH($A173,CONTRATOS!$A$2:$A$601,0)),""))</f>
        <v/>
      </c>
      <c r="L173" s="17">
        <f>IF(OR($A173="",$E173=""),"",IFERROR(E173*INDEX(CONTRATOS!$Z$2:$Z$601,MATCH($A173,CONTRATOS!$A$2:$A$601,0)),""))</f>
        <v/>
      </c>
      <c r="M173" s="13">
        <f>IF(OR($A173="",$E173=""),"",IFERROR(E173*INDEX(CONTRATOS!$AA$2:$AA$601,MATCH($A173,CONTRATOS!$A$2:$A$601,0)),""))</f>
        <v/>
      </c>
      <c r="N173" s="19">
        <f>IF($A173="","",SUMIFS($E$2:$E$601,$A$2:$A$601,$A173))</f>
        <v/>
      </c>
      <c r="O173" s="12">
        <f>IF($A173="","",IFERROR(INDEX(CONTRATOS!$F$2:$F$601,MATCH($A173,CONTRATOS!$A$2:$A$601,0)),""))</f>
        <v/>
      </c>
      <c r="P173" s="12">
        <f>IF($A173="","",IFERROR(INDEX(CONTRATOS!$M$2:$M$601,MATCH($A173,CONTRATOS!$A$2:$A$601,0)),""))</f>
        <v/>
      </c>
      <c r="Q173" s="12">
        <f>IF($A173="","",IF(COUNTIF(CONTRATOS!$A$2:$A$601,$A173)=0,"El contrato no existe en CONTRATOS; ","")&amp;IF($B173="","Falta sujeto; ",IF(COUNTIF(SUJETOS!$A$2:$A$601,$B173)=0,"El sujeto no existe en SUJETOS; ",""))&amp;IF($E173="","Falta porcentaje; ","")&amp;IF(N173&gt;1.0001,"Los porcentajes del contrato suman más de 100 %; ","")&amp;IF(AND($C173="Individual",$E173&lt;&gt;"",$E173&lt;&gt;1),"Individual debe ser 100 %; ","")&amp;IF(AND($C173&lt;&gt;"Individual",$C173&lt;&gt;"",$E173=1),"Consorcio o UT con 100 %: revise; ","")&amp;IF(COUNTIFS($A$2:$A$601,$A173,$B$2:$B$601,$B173)&gt;1,"Participación repetida; ","")&amp;IF(AND(IFERROR(INDEX(SUJETOS!$B$2:$B$601,MATCH($B173,SUJETOS!$A$2:$A$601,0)),"")="Persona natural",$G173=""),"Persona natural sin cargo; ",""))</f>
        <v/>
      </c>
      <c r="R173" s="12">
        <f>IF($A173="","",IFERROR(IF(LEN(INDEX(SUJETOS!$F$2:$F$601,MATCH($B173,SUJETOS!$A$2:$A$601,0)))&gt;0,INDEX(SUJETOS!$F$2:$F$601,MATCH($B173,SUJETOS!$A$2:$A$601,0)),$B173),$B173))</f>
        <v/>
      </c>
    </row>
    <row r="174">
      <c r="E174" s="18" t="n"/>
      <c r="K174" s="13">
        <f>IF(OR($A174="",$E174=""),"",IFERROR(E174*INDEX(CONTRATOS!$P$2:$P$601,MATCH($A174,CONTRATOS!$A$2:$A$601,0)),""))</f>
        <v/>
      </c>
      <c r="L174" s="17">
        <f>IF(OR($A174="",$E174=""),"",IFERROR(E174*INDEX(CONTRATOS!$Z$2:$Z$601,MATCH($A174,CONTRATOS!$A$2:$A$601,0)),""))</f>
        <v/>
      </c>
      <c r="M174" s="13">
        <f>IF(OR($A174="",$E174=""),"",IFERROR(E174*INDEX(CONTRATOS!$AA$2:$AA$601,MATCH($A174,CONTRATOS!$A$2:$A$601,0)),""))</f>
        <v/>
      </c>
      <c r="N174" s="19">
        <f>IF($A174="","",SUMIFS($E$2:$E$601,$A$2:$A$601,$A174))</f>
        <v/>
      </c>
      <c r="O174" s="12">
        <f>IF($A174="","",IFERROR(INDEX(CONTRATOS!$F$2:$F$601,MATCH($A174,CONTRATOS!$A$2:$A$601,0)),""))</f>
        <v/>
      </c>
      <c r="P174" s="12">
        <f>IF($A174="","",IFERROR(INDEX(CONTRATOS!$M$2:$M$601,MATCH($A174,CONTRATOS!$A$2:$A$601,0)),""))</f>
        <v/>
      </c>
      <c r="Q174" s="12">
        <f>IF($A174="","",IF(COUNTIF(CONTRATOS!$A$2:$A$601,$A174)=0,"El contrato no existe en CONTRATOS; ","")&amp;IF($B174="","Falta sujeto; ",IF(COUNTIF(SUJETOS!$A$2:$A$601,$B174)=0,"El sujeto no existe en SUJETOS; ",""))&amp;IF($E174="","Falta porcentaje; ","")&amp;IF(N174&gt;1.0001,"Los porcentajes del contrato suman más de 100 %; ","")&amp;IF(AND($C174="Individual",$E174&lt;&gt;"",$E174&lt;&gt;1),"Individual debe ser 100 %; ","")&amp;IF(AND($C174&lt;&gt;"Individual",$C174&lt;&gt;"",$E174=1),"Consorcio o UT con 100 %: revise; ","")&amp;IF(COUNTIFS($A$2:$A$601,$A174,$B$2:$B$601,$B174)&gt;1,"Participación repetida; ","")&amp;IF(AND(IFERROR(INDEX(SUJETOS!$B$2:$B$601,MATCH($B174,SUJETOS!$A$2:$A$601,0)),"")="Persona natural",$G174=""),"Persona natural sin cargo; ",""))</f>
        <v/>
      </c>
      <c r="R174" s="12">
        <f>IF($A174="","",IFERROR(IF(LEN(INDEX(SUJETOS!$F$2:$F$601,MATCH($B174,SUJETOS!$A$2:$A$601,0)))&gt;0,INDEX(SUJETOS!$F$2:$F$601,MATCH($B174,SUJETOS!$A$2:$A$601,0)),$B174),$B174))</f>
        <v/>
      </c>
    </row>
    <row r="175">
      <c r="E175" s="18" t="n"/>
      <c r="K175" s="13">
        <f>IF(OR($A175="",$E175=""),"",IFERROR(E175*INDEX(CONTRATOS!$P$2:$P$601,MATCH($A175,CONTRATOS!$A$2:$A$601,0)),""))</f>
        <v/>
      </c>
      <c r="L175" s="17">
        <f>IF(OR($A175="",$E175=""),"",IFERROR(E175*INDEX(CONTRATOS!$Z$2:$Z$601,MATCH($A175,CONTRATOS!$A$2:$A$601,0)),""))</f>
        <v/>
      </c>
      <c r="M175" s="13">
        <f>IF(OR($A175="",$E175=""),"",IFERROR(E175*INDEX(CONTRATOS!$AA$2:$AA$601,MATCH($A175,CONTRATOS!$A$2:$A$601,0)),""))</f>
        <v/>
      </c>
      <c r="N175" s="19">
        <f>IF($A175="","",SUMIFS($E$2:$E$601,$A$2:$A$601,$A175))</f>
        <v/>
      </c>
      <c r="O175" s="12">
        <f>IF($A175="","",IFERROR(INDEX(CONTRATOS!$F$2:$F$601,MATCH($A175,CONTRATOS!$A$2:$A$601,0)),""))</f>
        <v/>
      </c>
      <c r="P175" s="12">
        <f>IF($A175="","",IFERROR(INDEX(CONTRATOS!$M$2:$M$601,MATCH($A175,CONTRATOS!$A$2:$A$601,0)),""))</f>
        <v/>
      </c>
      <c r="Q175" s="12">
        <f>IF($A175="","",IF(COUNTIF(CONTRATOS!$A$2:$A$601,$A175)=0,"El contrato no existe en CONTRATOS; ","")&amp;IF($B175="","Falta sujeto; ",IF(COUNTIF(SUJETOS!$A$2:$A$601,$B175)=0,"El sujeto no existe en SUJETOS; ",""))&amp;IF($E175="","Falta porcentaje; ","")&amp;IF(N175&gt;1.0001,"Los porcentajes del contrato suman más de 100 %; ","")&amp;IF(AND($C175="Individual",$E175&lt;&gt;"",$E175&lt;&gt;1),"Individual debe ser 100 %; ","")&amp;IF(AND($C175&lt;&gt;"Individual",$C175&lt;&gt;"",$E175=1),"Consorcio o UT con 100 %: revise; ","")&amp;IF(COUNTIFS($A$2:$A$601,$A175,$B$2:$B$601,$B175)&gt;1,"Participación repetida; ","")&amp;IF(AND(IFERROR(INDEX(SUJETOS!$B$2:$B$601,MATCH($B175,SUJETOS!$A$2:$A$601,0)),"")="Persona natural",$G175=""),"Persona natural sin cargo; ",""))</f>
        <v/>
      </c>
      <c r="R175" s="12">
        <f>IF($A175="","",IFERROR(IF(LEN(INDEX(SUJETOS!$F$2:$F$601,MATCH($B175,SUJETOS!$A$2:$A$601,0)))&gt;0,INDEX(SUJETOS!$F$2:$F$601,MATCH($B175,SUJETOS!$A$2:$A$601,0)),$B175),$B175))</f>
        <v/>
      </c>
    </row>
    <row r="176">
      <c r="E176" s="18" t="n"/>
      <c r="K176" s="13">
        <f>IF(OR($A176="",$E176=""),"",IFERROR(E176*INDEX(CONTRATOS!$P$2:$P$601,MATCH($A176,CONTRATOS!$A$2:$A$601,0)),""))</f>
        <v/>
      </c>
      <c r="L176" s="17">
        <f>IF(OR($A176="",$E176=""),"",IFERROR(E176*INDEX(CONTRATOS!$Z$2:$Z$601,MATCH($A176,CONTRATOS!$A$2:$A$601,0)),""))</f>
        <v/>
      </c>
      <c r="M176" s="13">
        <f>IF(OR($A176="",$E176=""),"",IFERROR(E176*INDEX(CONTRATOS!$AA$2:$AA$601,MATCH($A176,CONTRATOS!$A$2:$A$601,0)),""))</f>
        <v/>
      </c>
      <c r="N176" s="19">
        <f>IF($A176="","",SUMIFS($E$2:$E$601,$A$2:$A$601,$A176))</f>
        <v/>
      </c>
      <c r="O176" s="12">
        <f>IF($A176="","",IFERROR(INDEX(CONTRATOS!$F$2:$F$601,MATCH($A176,CONTRATOS!$A$2:$A$601,0)),""))</f>
        <v/>
      </c>
      <c r="P176" s="12">
        <f>IF($A176="","",IFERROR(INDEX(CONTRATOS!$M$2:$M$601,MATCH($A176,CONTRATOS!$A$2:$A$601,0)),""))</f>
        <v/>
      </c>
      <c r="Q176" s="12">
        <f>IF($A176="","",IF(COUNTIF(CONTRATOS!$A$2:$A$601,$A176)=0,"El contrato no existe en CONTRATOS; ","")&amp;IF($B176="","Falta sujeto; ",IF(COUNTIF(SUJETOS!$A$2:$A$601,$B176)=0,"El sujeto no existe en SUJETOS; ",""))&amp;IF($E176="","Falta porcentaje; ","")&amp;IF(N176&gt;1.0001,"Los porcentajes del contrato suman más de 100 %; ","")&amp;IF(AND($C176="Individual",$E176&lt;&gt;"",$E176&lt;&gt;1),"Individual debe ser 100 %; ","")&amp;IF(AND($C176&lt;&gt;"Individual",$C176&lt;&gt;"",$E176=1),"Consorcio o UT con 100 %: revise; ","")&amp;IF(COUNTIFS($A$2:$A$601,$A176,$B$2:$B$601,$B176)&gt;1,"Participación repetida; ","")&amp;IF(AND(IFERROR(INDEX(SUJETOS!$B$2:$B$601,MATCH($B176,SUJETOS!$A$2:$A$601,0)),"")="Persona natural",$G176=""),"Persona natural sin cargo; ",""))</f>
        <v/>
      </c>
      <c r="R176" s="12">
        <f>IF($A176="","",IFERROR(IF(LEN(INDEX(SUJETOS!$F$2:$F$601,MATCH($B176,SUJETOS!$A$2:$A$601,0)))&gt;0,INDEX(SUJETOS!$F$2:$F$601,MATCH($B176,SUJETOS!$A$2:$A$601,0)),$B176),$B176))</f>
        <v/>
      </c>
    </row>
    <row r="177">
      <c r="E177" s="18" t="n"/>
      <c r="K177" s="13">
        <f>IF(OR($A177="",$E177=""),"",IFERROR(E177*INDEX(CONTRATOS!$P$2:$P$601,MATCH($A177,CONTRATOS!$A$2:$A$601,0)),""))</f>
        <v/>
      </c>
      <c r="L177" s="17">
        <f>IF(OR($A177="",$E177=""),"",IFERROR(E177*INDEX(CONTRATOS!$Z$2:$Z$601,MATCH($A177,CONTRATOS!$A$2:$A$601,0)),""))</f>
        <v/>
      </c>
      <c r="M177" s="13">
        <f>IF(OR($A177="",$E177=""),"",IFERROR(E177*INDEX(CONTRATOS!$AA$2:$AA$601,MATCH($A177,CONTRATOS!$A$2:$A$601,0)),""))</f>
        <v/>
      </c>
      <c r="N177" s="19">
        <f>IF($A177="","",SUMIFS($E$2:$E$601,$A$2:$A$601,$A177))</f>
        <v/>
      </c>
      <c r="O177" s="12">
        <f>IF($A177="","",IFERROR(INDEX(CONTRATOS!$F$2:$F$601,MATCH($A177,CONTRATOS!$A$2:$A$601,0)),""))</f>
        <v/>
      </c>
      <c r="P177" s="12">
        <f>IF($A177="","",IFERROR(INDEX(CONTRATOS!$M$2:$M$601,MATCH($A177,CONTRATOS!$A$2:$A$601,0)),""))</f>
        <v/>
      </c>
      <c r="Q177" s="12">
        <f>IF($A177="","",IF(COUNTIF(CONTRATOS!$A$2:$A$601,$A177)=0,"El contrato no existe en CONTRATOS; ","")&amp;IF($B177="","Falta sujeto; ",IF(COUNTIF(SUJETOS!$A$2:$A$601,$B177)=0,"El sujeto no existe en SUJETOS; ",""))&amp;IF($E177="","Falta porcentaje; ","")&amp;IF(N177&gt;1.0001,"Los porcentajes del contrato suman más de 100 %; ","")&amp;IF(AND($C177="Individual",$E177&lt;&gt;"",$E177&lt;&gt;1),"Individual debe ser 100 %; ","")&amp;IF(AND($C177&lt;&gt;"Individual",$C177&lt;&gt;"",$E177=1),"Consorcio o UT con 100 %: revise; ","")&amp;IF(COUNTIFS($A$2:$A$601,$A177,$B$2:$B$601,$B177)&gt;1,"Participación repetida; ","")&amp;IF(AND(IFERROR(INDEX(SUJETOS!$B$2:$B$601,MATCH($B177,SUJETOS!$A$2:$A$601,0)),"")="Persona natural",$G177=""),"Persona natural sin cargo; ",""))</f>
        <v/>
      </c>
      <c r="R177" s="12">
        <f>IF($A177="","",IFERROR(IF(LEN(INDEX(SUJETOS!$F$2:$F$601,MATCH($B177,SUJETOS!$A$2:$A$601,0)))&gt;0,INDEX(SUJETOS!$F$2:$F$601,MATCH($B177,SUJETOS!$A$2:$A$601,0)),$B177),$B177))</f>
        <v/>
      </c>
    </row>
    <row r="178">
      <c r="E178" s="18" t="n"/>
      <c r="K178" s="13">
        <f>IF(OR($A178="",$E178=""),"",IFERROR(E178*INDEX(CONTRATOS!$P$2:$P$601,MATCH($A178,CONTRATOS!$A$2:$A$601,0)),""))</f>
        <v/>
      </c>
      <c r="L178" s="17">
        <f>IF(OR($A178="",$E178=""),"",IFERROR(E178*INDEX(CONTRATOS!$Z$2:$Z$601,MATCH($A178,CONTRATOS!$A$2:$A$601,0)),""))</f>
        <v/>
      </c>
      <c r="M178" s="13">
        <f>IF(OR($A178="",$E178=""),"",IFERROR(E178*INDEX(CONTRATOS!$AA$2:$AA$601,MATCH($A178,CONTRATOS!$A$2:$A$601,0)),""))</f>
        <v/>
      </c>
      <c r="N178" s="19">
        <f>IF($A178="","",SUMIFS($E$2:$E$601,$A$2:$A$601,$A178))</f>
        <v/>
      </c>
      <c r="O178" s="12">
        <f>IF($A178="","",IFERROR(INDEX(CONTRATOS!$F$2:$F$601,MATCH($A178,CONTRATOS!$A$2:$A$601,0)),""))</f>
        <v/>
      </c>
      <c r="P178" s="12">
        <f>IF($A178="","",IFERROR(INDEX(CONTRATOS!$M$2:$M$601,MATCH($A178,CONTRATOS!$A$2:$A$601,0)),""))</f>
        <v/>
      </c>
      <c r="Q178" s="12">
        <f>IF($A178="","",IF(COUNTIF(CONTRATOS!$A$2:$A$601,$A178)=0,"El contrato no existe en CONTRATOS; ","")&amp;IF($B178="","Falta sujeto; ",IF(COUNTIF(SUJETOS!$A$2:$A$601,$B178)=0,"El sujeto no existe en SUJETOS; ",""))&amp;IF($E178="","Falta porcentaje; ","")&amp;IF(N178&gt;1.0001,"Los porcentajes del contrato suman más de 100 %; ","")&amp;IF(AND($C178="Individual",$E178&lt;&gt;"",$E178&lt;&gt;1),"Individual debe ser 100 %; ","")&amp;IF(AND($C178&lt;&gt;"Individual",$C178&lt;&gt;"",$E178=1),"Consorcio o UT con 100 %: revise; ","")&amp;IF(COUNTIFS($A$2:$A$601,$A178,$B$2:$B$601,$B178)&gt;1,"Participación repetida; ","")&amp;IF(AND(IFERROR(INDEX(SUJETOS!$B$2:$B$601,MATCH($B178,SUJETOS!$A$2:$A$601,0)),"")="Persona natural",$G178=""),"Persona natural sin cargo; ",""))</f>
        <v/>
      </c>
      <c r="R178" s="12">
        <f>IF($A178="","",IFERROR(IF(LEN(INDEX(SUJETOS!$F$2:$F$601,MATCH($B178,SUJETOS!$A$2:$A$601,0)))&gt;0,INDEX(SUJETOS!$F$2:$F$601,MATCH($B178,SUJETOS!$A$2:$A$601,0)),$B178),$B178))</f>
        <v/>
      </c>
    </row>
    <row r="179">
      <c r="E179" s="18" t="n"/>
      <c r="K179" s="13">
        <f>IF(OR($A179="",$E179=""),"",IFERROR(E179*INDEX(CONTRATOS!$P$2:$P$601,MATCH($A179,CONTRATOS!$A$2:$A$601,0)),""))</f>
        <v/>
      </c>
      <c r="L179" s="17">
        <f>IF(OR($A179="",$E179=""),"",IFERROR(E179*INDEX(CONTRATOS!$Z$2:$Z$601,MATCH($A179,CONTRATOS!$A$2:$A$601,0)),""))</f>
        <v/>
      </c>
      <c r="M179" s="13">
        <f>IF(OR($A179="",$E179=""),"",IFERROR(E179*INDEX(CONTRATOS!$AA$2:$AA$601,MATCH($A179,CONTRATOS!$A$2:$A$601,0)),""))</f>
        <v/>
      </c>
      <c r="N179" s="19">
        <f>IF($A179="","",SUMIFS($E$2:$E$601,$A$2:$A$601,$A179))</f>
        <v/>
      </c>
      <c r="O179" s="12">
        <f>IF($A179="","",IFERROR(INDEX(CONTRATOS!$F$2:$F$601,MATCH($A179,CONTRATOS!$A$2:$A$601,0)),""))</f>
        <v/>
      </c>
      <c r="P179" s="12">
        <f>IF($A179="","",IFERROR(INDEX(CONTRATOS!$M$2:$M$601,MATCH($A179,CONTRATOS!$A$2:$A$601,0)),""))</f>
        <v/>
      </c>
      <c r="Q179" s="12">
        <f>IF($A179="","",IF(COUNTIF(CONTRATOS!$A$2:$A$601,$A179)=0,"El contrato no existe en CONTRATOS; ","")&amp;IF($B179="","Falta sujeto; ",IF(COUNTIF(SUJETOS!$A$2:$A$601,$B179)=0,"El sujeto no existe en SUJETOS; ",""))&amp;IF($E179="","Falta porcentaje; ","")&amp;IF(N179&gt;1.0001,"Los porcentajes del contrato suman más de 100 %; ","")&amp;IF(AND($C179="Individual",$E179&lt;&gt;"",$E179&lt;&gt;1),"Individual debe ser 100 %; ","")&amp;IF(AND($C179&lt;&gt;"Individual",$C179&lt;&gt;"",$E179=1),"Consorcio o UT con 100 %: revise; ","")&amp;IF(COUNTIFS($A$2:$A$601,$A179,$B$2:$B$601,$B179)&gt;1,"Participación repetida; ","")&amp;IF(AND(IFERROR(INDEX(SUJETOS!$B$2:$B$601,MATCH($B179,SUJETOS!$A$2:$A$601,0)),"")="Persona natural",$G179=""),"Persona natural sin cargo; ",""))</f>
        <v/>
      </c>
      <c r="R179" s="12">
        <f>IF($A179="","",IFERROR(IF(LEN(INDEX(SUJETOS!$F$2:$F$601,MATCH($B179,SUJETOS!$A$2:$A$601,0)))&gt;0,INDEX(SUJETOS!$F$2:$F$601,MATCH($B179,SUJETOS!$A$2:$A$601,0)),$B179),$B179))</f>
        <v/>
      </c>
    </row>
    <row r="180">
      <c r="E180" s="18" t="n"/>
      <c r="K180" s="13">
        <f>IF(OR($A180="",$E180=""),"",IFERROR(E180*INDEX(CONTRATOS!$P$2:$P$601,MATCH($A180,CONTRATOS!$A$2:$A$601,0)),""))</f>
        <v/>
      </c>
      <c r="L180" s="17">
        <f>IF(OR($A180="",$E180=""),"",IFERROR(E180*INDEX(CONTRATOS!$Z$2:$Z$601,MATCH($A180,CONTRATOS!$A$2:$A$601,0)),""))</f>
        <v/>
      </c>
      <c r="M180" s="13">
        <f>IF(OR($A180="",$E180=""),"",IFERROR(E180*INDEX(CONTRATOS!$AA$2:$AA$601,MATCH($A180,CONTRATOS!$A$2:$A$601,0)),""))</f>
        <v/>
      </c>
      <c r="N180" s="19">
        <f>IF($A180="","",SUMIFS($E$2:$E$601,$A$2:$A$601,$A180))</f>
        <v/>
      </c>
      <c r="O180" s="12">
        <f>IF($A180="","",IFERROR(INDEX(CONTRATOS!$F$2:$F$601,MATCH($A180,CONTRATOS!$A$2:$A$601,0)),""))</f>
        <v/>
      </c>
      <c r="P180" s="12">
        <f>IF($A180="","",IFERROR(INDEX(CONTRATOS!$M$2:$M$601,MATCH($A180,CONTRATOS!$A$2:$A$601,0)),""))</f>
        <v/>
      </c>
      <c r="Q180" s="12">
        <f>IF($A180="","",IF(COUNTIF(CONTRATOS!$A$2:$A$601,$A180)=0,"El contrato no existe en CONTRATOS; ","")&amp;IF($B180="","Falta sujeto; ",IF(COUNTIF(SUJETOS!$A$2:$A$601,$B180)=0,"El sujeto no existe en SUJETOS; ",""))&amp;IF($E180="","Falta porcentaje; ","")&amp;IF(N180&gt;1.0001,"Los porcentajes del contrato suman más de 100 %; ","")&amp;IF(AND($C180="Individual",$E180&lt;&gt;"",$E180&lt;&gt;1),"Individual debe ser 100 %; ","")&amp;IF(AND($C180&lt;&gt;"Individual",$C180&lt;&gt;"",$E180=1),"Consorcio o UT con 100 %: revise; ","")&amp;IF(COUNTIFS($A$2:$A$601,$A180,$B$2:$B$601,$B180)&gt;1,"Participación repetida; ","")&amp;IF(AND(IFERROR(INDEX(SUJETOS!$B$2:$B$601,MATCH($B180,SUJETOS!$A$2:$A$601,0)),"")="Persona natural",$G180=""),"Persona natural sin cargo; ",""))</f>
        <v/>
      </c>
      <c r="R180" s="12">
        <f>IF($A180="","",IFERROR(IF(LEN(INDEX(SUJETOS!$F$2:$F$601,MATCH($B180,SUJETOS!$A$2:$A$601,0)))&gt;0,INDEX(SUJETOS!$F$2:$F$601,MATCH($B180,SUJETOS!$A$2:$A$601,0)),$B180),$B180))</f>
        <v/>
      </c>
    </row>
    <row r="181">
      <c r="E181" s="18" t="n"/>
      <c r="K181" s="13">
        <f>IF(OR($A181="",$E181=""),"",IFERROR(E181*INDEX(CONTRATOS!$P$2:$P$601,MATCH($A181,CONTRATOS!$A$2:$A$601,0)),""))</f>
        <v/>
      </c>
      <c r="L181" s="17">
        <f>IF(OR($A181="",$E181=""),"",IFERROR(E181*INDEX(CONTRATOS!$Z$2:$Z$601,MATCH($A181,CONTRATOS!$A$2:$A$601,0)),""))</f>
        <v/>
      </c>
      <c r="M181" s="13">
        <f>IF(OR($A181="",$E181=""),"",IFERROR(E181*INDEX(CONTRATOS!$AA$2:$AA$601,MATCH($A181,CONTRATOS!$A$2:$A$601,0)),""))</f>
        <v/>
      </c>
      <c r="N181" s="19">
        <f>IF($A181="","",SUMIFS($E$2:$E$601,$A$2:$A$601,$A181))</f>
        <v/>
      </c>
      <c r="O181" s="12">
        <f>IF($A181="","",IFERROR(INDEX(CONTRATOS!$F$2:$F$601,MATCH($A181,CONTRATOS!$A$2:$A$601,0)),""))</f>
        <v/>
      </c>
      <c r="P181" s="12">
        <f>IF($A181="","",IFERROR(INDEX(CONTRATOS!$M$2:$M$601,MATCH($A181,CONTRATOS!$A$2:$A$601,0)),""))</f>
        <v/>
      </c>
      <c r="Q181" s="12">
        <f>IF($A181="","",IF(COUNTIF(CONTRATOS!$A$2:$A$601,$A181)=0,"El contrato no existe en CONTRATOS; ","")&amp;IF($B181="","Falta sujeto; ",IF(COUNTIF(SUJETOS!$A$2:$A$601,$B181)=0,"El sujeto no existe en SUJETOS; ",""))&amp;IF($E181="","Falta porcentaje; ","")&amp;IF(N181&gt;1.0001,"Los porcentajes del contrato suman más de 100 %; ","")&amp;IF(AND($C181="Individual",$E181&lt;&gt;"",$E181&lt;&gt;1),"Individual debe ser 100 %; ","")&amp;IF(AND($C181&lt;&gt;"Individual",$C181&lt;&gt;"",$E181=1),"Consorcio o UT con 100 %: revise; ","")&amp;IF(COUNTIFS($A$2:$A$601,$A181,$B$2:$B$601,$B181)&gt;1,"Participación repetida; ","")&amp;IF(AND(IFERROR(INDEX(SUJETOS!$B$2:$B$601,MATCH($B181,SUJETOS!$A$2:$A$601,0)),"")="Persona natural",$G181=""),"Persona natural sin cargo; ",""))</f>
        <v/>
      </c>
      <c r="R181" s="12">
        <f>IF($A181="","",IFERROR(IF(LEN(INDEX(SUJETOS!$F$2:$F$601,MATCH($B181,SUJETOS!$A$2:$A$601,0)))&gt;0,INDEX(SUJETOS!$F$2:$F$601,MATCH($B181,SUJETOS!$A$2:$A$601,0)),$B181),$B181))</f>
        <v/>
      </c>
    </row>
    <row r="182">
      <c r="E182" s="18" t="n"/>
      <c r="K182" s="13">
        <f>IF(OR($A182="",$E182=""),"",IFERROR(E182*INDEX(CONTRATOS!$P$2:$P$601,MATCH($A182,CONTRATOS!$A$2:$A$601,0)),""))</f>
        <v/>
      </c>
      <c r="L182" s="17">
        <f>IF(OR($A182="",$E182=""),"",IFERROR(E182*INDEX(CONTRATOS!$Z$2:$Z$601,MATCH($A182,CONTRATOS!$A$2:$A$601,0)),""))</f>
        <v/>
      </c>
      <c r="M182" s="13">
        <f>IF(OR($A182="",$E182=""),"",IFERROR(E182*INDEX(CONTRATOS!$AA$2:$AA$601,MATCH($A182,CONTRATOS!$A$2:$A$601,0)),""))</f>
        <v/>
      </c>
      <c r="N182" s="19">
        <f>IF($A182="","",SUMIFS($E$2:$E$601,$A$2:$A$601,$A182))</f>
        <v/>
      </c>
      <c r="O182" s="12">
        <f>IF($A182="","",IFERROR(INDEX(CONTRATOS!$F$2:$F$601,MATCH($A182,CONTRATOS!$A$2:$A$601,0)),""))</f>
        <v/>
      </c>
      <c r="P182" s="12">
        <f>IF($A182="","",IFERROR(INDEX(CONTRATOS!$M$2:$M$601,MATCH($A182,CONTRATOS!$A$2:$A$601,0)),""))</f>
        <v/>
      </c>
      <c r="Q182" s="12">
        <f>IF($A182="","",IF(COUNTIF(CONTRATOS!$A$2:$A$601,$A182)=0,"El contrato no existe en CONTRATOS; ","")&amp;IF($B182="","Falta sujeto; ",IF(COUNTIF(SUJETOS!$A$2:$A$601,$B182)=0,"El sujeto no existe en SUJETOS; ",""))&amp;IF($E182="","Falta porcentaje; ","")&amp;IF(N182&gt;1.0001,"Los porcentajes del contrato suman más de 100 %; ","")&amp;IF(AND($C182="Individual",$E182&lt;&gt;"",$E182&lt;&gt;1),"Individual debe ser 100 %; ","")&amp;IF(AND($C182&lt;&gt;"Individual",$C182&lt;&gt;"",$E182=1),"Consorcio o UT con 100 %: revise; ","")&amp;IF(COUNTIFS($A$2:$A$601,$A182,$B$2:$B$601,$B182)&gt;1,"Participación repetida; ","")&amp;IF(AND(IFERROR(INDEX(SUJETOS!$B$2:$B$601,MATCH($B182,SUJETOS!$A$2:$A$601,0)),"")="Persona natural",$G182=""),"Persona natural sin cargo; ",""))</f>
        <v/>
      </c>
      <c r="R182" s="12">
        <f>IF($A182="","",IFERROR(IF(LEN(INDEX(SUJETOS!$F$2:$F$601,MATCH($B182,SUJETOS!$A$2:$A$601,0)))&gt;0,INDEX(SUJETOS!$F$2:$F$601,MATCH($B182,SUJETOS!$A$2:$A$601,0)),$B182),$B182))</f>
        <v/>
      </c>
    </row>
    <row r="183">
      <c r="E183" s="18" t="n"/>
      <c r="K183" s="13">
        <f>IF(OR($A183="",$E183=""),"",IFERROR(E183*INDEX(CONTRATOS!$P$2:$P$601,MATCH($A183,CONTRATOS!$A$2:$A$601,0)),""))</f>
        <v/>
      </c>
      <c r="L183" s="17">
        <f>IF(OR($A183="",$E183=""),"",IFERROR(E183*INDEX(CONTRATOS!$Z$2:$Z$601,MATCH($A183,CONTRATOS!$A$2:$A$601,0)),""))</f>
        <v/>
      </c>
      <c r="M183" s="13">
        <f>IF(OR($A183="",$E183=""),"",IFERROR(E183*INDEX(CONTRATOS!$AA$2:$AA$601,MATCH($A183,CONTRATOS!$A$2:$A$601,0)),""))</f>
        <v/>
      </c>
      <c r="N183" s="19">
        <f>IF($A183="","",SUMIFS($E$2:$E$601,$A$2:$A$601,$A183))</f>
        <v/>
      </c>
      <c r="O183" s="12">
        <f>IF($A183="","",IFERROR(INDEX(CONTRATOS!$F$2:$F$601,MATCH($A183,CONTRATOS!$A$2:$A$601,0)),""))</f>
        <v/>
      </c>
      <c r="P183" s="12">
        <f>IF($A183="","",IFERROR(INDEX(CONTRATOS!$M$2:$M$601,MATCH($A183,CONTRATOS!$A$2:$A$601,0)),""))</f>
        <v/>
      </c>
      <c r="Q183" s="12">
        <f>IF($A183="","",IF(COUNTIF(CONTRATOS!$A$2:$A$601,$A183)=0,"El contrato no existe en CONTRATOS; ","")&amp;IF($B183="","Falta sujeto; ",IF(COUNTIF(SUJETOS!$A$2:$A$601,$B183)=0,"El sujeto no existe en SUJETOS; ",""))&amp;IF($E183="","Falta porcentaje; ","")&amp;IF(N183&gt;1.0001,"Los porcentajes del contrato suman más de 100 %; ","")&amp;IF(AND($C183="Individual",$E183&lt;&gt;"",$E183&lt;&gt;1),"Individual debe ser 100 %; ","")&amp;IF(AND($C183&lt;&gt;"Individual",$C183&lt;&gt;"",$E183=1),"Consorcio o UT con 100 %: revise; ","")&amp;IF(COUNTIFS($A$2:$A$601,$A183,$B$2:$B$601,$B183)&gt;1,"Participación repetida; ","")&amp;IF(AND(IFERROR(INDEX(SUJETOS!$B$2:$B$601,MATCH($B183,SUJETOS!$A$2:$A$601,0)),"")="Persona natural",$G183=""),"Persona natural sin cargo; ",""))</f>
        <v/>
      </c>
      <c r="R183" s="12">
        <f>IF($A183="","",IFERROR(IF(LEN(INDEX(SUJETOS!$F$2:$F$601,MATCH($B183,SUJETOS!$A$2:$A$601,0)))&gt;0,INDEX(SUJETOS!$F$2:$F$601,MATCH($B183,SUJETOS!$A$2:$A$601,0)),$B183),$B183))</f>
        <v/>
      </c>
    </row>
    <row r="184">
      <c r="E184" s="18" t="n"/>
      <c r="K184" s="13">
        <f>IF(OR($A184="",$E184=""),"",IFERROR(E184*INDEX(CONTRATOS!$P$2:$P$601,MATCH($A184,CONTRATOS!$A$2:$A$601,0)),""))</f>
        <v/>
      </c>
      <c r="L184" s="17">
        <f>IF(OR($A184="",$E184=""),"",IFERROR(E184*INDEX(CONTRATOS!$Z$2:$Z$601,MATCH($A184,CONTRATOS!$A$2:$A$601,0)),""))</f>
        <v/>
      </c>
      <c r="M184" s="13">
        <f>IF(OR($A184="",$E184=""),"",IFERROR(E184*INDEX(CONTRATOS!$AA$2:$AA$601,MATCH($A184,CONTRATOS!$A$2:$A$601,0)),""))</f>
        <v/>
      </c>
      <c r="N184" s="19">
        <f>IF($A184="","",SUMIFS($E$2:$E$601,$A$2:$A$601,$A184))</f>
        <v/>
      </c>
      <c r="O184" s="12">
        <f>IF($A184="","",IFERROR(INDEX(CONTRATOS!$F$2:$F$601,MATCH($A184,CONTRATOS!$A$2:$A$601,0)),""))</f>
        <v/>
      </c>
      <c r="P184" s="12">
        <f>IF($A184="","",IFERROR(INDEX(CONTRATOS!$M$2:$M$601,MATCH($A184,CONTRATOS!$A$2:$A$601,0)),""))</f>
        <v/>
      </c>
      <c r="Q184" s="12">
        <f>IF($A184="","",IF(COUNTIF(CONTRATOS!$A$2:$A$601,$A184)=0,"El contrato no existe en CONTRATOS; ","")&amp;IF($B184="","Falta sujeto; ",IF(COUNTIF(SUJETOS!$A$2:$A$601,$B184)=0,"El sujeto no existe en SUJETOS; ",""))&amp;IF($E184="","Falta porcentaje; ","")&amp;IF(N184&gt;1.0001,"Los porcentajes del contrato suman más de 100 %; ","")&amp;IF(AND($C184="Individual",$E184&lt;&gt;"",$E184&lt;&gt;1),"Individual debe ser 100 %; ","")&amp;IF(AND($C184&lt;&gt;"Individual",$C184&lt;&gt;"",$E184=1),"Consorcio o UT con 100 %: revise; ","")&amp;IF(COUNTIFS($A$2:$A$601,$A184,$B$2:$B$601,$B184)&gt;1,"Participación repetida; ","")&amp;IF(AND(IFERROR(INDEX(SUJETOS!$B$2:$B$601,MATCH($B184,SUJETOS!$A$2:$A$601,0)),"")="Persona natural",$G184=""),"Persona natural sin cargo; ",""))</f>
        <v/>
      </c>
      <c r="R184" s="12">
        <f>IF($A184="","",IFERROR(IF(LEN(INDEX(SUJETOS!$F$2:$F$601,MATCH($B184,SUJETOS!$A$2:$A$601,0)))&gt;0,INDEX(SUJETOS!$F$2:$F$601,MATCH($B184,SUJETOS!$A$2:$A$601,0)),$B184),$B184))</f>
        <v/>
      </c>
    </row>
    <row r="185">
      <c r="E185" s="18" t="n"/>
      <c r="K185" s="13">
        <f>IF(OR($A185="",$E185=""),"",IFERROR(E185*INDEX(CONTRATOS!$P$2:$P$601,MATCH($A185,CONTRATOS!$A$2:$A$601,0)),""))</f>
        <v/>
      </c>
      <c r="L185" s="17">
        <f>IF(OR($A185="",$E185=""),"",IFERROR(E185*INDEX(CONTRATOS!$Z$2:$Z$601,MATCH($A185,CONTRATOS!$A$2:$A$601,0)),""))</f>
        <v/>
      </c>
      <c r="M185" s="13">
        <f>IF(OR($A185="",$E185=""),"",IFERROR(E185*INDEX(CONTRATOS!$AA$2:$AA$601,MATCH($A185,CONTRATOS!$A$2:$A$601,0)),""))</f>
        <v/>
      </c>
      <c r="N185" s="19">
        <f>IF($A185="","",SUMIFS($E$2:$E$601,$A$2:$A$601,$A185))</f>
        <v/>
      </c>
      <c r="O185" s="12">
        <f>IF($A185="","",IFERROR(INDEX(CONTRATOS!$F$2:$F$601,MATCH($A185,CONTRATOS!$A$2:$A$601,0)),""))</f>
        <v/>
      </c>
      <c r="P185" s="12">
        <f>IF($A185="","",IFERROR(INDEX(CONTRATOS!$M$2:$M$601,MATCH($A185,CONTRATOS!$A$2:$A$601,0)),""))</f>
        <v/>
      </c>
      <c r="Q185" s="12">
        <f>IF($A185="","",IF(COUNTIF(CONTRATOS!$A$2:$A$601,$A185)=0,"El contrato no existe en CONTRATOS; ","")&amp;IF($B185="","Falta sujeto; ",IF(COUNTIF(SUJETOS!$A$2:$A$601,$B185)=0,"El sujeto no existe en SUJETOS; ",""))&amp;IF($E185="","Falta porcentaje; ","")&amp;IF(N185&gt;1.0001,"Los porcentajes del contrato suman más de 100 %; ","")&amp;IF(AND($C185="Individual",$E185&lt;&gt;"",$E185&lt;&gt;1),"Individual debe ser 100 %; ","")&amp;IF(AND($C185&lt;&gt;"Individual",$C185&lt;&gt;"",$E185=1),"Consorcio o UT con 100 %: revise; ","")&amp;IF(COUNTIFS($A$2:$A$601,$A185,$B$2:$B$601,$B185)&gt;1,"Participación repetida; ","")&amp;IF(AND(IFERROR(INDEX(SUJETOS!$B$2:$B$601,MATCH($B185,SUJETOS!$A$2:$A$601,0)),"")="Persona natural",$G185=""),"Persona natural sin cargo; ",""))</f>
        <v/>
      </c>
      <c r="R185" s="12">
        <f>IF($A185="","",IFERROR(IF(LEN(INDEX(SUJETOS!$F$2:$F$601,MATCH($B185,SUJETOS!$A$2:$A$601,0)))&gt;0,INDEX(SUJETOS!$F$2:$F$601,MATCH($B185,SUJETOS!$A$2:$A$601,0)),$B185),$B185))</f>
        <v/>
      </c>
    </row>
    <row r="186">
      <c r="E186" s="18" t="n"/>
      <c r="K186" s="13">
        <f>IF(OR($A186="",$E186=""),"",IFERROR(E186*INDEX(CONTRATOS!$P$2:$P$601,MATCH($A186,CONTRATOS!$A$2:$A$601,0)),""))</f>
        <v/>
      </c>
      <c r="L186" s="17">
        <f>IF(OR($A186="",$E186=""),"",IFERROR(E186*INDEX(CONTRATOS!$Z$2:$Z$601,MATCH($A186,CONTRATOS!$A$2:$A$601,0)),""))</f>
        <v/>
      </c>
      <c r="M186" s="13">
        <f>IF(OR($A186="",$E186=""),"",IFERROR(E186*INDEX(CONTRATOS!$AA$2:$AA$601,MATCH($A186,CONTRATOS!$A$2:$A$601,0)),""))</f>
        <v/>
      </c>
      <c r="N186" s="19">
        <f>IF($A186="","",SUMIFS($E$2:$E$601,$A$2:$A$601,$A186))</f>
        <v/>
      </c>
      <c r="O186" s="12">
        <f>IF($A186="","",IFERROR(INDEX(CONTRATOS!$F$2:$F$601,MATCH($A186,CONTRATOS!$A$2:$A$601,0)),""))</f>
        <v/>
      </c>
      <c r="P186" s="12">
        <f>IF($A186="","",IFERROR(INDEX(CONTRATOS!$M$2:$M$601,MATCH($A186,CONTRATOS!$A$2:$A$601,0)),""))</f>
        <v/>
      </c>
      <c r="Q186" s="12">
        <f>IF($A186="","",IF(COUNTIF(CONTRATOS!$A$2:$A$601,$A186)=0,"El contrato no existe en CONTRATOS; ","")&amp;IF($B186="","Falta sujeto; ",IF(COUNTIF(SUJETOS!$A$2:$A$601,$B186)=0,"El sujeto no existe en SUJETOS; ",""))&amp;IF($E186="","Falta porcentaje; ","")&amp;IF(N186&gt;1.0001,"Los porcentajes del contrato suman más de 100 %; ","")&amp;IF(AND($C186="Individual",$E186&lt;&gt;"",$E186&lt;&gt;1),"Individual debe ser 100 %; ","")&amp;IF(AND($C186&lt;&gt;"Individual",$C186&lt;&gt;"",$E186=1),"Consorcio o UT con 100 %: revise; ","")&amp;IF(COUNTIFS($A$2:$A$601,$A186,$B$2:$B$601,$B186)&gt;1,"Participación repetida; ","")&amp;IF(AND(IFERROR(INDEX(SUJETOS!$B$2:$B$601,MATCH($B186,SUJETOS!$A$2:$A$601,0)),"")="Persona natural",$G186=""),"Persona natural sin cargo; ",""))</f>
        <v/>
      </c>
      <c r="R186" s="12">
        <f>IF($A186="","",IFERROR(IF(LEN(INDEX(SUJETOS!$F$2:$F$601,MATCH($B186,SUJETOS!$A$2:$A$601,0)))&gt;0,INDEX(SUJETOS!$F$2:$F$601,MATCH($B186,SUJETOS!$A$2:$A$601,0)),$B186),$B186))</f>
        <v/>
      </c>
    </row>
    <row r="187">
      <c r="E187" s="18" t="n"/>
      <c r="K187" s="13">
        <f>IF(OR($A187="",$E187=""),"",IFERROR(E187*INDEX(CONTRATOS!$P$2:$P$601,MATCH($A187,CONTRATOS!$A$2:$A$601,0)),""))</f>
        <v/>
      </c>
      <c r="L187" s="17">
        <f>IF(OR($A187="",$E187=""),"",IFERROR(E187*INDEX(CONTRATOS!$Z$2:$Z$601,MATCH($A187,CONTRATOS!$A$2:$A$601,0)),""))</f>
        <v/>
      </c>
      <c r="M187" s="13">
        <f>IF(OR($A187="",$E187=""),"",IFERROR(E187*INDEX(CONTRATOS!$AA$2:$AA$601,MATCH($A187,CONTRATOS!$A$2:$A$601,0)),""))</f>
        <v/>
      </c>
      <c r="N187" s="19">
        <f>IF($A187="","",SUMIFS($E$2:$E$601,$A$2:$A$601,$A187))</f>
        <v/>
      </c>
      <c r="O187" s="12">
        <f>IF($A187="","",IFERROR(INDEX(CONTRATOS!$F$2:$F$601,MATCH($A187,CONTRATOS!$A$2:$A$601,0)),""))</f>
        <v/>
      </c>
      <c r="P187" s="12">
        <f>IF($A187="","",IFERROR(INDEX(CONTRATOS!$M$2:$M$601,MATCH($A187,CONTRATOS!$A$2:$A$601,0)),""))</f>
        <v/>
      </c>
      <c r="Q187" s="12">
        <f>IF($A187="","",IF(COUNTIF(CONTRATOS!$A$2:$A$601,$A187)=0,"El contrato no existe en CONTRATOS; ","")&amp;IF($B187="","Falta sujeto; ",IF(COUNTIF(SUJETOS!$A$2:$A$601,$B187)=0,"El sujeto no existe en SUJETOS; ",""))&amp;IF($E187="","Falta porcentaje; ","")&amp;IF(N187&gt;1.0001,"Los porcentajes del contrato suman más de 100 %; ","")&amp;IF(AND($C187="Individual",$E187&lt;&gt;"",$E187&lt;&gt;1),"Individual debe ser 100 %; ","")&amp;IF(AND($C187&lt;&gt;"Individual",$C187&lt;&gt;"",$E187=1),"Consorcio o UT con 100 %: revise; ","")&amp;IF(COUNTIFS($A$2:$A$601,$A187,$B$2:$B$601,$B187)&gt;1,"Participación repetida; ","")&amp;IF(AND(IFERROR(INDEX(SUJETOS!$B$2:$B$601,MATCH($B187,SUJETOS!$A$2:$A$601,0)),"")="Persona natural",$G187=""),"Persona natural sin cargo; ",""))</f>
        <v/>
      </c>
      <c r="R187" s="12">
        <f>IF($A187="","",IFERROR(IF(LEN(INDEX(SUJETOS!$F$2:$F$601,MATCH($B187,SUJETOS!$A$2:$A$601,0)))&gt;0,INDEX(SUJETOS!$F$2:$F$601,MATCH($B187,SUJETOS!$A$2:$A$601,0)),$B187),$B187))</f>
        <v/>
      </c>
    </row>
    <row r="188">
      <c r="E188" s="18" t="n"/>
      <c r="K188" s="13">
        <f>IF(OR($A188="",$E188=""),"",IFERROR(E188*INDEX(CONTRATOS!$P$2:$P$601,MATCH($A188,CONTRATOS!$A$2:$A$601,0)),""))</f>
        <v/>
      </c>
      <c r="L188" s="17">
        <f>IF(OR($A188="",$E188=""),"",IFERROR(E188*INDEX(CONTRATOS!$Z$2:$Z$601,MATCH($A188,CONTRATOS!$A$2:$A$601,0)),""))</f>
        <v/>
      </c>
      <c r="M188" s="13">
        <f>IF(OR($A188="",$E188=""),"",IFERROR(E188*INDEX(CONTRATOS!$AA$2:$AA$601,MATCH($A188,CONTRATOS!$A$2:$A$601,0)),""))</f>
        <v/>
      </c>
      <c r="N188" s="19">
        <f>IF($A188="","",SUMIFS($E$2:$E$601,$A$2:$A$601,$A188))</f>
        <v/>
      </c>
      <c r="O188" s="12">
        <f>IF($A188="","",IFERROR(INDEX(CONTRATOS!$F$2:$F$601,MATCH($A188,CONTRATOS!$A$2:$A$601,0)),""))</f>
        <v/>
      </c>
      <c r="P188" s="12">
        <f>IF($A188="","",IFERROR(INDEX(CONTRATOS!$M$2:$M$601,MATCH($A188,CONTRATOS!$A$2:$A$601,0)),""))</f>
        <v/>
      </c>
      <c r="Q188" s="12">
        <f>IF($A188="","",IF(COUNTIF(CONTRATOS!$A$2:$A$601,$A188)=0,"El contrato no existe en CONTRATOS; ","")&amp;IF($B188="","Falta sujeto; ",IF(COUNTIF(SUJETOS!$A$2:$A$601,$B188)=0,"El sujeto no existe en SUJETOS; ",""))&amp;IF($E188="","Falta porcentaje; ","")&amp;IF(N188&gt;1.0001,"Los porcentajes del contrato suman más de 100 %; ","")&amp;IF(AND($C188="Individual",$E188&lt;&gt;"",$E188&lt;&gt;1),"Individual debe ser 100 %; ","")&amp;IF(AND($C188&lt;&gt;"Individual",$C188&lt;&gt;"",$E188=1),"Consorcio o UT con 100 %: revise; ","")&amp;IF(COUNTIFS($A$2:$A$601,$A188,$B$2:$B$601,$B188)&gt;1,"Participación repetida; ","")&amp;IF(AND(IFERROR(INDEX(SUJETOS!$B$2:$B$601,MATCH($B188,SUJETOS!$A$2:$A$601,0)),"")="Persona natural",$G188=""),"Persona natural sin cargo; ",""))</f>
        <v/>
      </c>
      <c r="R188" s="12">
        <f>IF($A188="","",IFERROR(IF(LEN(INDEX(SUJETOS!$F$2:$F$601,MATCH($B188,SUJETOS!$A$2:$A$601,0)))&gt;0,INDEX(SUJETOS!$F$2:$F$601,MATCH($B188,SUJETOS!$A$2:$A$601,0)),$B188),$B188))</f>
        <v/>
      </c>
    </row>
    <row r="189">
      <c r="E189" s="18" t="n"/>
      <c r="K189" s="13">
        <f>IF(OR($A189="",$E189=""),"",IFERROR(E189*INDEX(CONTRATOS!$P$2:$P$601,MATCH($A189,CONTRATOS!$A$2:$A$601,0)),""))</f>
        <v/>
      </c>
      <c r="L189" s="17">
        <f>IF(OR($A189="",$E189=""),"",IFERROR(E189*INDEX(CONTRATOS!$Z$2:$Z$601,MATCH($A189,CONTRATOS!$A$2:$A$601,0)),""))</f>
        <v/>
      </c>
      <c r="M189" s="13">
        <f>IF(OR($A189="",$E189=""),"",IFERROR(E189*INDEX(CONTRATOS!$AA$2:$AA$601,MATCH($A189,CONTRATOS!$A$2:$A$601,0)),""))</f>
        <v/>
      </c>
      <c r="N189" s="19">
        <f>IF($A189="","",SUMIFS($E$2:$E$601,$A$2:$A$601,$A189))</f>
        <v/>
      </c>
      <c r="O189" s="12">
        <f>IF($A189="","",IFERROR(INDEX(CONTRATOS!$F$2:$F$601,MATCH($A189,CONTRATOS!$A$2:$A$601,0)),""))</f>
        <v/>
      </c>
      <c r="P189" s="12">
        <f>IF($A189="","",IFERROR(INDEX(CONTRATOS!$M$2:$M$601,MATCH($A189,CONTRATOS!$A$2:$A$601,0)),""))</f>
        <v/>
      </c>
      <c r="Q189" s="12">
        <f>IF($A189="","",IF(COUNTIF(CONTRATOS!$A$2:$A$601,$A189)=0,"El contrato no existe en CONTRATOS; ","")&amp;IF($B189="","Falta sujeto; ",IF(COUNTIF(SUJETOS!$A$2:$A$601,$B189)=0,"El sujeto no existe en SUJETOS; ",""))&amp;IF($E189="","Falta porcentaje; ","")&amp;IF(N189&gt;1.0001,"Los porcentajes del contrato suman más de 100 %; ","")&amp;IF(AND($C189="Individual",$E189&lt;&gt;"",$E189&lt;&gt;1),"Individual debe ser 100 %; ","")&amp;IF(AND($C189&lt;&gt;"Individual",$C189&lt;&gt;"",$E189=1),"Consorcio o UT con 100 %: revise; ","")&amp;IF(COUNTIFS($A$2:$A$601,$A189,$B$2:$B$601,$B189)&gt;1,"Participación repetida; ","")&amp;IF(AND(IFERROR(INDEX(SUJETOS!$B$2:$B$601,MATCH($B189,SUJETOS!$A$2:$A$601,0)),"")="Persona natural",$G189=""),"Persona natural sin cargo; ",""))</f>
        <v/>
      </c>
      <c r="R189" s="12">
        <f>IF($A189="","",IFERROR(IF(LEN(INDEX(SUJETOS!$F$2:$F$601,MATCH($B189,SUJETOS!$A$2:$A$601,0)))&gt;0,INDEX(SUJETOS!$F$2:$F$601,MATCH($B189,SUJETOS!$A$2:$A$601,0)),$B189),$B189))</f>
        <v/>
      </c>
    </row>
    <row r="190">
      <c r="E190" s="18" t="n"/>
      <c r="K190" s="13">
        <f>IF(OR($A190="",$E190=""),"",IFERROR(E190*INDEX(CONTRATOS!$P$2:$P$601,MATCH($A190,CONTRATOS!$A$2:$A$601,0)),""))</f>
        <v/>
      </c>
      <c r="L190" s="17">
        <f>IF(OR($A190="",$E190=""),"",IFERROR(E190*INDEX(CONTRATOS!$Z$2:$Z$601,MATCH($A190,CONTRATOS!$A$2:$A$601,0)),""))</f>
        <v/>
      </c>
      <c r="M190" s="13">
        <f>IF(OR($A190="",$E190=""),"",IFERROR(E190*INDEX(CONTRATOS!$AA$2:$AA$601,MATCH($A190,CONTRATOS!$A$2:$A$601,0)),""))</f>
        <v/>
      </c>
      <c r="N190" s="19">
        <f>IF($A190="","",SUMIFS($E$2:$E$601,$A$2:$A$601,$A190))</f>
        <v/>
      </c>
      <c r="O190" s="12">
        <f>IF($A190="","",IFERROR(INDEX(CONTRATOS!$F$2:$F$601,MATCH($A190,CONTRATOS!$A$2:$A$601,0)),""))</f>
        <v/>
      </c>
      <c r="P190" s="12">
        <f>IF($A190="","",IFERROR(INDEX(CONTRATOS!$M$2:$M$601,MATCH($A190,CONTRATOS!$A$2:$A$601,0)),""))</f>
        <v/>
      </c>
      <c r="Q190" s="12">
        <f>IF($A190="","",IF(COUNTIF(CONTRATOS!$A$2:$A$601,$A190)=0,"El contrato no existe en CONTRATOS; ","")&amp;IF($B190="","Falta sujeto; ",IF(COUNTIF(SUJETOS!$A$2:$A$601,$B190)=0,"El sujeto no existe en SUJETOS; ",""))&amp;IF($E190="","Falta porcentaje; ","")&amp;IF(N190&gt;1.0001,"Los porcentajes del contrato suman más de 100 %; ","")&amp;IF(AND($C190="Individual",$E190&lt;&gt;"",$E190&lt;&gt;1),"Individual debe ser 100 %; ","")&amp;IF(AND($C190&lt;&gt;"Individual",$C190&lt;&gt;"",$E190=1),"Consorcio o UT con 100 %: revise; ","")&amp;IF(COUNTIFS($A$2:$A$601,$A190,$B$2:$B$601,$B190)&gt;1,"Participación repetida; ","")&amp;IF(AND(IFERROR(INDEX(SUJETOS!$B$2:$B$601,MATCH($B190,SUJETOS!$A$2:$A$601,0)),"")="Persona natural",$G190=""),"Persona natural sin cargo; ",""))</f>
        <v/>
      </c>
      <c r="R190" s="12">
        <f>IF($A190="","",IFERROR(IF(LEN(INDEX(SUJETOS!$F$2:$F$601,MATCH($B190,SUJETOS!$A$2:$A$601,0)))&gt;0,INDEX(SUJETOS!$F$2:$F$601,MATCH($B190,SUJETOS!$A$2:$A$601,0)),$B190),$B190))</f>
        <v/>
      </c>
    </row>
    <row r="191">
      <c r="E191" s="18" t="n"/>
      <c r="K191" s="13">
        <f>IF(OR($A191="",$E191=""),"",IFERROR(E191*INDEX(CONTRATOS!$P$2:$P$601,MATCH($A191,CONTRATOS!$A$2:$A$601,0)),""))</f>
        <v/>
      </c>
      <c r="L191" s="17">
        <f>IF(OR($A191="",$E191=""),"",IFERROR(E191*INDEX(CONTRATOS!$Z$2:$Z$601,MATCH($A191,CONTRATOS!$A$2:$A$601,0)),""))</f>
        <v/>
      </c>
      <c r="M191" s="13">
        <f>IF(OR($A191="",$E191=""),"",IFERROR(E191*INDEX(CONTRATOS!$AA$2:$AA$601,MATCH($A191,CONTRATOS!$A$2:$A$601,0)),""))</f>
        <v/>
      </c>
      <c r="N191" s="19">
        <f>IF($A191="","",SUMIFS($E$2:$E$601,$A$2:$A$601,$A191))</f>
        <v/>
      </c>
      <c r="O191" s="12">
        <f>IF($A191="","",IFERROR(INDEX(CONTRATOS!$F$2:$F$601,MATCH($A191,CONTRATOS!$A$2:$A$601,0)),""))</f>
        <v/>
      </c>
      <c r="P191" s="12">
        <f>IF($A191="","",IFERROR(INDEX(CONTRATOS!$M$2:$M$601,MATCH($A191,CONTRATOS!$A$2:$A$601,0)),""))</f>
        <v/>
      </c>
      <c r="Q191" s="12">
        <f>IF($A191="","",IF(COUNTIF(CONTRATOS!$A$2:$A$601,$A191)=0,"El contrato no existe en CONTRATOS; ","")&amp;IF($B191="","Falta sujeto; ",IF(COUNTIF(SUJETOS!$A$2:$A$601,$B191)=0,"El sujeto no existe en SUJETOS; ",""))&amp;IF($E191="","Falta porcentaje; ","")&amp;IF(N191&gt;1.0001,"Los porcentajes del contrato suman más de 100 %; ","")&amp;IF(AND($C191="Individual",$E191&lt;&gt;"",$E191&lt;&gt;1),"Individual debe ser 100 %; ","")&amp;IF(AND($C191&lt;&gt;"Individual",$C191&lt;&gt;"",$E191=1),"Consorcio o UT con 100 %: revise; ","")&amp;IF(COUNTIFS($A$2:$A$601,$A191,$B$2:$B$601,$B191)&gt;1,"Participación repetida; ","")&amp;IF(AND(IFERROR(INDEX(SUJETOS!$B$2:$B$601,MATCH($B191,SUJETOS!$A$2:$A$601,0)),"")="Persona natural",$G191=""),"Persona natural sin cargo; ",""))</f>
        <v/>
      </c>
      <c r="R191" s="12">
        <f>IF($A191="","",IFERROR(IF(LEN(INDEX(SUJETOS!$F$2:$F$601,MATCH($B191,SUJETOS!$A$2:$A$601,0)))&gt;0,INDEX(SUJETOS!$F$2:$F$601,MATCH($B191,SUJETOS!$A$2:$A$601,0)),$B191),$B191))</f>
        <v/>
      </c>
    </row>
    <row r="192">
      <c r="E192" s="18" t="n"/>
      <c r="K192" s="13">
        <f>IF(OR($A192="",$E192=""),"",IFERROR(E192*INDEX(CONTRATOS!$P$2:$P$601,MATCH($A192,CONTRATOS!$A$2:$A$601,0)),""))</f>
        <v/>
      </c>
      <c r="L192" s="17">
        <f>IF(OR($A192="",$E192=""),"",IFERROR(E192*INDEX(CONTRATOS!$Z$2:$Z$601,MATCH($A192,CONTRATOS!$A$2:$A$601,0)),""))</f>
        <v/>
      </c>
      <c r="M192" s="13">
        <f>IF(OR($A192="",$E192=""),"",IFERROR(E192*INDEX(CONTRATOS!$AA$2:$AA$601,MATCH($A192,CONTRATOS!$A$2:$A$601,0)),""))</f>
        <v/>
      </c>
      <c r="N192" s="19">
        <f>IF($A192="","",SUMIFS($E$2:$E$601,$A$2:$A$601,$A192))</f>
        <v/>
      </c>
      <c r="O192" s="12">
        <f>IF($A192="","",IFERROR(INDEX(CONTRATOS!$F$2:$F$601,MATCH($A192,CONTRATOS!$A$2:$A$601,0)),""))</f>
        <v/>
      </c>
      <c r="P192" s="12">
        <f>IF($A192="","",IFERROR(INDEX(CONTRATOS!$M$2:$M$601,MATCH($A192,CONTRATOS!$A$2:$A$601,0)),""))</f>
        <v/>
      </c>
      <c r="Q192" s="12">
        <f>IF($A192="","",IF(COUNTIF(CONTRATOS!$A$2:$A$601,$A192)=0,"El contrato no existe en CONTRATOS; ","")&amp;IF($B192="","Falta sujeto; ",IF(COUNTIF(SUJETOS!$A$2:$A$601,$B192)=0,"El sujeto no existe en SUJETOS; ",""))&amp;IF($E192="","Falta porcentaje; ","")&amp;IF(N192&gt;1.0001,"Los porcentajes del contrato suman más de 100 %; ","")&amp;IF(AND($C192="Individual",$E192&lt;&gt;"",$E192&lt;&gt;1),"Individual debe ser 100 %; ","")&amp;IF(AND($C192&lt;&gt;"Individual",$C192&lt;&gt;"",$E192=1),"Consorcio o UT con 100 %: revise; ","")&amp;IF(COUNTIFS($A$2:$A$601,$A192,$B$2:$B$601,$B192)&gt;1,"Participación repetida; ","")&amp;IF(AND(IFERROR(INDEX(SUJETOS!$B$2:$B$601,MATCH($B192,SUJETOS!$A$2:$A$601,0)),"")="Persona natural",$G192=""),"Persona natural sin cargo; ",""))</f>
        <v/>
      </c>
      <c r="R192" s="12">
        <f>IF($A192="","",IFERROR(IF(LEN(INDEX(SUJETOS!$F$2:$F$601,MATCH($B192,SUJETOS!$A$2:$A$601,0)))&gt;0,INDEX(SUJETOS!$F$2:$F$601,MATCH($B192,SUJETOS!$A$2:$A$601,0)),$B192),$B192))</f>
        <v/>
      </c>
    </row>
    <row r="193">
      <c r="E193" s="18" t="n"/>
      <c r="K193" s="13">
        <f>IF(OR($A193="",$E193=""),"",IFERROR(E193*INDEX(CONTRATOS!$P$2:$P$601,MATCH($A193,CONTRATOS!$A$2:$A$601,0)),""))</f>
        <v/>
      </c>
      <c r="L193" s="17">
        <f>IF(OR($A193="",$E193=""),"",IFERROR(E193*INDEX(CONTRATOS!$Z$2:$Z$601,MATCH($A193,CONTRATOS!$A$2:$A$601,0)),""))</f>
        <v/>
      </c>
      <c r="M193" s="13">
        <f>IF(OR($A193="",$E193=""),"",IFERROR(E193*INDEX(CONTRATOS!$AA$2:$AA$601,MATCH($A193,CONTRATOS!$A$2:$A$601,0)),""))</f>
        <v/>
      </c>
      <c r="N193" s="19">
        <f>IF($A193="","",SUMIFS($E$2:$E$601,$A$2:$A$601,$A193))</f>
        <v/>
      </c>
      <c r="O193" s="12">
        <f>IF($A193="","",IFERROR(INDEX(CONTRATOS!$F$2:$F$601,MATCH($A193,CONTRATOS!$A$2:$A$601,0)),""))</f>
        <v/>
      </c>
      <c r="P193" s="12">
        <f>IF($A193="","",IFERROR(INDEX(CONTRATOS!$M$2:$M$601,MATCH($A193,CONTRATOS!$A$2:$A$601,0)),""))</f>
        <v/>
      </c>
      <c r="Q193" s="12">
        <f>IF($A193="","",IF(COUNTIF(CONTRATOS!$A$2:$A$601,$A193)=0,"El contrato no existe en CONTRATOS; ","")&amp;IF($B193="","Falta sujeto; ",IF(COUNTIF(SUJETOS!$A$2:$A$601,$B193)=0,"El sujeto no existe en SUJETOS; ",""))&amp;IF($E193="","Falta porcentaje; ","")&amp;IF(N193&gt;1.0001,"Los porcentajes del contrato suman más de 100 %; ","")&amp;IF(AND($C193="Individual",$E193&lt;&gt;"",$E193&lt;&gt;1),"Individual debe ser 100 %; ","")&amp;IF(AND($C193&lt;&gt;"Individual",$C193&lt;&gt;"",$E193=1),"Consorcio o UT con 100 %: revise; ","")&amp;IF(COUNTIFS($A$2:$A$601,$A193,$B$2:$B$601,$B193)&gt;1,"Participación repetida; ","")&amp;IF(AND(IFERROR(INDEX(SUJETOS!$B$2:$B$601,MATCH($B193,SUJETOS!$A$2:$A$601,0)),"")="Persona natural",$G193=""),"Persona natural sin cargo; ",""))</f>
        <v/>
      </c>
      <c r="R193" s="12">
        <f>IF($A193="","",IFERROR(IF(LEN(INDEX(SUJETOS!$F$2:$F$601,MATCH($B193,SUJETOS!$A$2:$A$601,0)))&gt;0,INDEX(SUJETOS!$F$2:$F$601,MATCH($B193,SUJETOS!$A$2:$A$601,0)),$B193),$B193))</f>
        <v/>
      </c>
    </row>
    <row r="194">
      <c r="E194" s="18" t="n"/>
      <c r="K194" s="13">
        <f>IF(OR($A194="",$E194=""),"",IFERROR(E194*INDEX(CONTRATOS!$P$2:$P$601,MATCH($A194,CONTRATOS!$A$2:$A$601,0)),""))</f>
        <v/>
      </c>
      <c r="L194" s="17">
        <f>IF(OR($A194="",$E194=""),"",IFERROR(E194*INDEX(CONTRATOS!$Z$2:$Z$601,MATCH($A194,CONTRATOS!$A$2:$A$601,0)),""))</f>
        <v/>
      </c>
      <c r="M194" s="13">
        <f>IF(OR($A194="",$E194=""),"",IFERROR(E194*INDEX(CONTRATOS!$AA$2:$AA$601,MATCH($A194,CONTRATOS!$A$2:$A$601,0)),""))</f>
        <v/>
      </c>
      <c r="N194" s="19">
        <f>IF($A194="","",SUMIFS($E$2:$E$601,$A$2:$A$601,$A194))</f>
        <v/>
      </c>
      <c r="O194" s="12">
        <f>IF($A194="","",IFERROR(INDEX(CONTRATOS!$F$2:$F$601,MATCH($A194,CONTRATOS!$A$2:$A$601,0)),""))</f>
        <v/>
      </c>
      <c r="P194" s="12">
        <f>IF($A194="","",IFERROR(INDEX(CONTRATOS!$M$2:$M$601,MATCH($A194,CONTRATOS!$A$2:$A$601,0)),""))</f>
        <v/>
      </c>
      <c r="Q194" s="12">
        <f>IF($A194="","",IF(COUNTIF(CONTRATOS!$A$2:$A$601,$A194)=0,"El contrato no existe en CONTRATOS; ","")&amp;IF($B194="","Falta sujeto; ",IF(COUNTIF(SUJETOS!$A$2:$A$601,$B194)=0,"El sujeto no existe en SUJETOS; ",""))&amp;IF($E194="","Falta porcentaje; ","")&amp;IF(N194&gt;1.0001,"Los porcentajes del contrato suman más de 100 %; ","")&amp;IF(AND($C194="Individual",$E194&lt;&gt;"",$E194&lt;&gt;1),"Individual debe ser 100 %; ","")&amp;IF(AND($C194&lt;&gt;"Individual",$C194&lt;&gt;"",$E194=1),"Consorcio o UT con 100 %: revise; ","")&amp;IF(COUNTIFS($A$2:$A$601,$A194,$B$2:$B$601,$B194)&gt;1,"Participación repetida; ","")&amp;IF(AND(IFERROR(INDEX(SUJETOS!$B$2:$B$601,MATCH($B194,SUJETOS!$A$2:$A$601,0)),"")="Persona natural",$G194=""),"Persona natural sin cargo; ",""))</f>
        <v/>
      </c>
      <c r="R194" s="12">
        <f>IF($A194="","",IFERROR(IF(LEN(INDEX(SUJETOS!$F$2:$F$601,MATCH($B194,SUJETOS!$A$2:$A$601,0)))&gt;0,INDEX(SUJETOS!$F$2:$F$601,MATCH($B194,SUJETOS!$A$2:$A$601,0)),$B194),$B194))</f>
        <v/>
      </c>
    </row>
    <row r="195">
      <c r="E195" s="18" t="n"/>
      <c r="K195" s="13">
        <f>IF(OR($A195="",$E195=""),"",IFERROR(E195*INDEX(CONTRATOS!$P$2:$P$601,MATCH($A195,CONTRATOS!$A$2:$A$601,0)),""))</f>
        <v/>
      </c>
      <c r="L195" s="17">
        <f>IF(OR($A195="",$E195=""),"",IFERROR(E195*INDEX(CONTRATOS!$Z$2:$Z$601,MATCH($A195,CONTRATOS!$A$2:$A$601,0)),""))</f>
        <v/>
      </c>
      <c r="M195" s="13">
        <f>IF(OR($A195="",$E195=""),"",IFERROR(E195*INDEX(CONTRATOS!$AA$2:$AA$601,MATCH($A195,CONTRATOS!$A$2:$A$601,0)),""))</f>
        <v/>
      </c>
      <c r="N195" s="19">
        <f>IF($A195="","",SUMIFS($E$2:$E$601,$A$2:$A$601,$A195))</f>
        <v/>
      </c>
      <c r="O195" s="12">
        <f>IF($A195="","",IFERROR(INDEX(CONTRATOS!$F$2:$F$601,MATCH($A195,CONTRATOS!$A$2:$A$601,0)),""))</f>
        <v/>
      </c>
      <c r="P195" s="12">
        <f>IF($A195="","",IFERROR(INDEX(CONTRATOS!$M$2:$M$601,MATCH($A195,CONTRATOS!$A$2:$A$601,0)),""))</f>
        <v/>
      </c>
      <c r="Q195" s="12">
        <f>IF($A195="","",IF(COUNTIF(CONTRATOS!$A$2:$A$601,$A195)=0,"El contrato no existe en CONTRATOS; ","")&amp;IF($B195="","Falta sujeto; ",IF(COUNTIF(SUJETOS!$A$2:$A$601,$B195)=0,"El sujeto no existe en SUJETOS; ",""))&amp;IF($E195="","Falta porcentaje; ","")&amp;IF(N195&gt;1.0001,"Los porcentajes del contrato suman más de 100 %; ","")&amp;IF(AND($C195="Individual",$E195&lt;&gt;"",$E195&lt;&gt;1),"Individual debe ser 100 %; ","")&amp;IF(AND($C195&lt;&gt;"Individual",$C195&lt;&gt;"",$E195=1),"Consorcio o UT con 100 %: revise; ","")&amp;IF(COUNTIFS($A$2:$A$601,$A195,$B$2:$B$601,$B195)&gt;1,"Participación repetida; ","")&amp;IF(AND(IFERROR(INDEX(SUJETOS!$B$2:$B$601,MATCH($B195,SUJETOS!$A$2:$A$601,0)),"")="Persona natural",$G195=""),"Persona natural sin cargo; ",""))</f>
        <v/>
      </c>
      <c r="R195" s="12">
        <f>IF($A195="","",IFERROR(IF(LEN(INDEX(SUJETOS!$F$2:$F$601,MATCH($B195,SUJETOS!$A$2:$A$601,0)))&gt;0,INDEX(SUJETOS!$F$2:$F$601,MATCH($B195,SUJETOS!$A$2:$A$601,0)),$B195),$B195))</f>
        <v/>
      </c>
    </row>
    <row r="196">
      <c r="E196" s="18" t="n"/>
      <c r="K196" s="13">
        <f>IF(OR($A196="",$E196=""),"",IFERROR(E196*INDEX(CONTRATOS!$P$2:$P$601,MATCH($A196,CONTRATOS!$A$2:$A$601,0)),""))</f>
        <v/>
      </c>
      <c r="L196" s="17">
        <f>IF(OR($A196="",$E196=""),"",IFERROR(E196*INDEX(CONTRATOS!$Z$2:$Z$601,MATCH($A196,CONTRATOS!$A$2:$A$601,0)),""))</f>
        <v/>
      </c>
      <c r="M196" s="13">
        <f>IF(OR($A196="",$E196=""),"",IFERROR(E196*INDEX(CONTRATOS!$AA$2:$AA$601,MATCH($A196,CONTRATOS!$A$2:$A$601,0)),""))</f>
        <v/>
      </c>
      <c r="N196" s="19">
        <f>IF($A196="","",SUMIFS($E$2:$E$601,$A$2:$A$601,$A196))</f>
        <v/>
      </c>
      <c r="O196" s="12">
        <f>IF($A196="","",IFERROR(INDEX(CONTRATOS!$F$2:$F$601,MATCH($A196,CONTRATOS!$A$2:$A$601,0)),""))</f>
        <v/>
      </c>
      <c r="P196" s="12">
        <f>IF($A196="","",IFERROR(INDEX(CONTRATOS!$M$2:$M$601,MATCH($A196,CONTRATOS!$A$2:$A$601,0)),""))</f>
        <v/>
      </c>
      <c r="Q196" s="12">
        <f>IF($A196="","",IF(COUNTIF(CONTRATOS!$A$2:$A$601,$A196)=0,"El contrato no existe en CONTRATOS; ","")&amp;IF($B196="","Falta sujeto; ",IF(COUNTIF(SUJETOS!$A$2:$A$601,$B196)=0,"El sujeto no existe en SUJETOS; ",""))&amp;IF($E196="","Falta porcentaje; ","")&amp;IF(N196&gt;1.0001,"Los porcentajes del contrato suman más de 100 %; ","")&amp;IF(AND($C196="Individual",$E196&lt;&gt;"",$E196&lt;&gt;1),"Individual debe ser 100 %; ","")&amp;IF(AND($C196&lt;&gt;"Individual",$C196&lt;&gt;"",$E196=1),"Consorcio o UT con 100 %: revise; ","")&amp;IF(COUNTIFS($A$2:$A$601,$A196,$B$2:$B$601,$B196)&gt;1,"Participación repetida; ","")&amp;IF(AND(IFERROR(INDEX(SUJETOS!$B$2:$B$601,MATCH($B196,SUJETOS!$A$2:$A$601,0)),"")="Persona natural",$G196=""),"Persona natural sin cargo; ",""))</f>
        <v/>
      </c>
      <c r="R196" s="12">
        <f>IF($A196="","",IFERROR(IF(LEN(INDEX(SUJETOS!$F$2:$F$601,MATCH($B196,SUJETOS!$A$2:$A$601,0)))&gt;0,INDEX(SUJETOS!$F$2:$F$601,MATCH($B196,SUJETOS!$A$2:$A$601,0)),$B196),$B196))</f>
        <v/>
      </c>
    </row>
    <row r="197">
      <c r="E197" s="18" t="n"/>
      <c r="K197" s="13">
        <f>IF(OR($A197="",$E197=""),"",IFERROR(E197*INDEX(CONTRATOS!$P$2:$P$601,MATCH($A197,CONTRATOS!$A$2:$A$601,0)),""))</f>
        <v/>
      </c>
      <c r="L197" s="17">
        <f>IF(OR($A197="",$E197=""),"",IFERROR(E197*INDEX(CONTRATOS!$Z$2:$Z$601,MATCH($A197,CONTRATOS!$A$2:$A$601,0)),""))</f>
        <v/>
      </c>
      <c r="M197" s="13">
        <f>IF(OR($A197="",$E197=""),"",IFERROR(E197*INDEX(CONTRATOS!$AA$2:$AA$601,MATCH($A197,CONTRATOS!$A$2:$A$601,0)),""))</f>
        <v/>
      </c>
      <c r="N197" s="19">
        <f>IF($A197="","",SUMIFS($E$2:$E$601,$A$2:$A$601,$A197))</f>
        <v/>
      </c>
      <c r="O197" s="12">
        <f>IF($A197="","",IFERROR(INDEX(CONTRATOS!$F$2:$F$601,MATCH($A197,CONTRATOS!$A$2:$A$601,0)),""))</f>
        <v/>
      </c>
      <c r="P197" s="12">
        <f>IF($A197="","",IFERROR(INDEX(CONTRATOS!$M$2:$M$601,MATCH($A197,CONTRATOS!$A$2:$A$601,0)),""))</f>
        <v/>
      </c>
      <c r="Q197" s="12">
        <f>IF($A197="","",IF(COUNTIF(CONTRATOS!$A$2:$A$601,$A197)=0,"El contrato no existe en CONTRATOS; ","")&amp;IF($B197="","Falta sujeto; ",IF(COUNTIF(SUJETOS!$A$2:$A$601,$B197)=0,"El sujeto no existe en SUJETOS; ",""))&amp;IF($E197="","Falta porcentaje; ","")&amp;IF(N197&gt;1.0001,"Los porcentajes del contrato suman más de 100 %; ","")&amp;IF(AND($C197="Individual",$E197&lt;&gt;"",$E197&lt;&gt;1),"Individual debe ser 100 %; ","")&amp;IF(AND($C197&lt;&gt;"Individual",$C197&lt;&gt;"",$E197=1),"Consorcio o UT con 100 %: revise; ","")&amp;IF(COUNTIFS($A$2:$A$601,$A197,$B$2:$B$601,$B197)&gt;1,"Participación repetida; ","")&amp;IF(AND(IFERROR(INDEX(SUJETOS!$B$2:$B$601,MATCH($B197,SUJETOS!$A$2:$A$601,0)),"")="Persona natural",$G197=""),"Persona natural sin cargo; ",""))</f>
        <v/>
      </c>
      <c r="R197" s="12">
        <f>IF($A197="","",IFERROR(IF(LEN(INDEX(SUJETOS!$F$2:$F$601,MATCH($B197,SUJETOS!$A$2:$A$601,0)))&gt;0,INDEX(SUJETOS!$F$2:$F$601,MATCH($B197,SUJETOS!$A$2:$A$601,0)),$B197),$B197))</f>
        <v/>
      </c>
    </row>
    <row r="198">
      <c r="E198" s="18" t="n"/>
      <c r="K198" s="13">
        <f>IF(OR($A198="",$E198=""),"",IFERROR(E198*INDEX(CONTRATOS!$P$2:$P$601,MATCH($A198,CONTRATOS!$A$2:$A$601,0)),""))</f>
        <v/>
      </c>
      <c r="L198" s="17">
        <f>IF(OR($A198="",$E198=""),"",IFERROR(E198*INDEX(CONTRATOS!$Z$2:$Z$601,MATCH($A198,CONTRATOS!$A$2:$A$601,0)),""))</f>
        <v/>
      </c>
      <c r="M198" s="13">
        <f>IF(OR($A198="",$E198=""),"",IFERROR(E198*INDEX(CONTRATOS!$AA$2:$AA$601,MATCH($A198,CONTRATOS!$A$2:$A$601,0)),""))</f>
        <v/>
      </c>
      <c r="N198" s="19">
        <f>IF($A198="","",SUMIFS($E$2:$E$601,$A$2:$A$601,$A198))</f>
        <v/>
      </c>
      <c r="O198" s="12">
        <f>IF($A198="","",IFERROR(INDEX(CONTRATOS!$F$2:$F$601,MATCH($A198,CONTRATOS!$A$2:$A$601,0)),""))</f>
        <v/>
      </c>
      <c r="P198" s="12">
        <f>IF($A198="","",IFERROR(INDEX(CONTRATOS!$M$2:$M$601,MATCH($A198,CONTRATOS!$A$2:$A$601,0)),""))</f>
        <v/>
      </c>
      <c r="Q198" s="12">
        <f>IF($A198="","",IF(COUNTIF(CONTRATOS!$A$2:$A$601,$A198)=0,"El contrato no existe en CONTRATOS; ","")&amp;IF($B198="","Falta sujeto; ",IF(COUNTIF(SUJETOS!$A$2:$A$601,$B198)=0,"El sujeto no existe en SUJETOS; ",""))&amp;IF($E198="","Falta porcentaje; ","")&amp;IF(N198&gt;1.0001,"Los porcentajes del contrato suman más de 100 %; ","")&amp;IF(AND($C198="Individual",$E198&lt;&gt;"",$E198&lt;&gt;1),"Individual debe ser 100 %; ","")&amp;IF(AND($C198&lt;&gt;"Individual",$C198&lt;&gt;"",$E198=1),"Consorcio o UT con 100 %: revise; ","")&amp;IF(COUNTIFS($A$2:$A$601,$A198,$B$2:$B$601,$B198)&gt;1,"Participación repetida; ","")&amp;IF(AND(IFERROR(INDEX(SUJETOS!$B$2:$B$601,MATCH($B198,SUJETOS!$A$2:$A$601,0)),"")="Persona natural",$G198=""),"Persona natural sin cargo; ",""))</f>
        <v/>
      </c>
      <c r="R198" s="12">
        <f>IF($A198="","",IFERROR(IF(LEN(INDEX(SUJETOS!$F$2:$F$601,MATCH($B198,SUJETOS!$A$2:$A$601,0)))&gt;0,INDEX(SUJETOS!$F$2:$F$601,MATCH($B198,SUJETOS!$A$2:$A$601,0)),$B198),$B198))</f>
        <v/>
      </c>
    </row>
    <row r="199">
      <c r="E199" s="18" t="n"/>
      <c r="K199" s="13">
        <f>IF(OR($A199="",$E199=""),"",IFERROR(E199*INDEX(CONTRATOS!$P$2:$P$601,MATCH($A199,CONTRATOS!$A$2:$A$601,0)),""))</f>
        <v/>
      </c>
      <c r="L199" s="17">
        <f>IF(OR($A199="",$E199=""),"",IFERROR(E199*INDEX(CONTRATOS!$Z$2:$Z$601,MATCH($A199,CONTRATOS!$A$2:$A$601,0)),""))</f>
        <v/>
      </c>
      <c r="M199" s="13">
        <f>IF(OR($A199="",$E199=""),"",IFERROR(E199*INDEX(CONTRATOS!$AA$2:$AA$601,MATCH($A199,CONTRATOS!$A$2:$A$601,0)),""))</f>
        <v/>
      </c>
      <c r="N199" s="19">
        <f>IF($A199="","",SUMIFS($E$2:$E$601,$A$2:$A$601,$A199))</f>
        <v/>
      </c>
      <c r="O199" s="12">
        <f>IF($A199="","",IFERROR(INDEX(CONTRATOS!$F$2:$F$601,MATCH($A199,CONTRATOS!$A$2:$A$601,0)),""))</f>
        <v/>
      </c>
      <c r="P199" s="12">
        <f>IF($A199="","",IFERROR(INDEX(CONTRATOS!$M$2:$M$601,MATCH($A199,CONTRATOS!$A$2:$A$601,0)),""))</f>
        <v/>
      </c>
      <c r="Q199" s="12">
        <f>IF($A199="","",IF(COUNTIF(CONTRATOS!$A$2:$A$601,$A199)=0,"El contrato no existe en CONTRATOS; ","")&amp;IF($B199="","Falta sujeto; ",IF(COUNTIF(SUJETOS!$A$2:$A$601,$B199)=0,"El sujeto no existe en SUJETOS; ",""))&amp;IF($E199="","Falta porcentaje; ","")&amp;IF(N199&gt;1.0001,"Los porcentajes del contrato suman más de 100 %; ","")&amp;IF(AND($C199="Individual",$E199&lt;&gt;"",$E199&lt;&gt;1),"Individual debe ser 100 %; ","")&amp;IF(AND($C199&lt;&gt;"Individual",$C199&lt;&gt;"",$E199=1),"Consorcio o UT con 100 %: revise; ","")&amp;IF(COUNTIFS($A$2:$A$601,$A199,$B$2:$B$601,$B199)&gt;1,"Participación repetida; ","")&amp;IF(AND(IFERROR(INDEX(SUJETOS!$B$2:$B$601,MATCH($B199,SUJETOS!$A$2:$A$601,0)),"")="Persona natural",$G199=""),"Persona natural sin cargo; ",""))</f>
        <v/>
      </c>
      <c r="R199" s="12">
        <f>IF($A199="","",IFERROR(IF(LEN(INDEX(SUJETOS!$F$2:$F$601,MATCH($B199,SUJETOS!$A$2:$A$601,0)))&gt;0,INDEX(SUJETOS!$F$2:$F$601,MATCH($B199,SUJETOS!$A$2:$A$601,0)),$B199),$B199))</f>
        <v/>
      </c>
    </row>
    <row r="200">
      <c r="E200" s="18" t="n"/>
      <c r="K200" s="13">
        <f>IF(OR($A200="",$E200=""),"",IFERROR(E200*INDEX(CONTRATOS!$P$2:$P$601,MATCH($A200,CONTRATOS!$A$2:$A$601,0)),""))</f>
        <v/>
      </c>
      <c r="L200" s="17">
        <f>IF(OR($A200="",$E200=""),"",IFERROR(E200*INDEX(CONTRATOS!$Z$2:$Z$601,MATCH($A200,CONTRATOS!$A$2:$A$601,0)),""))</f>
        <v/>
      </c>
      <c r="M200" s="13">
        <f>IF(OR($A200="",$E200=""),"",IFERROR(E200*INDEX(CONTRATOS!$AA$2:$AA$601,MATCH($A200,CONTRATOS!$A$2:$A$601,0)),""))</f>
        <v/>
      </c>
      <c r="N200" s="19">
        <f>IF($A200="","",SUMIFS($E$2:$E$601,$A$2:$A$601,$A200))</f>
        <v/>
      </c>
      <c r="O200" s="12">
        <f>IF($A200="","",IFERROR(INDEX(CONTRATOS!$F$2:$F$601,MATCH($A200,CONTRATOS!$A$2:$A$601,0)),""))</f>
        <v/>
      </c>
      <c r="P200" s="12">
        <f>IF($A200="","",IFERROR(INDEX(CONTRATOS!$M$2:$M$601,MATCH($A200,CONTRATOS!$A$2:$A$601,0)),""))</f>
        <v/>
      </c>
      <c r="Q200" s="12">
        <f>IF($A200="","",IF(COUNTIF(CONTRATOS!$A$2:$A$601,$A200)=0,"El contrato no existe en CONTRATOS; ","")&amp;IF($B200="","Falta sujeto; ",IF(COUNTIF(SUJETOS!$A$2:$A$601,$B200)=0,"El sujeto no existe en SUJETOS; ",""))&amp;IF($E200="","Falta porcentaje; ","")&amp;IF(N200&gt;1.0001,"Los porcentajes del contrato suman más de 100 %; ","")&amp;IF(AND($C200="Individual",$E200&lt;&gt;"",$E200&lt;&gt;1),"Individual debe ser 100 %; ","")&amp;IF(AND($C200&lt;&gt;"Individual",$C200&lt;&gt;"",$E200=1),"Consorcio o UT con 100 %: revise; ","")&amp;IF(COUNTIFS($A$2:$A$601,$A200,$B$2:$B$601,$B200)&gt;1,"Participación repetida; ","")&amp;IF(AND(IFERROR(INDEX(SUJETOS!$B$2:$B$601,MATCH($B200,SUJETOS!$A$2:$A$601,0)),"")="Persona natural",$G200=""),"Persona natural sin cargo; ",""))</f>
        <v/>
      </c>
      <c r="R200" s="12">
        <f>IF($A200="","",IFERROR(IF(LEN(INDEX(SUJETOS!$F$2:$F$601,MATCH($B200,SUJETOS!$A$2:$A$601,0)))&gt;0,INDEX(SUJETOS!$F$2:$F$601,MATCH($B200,SUJETOS!$A$2:$A$601,0)),$B200),$B200))</f>
        <v/>
      </c>
    </row>
    <row r="201">
      <c r="E201" s="18" t="n"/>
      <c r="K201" s="13">
        <f>IF(OR($A201="",$E201=""),"",IFERROR(E201*INDEX(CONTRATOS!$P$2:$P$601,MATCH($A201,CONTRATOS!$A$2:$A$601,0)),""))</f>
        <v/>
      </c>
      <c r="L201" s="17">
        <f>IF(OR($A201="",$E201=""),"",IFERROR(E201*INDEX(CONTRATOS!$Z$2:$Z$601,MATCH($A201,CONTRATOS!$A$2:$A$601,0)),""))</f>
        <v/>
      </c>
      <c r="M201" s="13">
        <f>IF(OR($A201="",$E201=""),"",IFERROR(E201*INDEX(CONTRATOS!$AA$2:$AA$601,MATCH($A201,CONTRATOS!$A$2:$A$601,0)),""))</f>
        <v/>
      </c>
      <c r="N201" s="19">
        <f>IF($A201="","",SUMIFS($E$2:$E$601,$A$2:$A$601,$A201))</f>
        <v/>
      </c>
      <c r="O201" s="12">
        <f>IF($A201="","",IFERROR(INDEX(CONTRATOS!$F$2:$F$601,MATCH($A201,CONTRATOS!$A$2:$A$601,0)),""))</f>
        <v/>
      </c>
      <c r="P201" s="12">
        <f>IF($A201="","",IFERROR(INDEX(CONTRATOS!$M$2:$M$601,MATCH($A201,CONTRATOS!$A$2:$A$601,0)),""))</f>
        <v/>
      </c>
      <c r="Q201" s="12">
        <f>IF($A201="","",IF(COUNTIF(CONTRATOS!$A$2:$A$601,$A201)=0,"El contrato no existe en CONTRATOS; ","")&amp;IF($B201="","Falta sujeto; ",IF(COUNTIF(SUJETOS!$A$2:$A$601,$B201)=0,"El sujeto no existe en SUJETOS; ",""))&amp;IF($E201="","Falta porcentaje; ","")&amp;IF(N201&gt;1.0001,"Los porcentajes del contrato suman más de 100 %; ","")&amp;IF(AND($C201="Individual",$E201&lt;&gt;"",$E201&lt;&gt;1),"Individual debe ser 100 %; ","")&amp;IF(AND($C201&lt;&gt;"Individual",$C201&lt;&gt;"",$E201=1),"Consorcio o UT con 100 %: revise; ","")&amp;IF(COUNTIFS($A$2:$A$601,$A201,$B$2:$B$601,$B201)&gt;1,"Participación repetida; ","")&amp;IF(AND(IFERROR(INDEX(SUJETOS!$B$2:$B$601,MATCH($B201,SUJETOS!$A$2:$A$601,0)),"")="Persona natural",$G201=""),"Persona natural sin cargo; ",""))</f>
        <v/>
      </c>
      <c r="R201" s="12">
        <f>IF($A201="","",IFERROR(IF(LEN(INDEX(SUJETOS!$F$2:$F$601,MATCH($B201,SUJETOS!$A$2:$A$601,0)))&gt;0,INDEX(SUJETOS!$F$2:$F$601,MATCH($B201,SUJETOS!$A$2:$A$601,0)),$B201),$B201))</f>
        <v/>
      </c>
    </row>
    <row r="202">
      <c r="E202" s="18" t="n"/>
      <c r="K202" s="13">
        <f>IF(OR($A202="",$E202=""),"",IFERROR(E202*INDEX(CONTRATOS!$P$2:$P$601,MATCH($A202,CONTRATOS!$A$2:$A$601,0)),""))</f>
        <v/>
      </c>
      <c r="L202" s="17">
        <f>IF(OR($A202="",$E202=""),"",IFERROR(E202*INDEX(CONTRATOS!$Z$2:$Z$601,MATCH($A202,CONTRATOS!$A$2:$A$601,0)),""))</f>
        <v/>
      </c>
      <c r="M202" s="13">
        <f>IF(OR($A202="",$E202=""),"",IFERROR(E202*INDEX(CONTRATOS!$AA$2:$AA$601,MATCH($A202,CONTRATOS!$A$2:$A$601,0)),""))</f>
        <v/>
      </c>
      <c r="N202" s="19">
        <f>IF($A202="","",SUMIFS($E$2:$E$601,$A$2:$A$601,$A202))</f>
        <v/>
      </c>
      <c r="O202" s="12">
        <f>IF($A202="","",IFERROR(INDEX(CONTRATOS!$F$2:$F$601,MATCH($A202,CONTRATOS!$A$2:$A$601,0)),""))</f>
        <v/>
      </c>
      <c r="P202" s="12">
        <f>IF($A202="","",IFERROR(INDEX(CONTRATOS!$M$2:$M$601,MATCH($A202,CONTRATOS!$A$2:$A$601,0)),""))</f>
        <v/>
      </c>
      <c r="Q202" s="12">
        <f>IF($A202="","",IF(COUNTIF(CONTRATOS!$A$2:$A$601,$A202)=0,"El contrato no existe en CONTRATOS; ","")&amp;IF($B202="","Falta sujeto; ",IF(COUNTIF(SUJETOS!$A$2:$A$601,$B202)=0,"El sujeto no existe en SUJETOS; ",""))&amp;IF($E202="","Falta porcentaje; ","")&amp;IF(N202&gt;1.0001,"Los porcentajes del contrato suman más de 100 %; ","")&amp;IF(AND($C202="Individual",$E202&lt;&gt;"",$E202&lt;&gt;1),"Individual debe ser 100 %; ","")&amp;IF(AND($C202&lt;&gt;"Individual",$C202&lt;&gt;"",$E202=1),"Consorcio o UT con 100 %: revise; ","")&amp;IF(COUNTIFS($A$2:$A$601,$A202,$B$2:$B$601,$B202)&gt;1,"Participación repetida; ","")&amp;IF(AND(IFERROR(INDEX(SUJETOS!$B$2:$B$601,MATCH($B202,SUJETOS!$A$2:$A$601,0)),"")="Persona natural",$G202=""),"Persona natural sin cargo; ",""))</f>
        <v/>
      </c>
      <c r="R202" s="12">
        <f>IF($A202="","",IFERROR(IF(LEN(INDEX(SUJETOS!$F$2:$F$601,MATCH($B202,SUJETOS!$A$2:$A$601,0)))&gt;0,INDEX(SUJETOS!$F$2:$F$601,MATCH($B202,SUJETOS!$A$2:$A$601,0)),$B202),$B202))</f>
        <v/>
      </c>
    </row>
    <row r="203">
      <c r="E203" s="18" t="n"/>
      <c r="K203" s="13">
        <f>IF(OR($A203="",$E203=""),"",IFERROR(E203*INDEX(CONTRATOS!$P$2:$P$601,MATCH($A203,CONTRATOS!$A$2:$A$601,0)),""))</f>
        <v/>
      </c>
      <c r="L203" s="17">
        <f>IF(OR($A203="",$E203=""),"",IFERROR(E203*INDEX(CONTRATOS!$Z$2:$Z$601,MATCH($A203,CONTRATOS!$A$2:$A$601,0)),""))</f>
        <v/>
      </c>
      <c r="M203" s="13">
        <f>IF(OR($A203="",$E203=""),"",IFERROR(E203*INDEX(CONTRATOS!$AA$2:$AA$601,MATCH($A203,CONTRATOS!$A$2:$A$601,0)),""))</f>
        <v/>
      </c>
      <c r="N203" s="19">
        <f>IF($A203="","",SUMIFS($E$2:$E$601,$A$2:$A$601,$A203))</f>
        <v/>
      </c>
      <c r="O203" s="12">
        <f>IF($A203="","",IFERROR(INDEX(CONTRATOS!$F$2:$F$601,MATCH($A203,CONTRATOS!$A$2:$A$601,0)),""))</f>
        <v/>
      </c>
      <c r="P203" s="12">
        <f>IF($A203="","",IFERROR(INDEX(CONTRATOS!$M$2:$M$601,MATCH($A203,CONTRATOS!$A$2:$A$601,0)),""))</f>
        <v/>
      </c>
      <c r="Q203" s="12">
        <f>IF($A203="","",IF(COUNTIF(CONTRATOS!$A$2:$A$601,$A203)=0,"El contrato no existe en CONTRATOS; ","")&amp;IF($B203="","Falta sujeto; ",IF(COUNTIF(SUJETOS!$A$2:$A$601,$B203)=0,"El sujeto no existe en SUJETOS; ",""))&amp;IF($E203="","Falta porcentaje; ","")&amp;IF(N203&gt;1.0001,"Los porcentajes del contrato suman más de 100 %; ","")&amp;IF(AND($C203="Individual",$E203&lt;&gt;"",$E203&lt;&gt;1),"Individual debe ser 100 %; ","")&amp;IF(AND($C203&lt;&gt;"Individual",$C203&lt;&gt;"",$E203=1),"Consorcio o UT con 100 %: revise; ","")&amp;IF(COUNTIFS($A$2:$A$601,$A203,$B$2:$B$601,$B203)&gt;1,"Participación repetida; ","")&amp;IF(AND(IFERROR(INDEX(SUJETOS!$B$2:$B$601,MATCH($B203,SUJETOS!$A$2:$A$601,0)),"")="Persona natural",$G203=""),"Persona natural sin cargo; ",""))</f>
        <v/>
      </c>
      <c r="R203" s="12">
        <f>IF($A203="","",IFERROR(IF(LEN(INDEX(SUJETOS!$F$2:$F$601,MATCH($B203,SUJETOS!$A$2:$A$601,0)))&gt;0,INDEX(SUJETOS!$F$2:$F$601,MATCH($B203,SUJETOS!$A$2:$A$601,0)),$B203),$B203))</f>
        <v/>
      </c>
    </row>
    <row r="204">
      <c r="E204" s="18" t="n"/>
      <c r="K204" s="13">
        <f>IF(OR($A204="",$E204=""),"",IFERROR(E204*INDEX(CONTRATOS!$P$2:$P$601,MATCH($A204,CONTRATOS!$A$2:$A$601,0)),""))</f>
        <v/>
      </c>
      <c r="L204" s="17">
        <f>IF(OR($A204="",$E204=""),"",IFERROR(E204*INDEX(CONTRATOS!$Z$2:$Z$601,MATCH($A204,CONTRATOS!$A$2:$A$601,0)),""))</f>
        <v/>
      </c>
      <c r="M204" s="13">
        <f>IF(OR($A204="",$E204=""),"",IFERROR(E204*INDEX(CONTRATOS!$AA$2:$AA$601,MATCH($A204,CONTRATOS!$A$2:$A$601,0)),""))</f>
        <v/>
      </c>
      <c r="N204" s="19">
        <f>IF($A204="","",SUMIFS($E$2:$E$601,$A$2:$A$601,$A204))</f>
        <v/>
      </c>
      <c r="O204" s="12">
        <f>IF($A204="","",IFERROR(INDEX(CONTRATOS!$F$2:$F$601,MATCH($A204,CONTRATOS!$A$2:$A$601,0)),""))</f>
        <v/>
      </c>
      <c r="P204" s="12">
        <f>IF($A204="","",IFERROR(INDEX(CONTRATOS!$M$2:$M$601,MATCH($A204,CONTRATOS!$A$2:$A$601,0)),""))</f>
        <v/>
      </c>
      <c r="Q204" s="12">
        <f>IF($A204="","",IF(COUNTIF(CONTRATOS!$A$2:$A$601,$A204)=0,"El contrato no existe en CONTRATOS; ","")&amp;IF($B204="","Falta sujeto; ",IF(COUNTIF(SUJETOS!$A$2:$A$601,$B204)=0,"El sujeto no existe en SUJETOS; ",""))&amp;IF($E204="","Falta porcentaje; ","")&amp;IF(N204&gt;1.0001,"Los porcentajes del contrato suman más de 100 %; ","")&amp;IF(AND($C204="Individual",$E204&lt;&gt;"",$E204&lt;&gt;1),"Individual debe ser 100 %; ","")&amp;IF(AND($C204&lt;&gt;"Individual",$C204&lt;&gt;"",$E204=1),"Consorcio o UT con 100 %: revise; ","")&amp;IF(COUNTIFS($A$2:$A$601,$A204,$B$2:$B$601,$B204)&gt;1,"Participación repetida; ","")&amp;IF(AND(IFERROR(INDEX(SUJETOS!$B$2:$B$601,MATCH($B204,SUJETOS!$A$2:$A$601,0)),"")="Persona natural",$G204=""),"Persona natural sin cargo; ",""))</f>
        <v/>
      </c>
      <c r="R204" s="12">
        <f>IF($A204="","",IFERROR(IF(LEN(INDEX(SUJETOS!$F$2:$F$601,MATCH($B204,SUJETOS!$A$2:$A$601,0)))&gt;0,INDEX(SUJETOS!$F$2:$F$601,MATCH($B204,SUJETOS!$A$2:$A$601,0)),$B204),$B204))</f>
        <v/>
      </c>
    </row>
    <row r="205">
      <c r="E205" s="18" t="n"/>
      <c r="K205" s="13">
        <f>IF(OR($A205="",$E205=""),"",IFERROR(E205*INDEX(CONTRATOS!$P$2:$P$601,MATCH($A205,CONTRATOS!$A$2:$A$601,0)),""))</f>
        <v/>
      </c>
      <c r="L205" s="17">
        <f>IF(OR($A205="",$E205=""),"",IFERROR(E205*INDEX(CONTRATOS!$Z$2:$Z$601,MATCH($A205,CONTRATOS!$A$2:$A$601,0)),""))</f>
        <v/>
      </c>
      <c r="M205" s="13">
        <f>IF(OR($A205="",$E205=""),"",IFERROR(E205*INDEX(CONTRATOS!$AA$2:$AA$601,MATCH($A205,CONTRATOS!$A$2:$A$601,0)),""))</f>
        <v/>
      </c>
      <c r="N205" s="19">
        <f>IF($A205="","",SUMIFS($E$2:$E$601,$A$2:$A$601,$A205))</f>
        <v/>
      </c>
      <c r="O205" s="12">
        <f>IF($A205="","",IFERROR(INDEX(CONTRATOS!$F$2:$F$601,MATCH($A205,CONTRATOS!$A$2:$A$601,0)),""))</f>
        <v/>
      </c>
      <c r="P205" s="12">
        <f>IF($A205="","",IFERROR(INDEX(CONTRATOS!$M$2:$M$601,MATCH($A205,CONTRATOS!$A$2:$A$601,0)),""))</f>
        <v/>
      </c>
      <c r="Q205" s="12">
        <f>IF($A205="","",IF(COUNTIF(CONTRATOS!$A$2:$A$601,$A205)=0,"El contrato no existe en CONTRATOS; ","")&amp;IF($B205="","Falta sujeto; ",IF(COUNTIF(SUJETOS!$A$2:$A$601,$B205)=0,"El sujeto no existe en SUJETOS; ",""))&amp;IF($E205="","Falta porcentaje; ","")&amp;IF(N205&gt;1.0001,"Los porcentajes del contrato suman más de 100 %; ","")&amp;IF(AND($C205="Individual",$E205&lt;&gt;"",$E205&lt;&gt;1),"Individual debe ser 100 %; ","")&amp;IF(AND($C205&lt;&gt;"Individual",$C205&lt;&gt;"",$E205=1),"Consorcio o UT con 100 %: revise; ","")&amp;IF(COUNTIFS($A$2:$A$601,$A205,$B$2:$B$601,$B205)&gt;1,"Participación repetida; ","")&amp;IF(AND(IFERROR(INDEX(SUJETOS!$B$2:$B$601,MATCH($B205,SUJETOS!$A$2:$A$601,0)),"")="Persona natural",$G205=""),"Persona natural sin cargo; ",""))</f>
        <v/>
      </c>
      <c r="R205" s="12">
        <f>IF($A205="","",IFERROR(IF(LEN(INDEX(SUJETOS!$F$2:$F$601,MATCH($B205,SUJETOS!$A$2:$A$601,0)))&gt;0,INDEX(SUJETOS!$F$2:$F$601,MATCH($B205,SUJETOS!$A$2:$A$601,0)),$B205),$B205))</f>
        <v/>
      </c>
    </row>
    <row r="206">
      <c r="E206" s="18" t="n"/>
      <c r="K206" s="13">
        <f>IF(OR($A206="",$E206=""),"",IFERROR(E206*INDEX(CONTRATOS!$P$2:$P$601,MATCH($A206,CONTRATOS!$A$2:$A$601,0)),""))</f>
        <v/>
      </c>
      <c r="L206" s="17">
        <f>IF(OR($A206="",$E206=""),"",IFERROR(E206*INDEX(CONTRATOS!$Z$2:$Z$601,MATCH($A206,CONTRATOS!$A$2:$A$601,0)),""))</f>
        <v/>
      </c>
      <c r="M206" s="13">
        <f>IF(OR($A206="",$E206=""),"",IFERROR(E206*INDEX(CONTRATOS!$AA$2:$AA$601,MATCH($A206,CONTRATOS!$A$2:$A$601,0)),""))</f>
        <v/>
      </c>
      <c r="N206" s="19">
        <f>IF($A206="","",SUMIFS($E$2:$E$601,$A$2:$A$601,$A206))</f>
        <v/>
      </c>
      <c r="O206" s="12">
        <f>IF($A206="","",IFERROR(INDEX(CONTRATOS!$F$2:$F$601,MATCH($A206,CONTRATOS!$A$2:$A$601,0)),""))</f>
        <v/>
      </c>
      <c r="P206" s="12">
        <f>IF($A206="","",IFERROR(INDEX(CONTRATOS!$M$2:$M$601,MATCH($A206,CONTRATOS!$A$2:$A$601,0)),""))</f>
        <v/>
      </c>
      <c r="Q206" s="12">
        <f>IF($A206="","",IF(COUNTIF(CONTRATOS!$A$2:$A$601,$A206)=0,"El contrato no existe en CONTRATOS; ","")&amp;IF($B206="","Falta sujeto; ",IF(COUNTIF(SUJETOS!$A$2:$A$601,$B206)=0,"El sujeto no existe en SUJETOS; ",""))&amp;IF($E206="","Falta porcentaje; ","")&amp;IF(N206&gt;1.0001,"Los porcentajes del contrato suman más de 100 %; ","")&amp;IF(AND($C206="Individual",$E206&lt;&gt;"",$E206&lt;&gt;1),"Individual debe ser 100 %; ","")&amp;IF(AND($C206&lt;&gt;"Individual",$C206&lt;&gt;"",$E206=1),"Consorcio o UT con 100 %: revise; ","")&amp;IF(COUNTIFS($A$2:$A$601,$A206,$B$2:$B$601,$B206)&gt;1,"Participación repetida; ","")&amp;IF(AND(IFERROR(INDEX(SUJETOS!$B$2:$B$601,MATCH($B206,SUJETOS!$A$2:$A$601,0)),"")="Persona natural",$G206=""),"Persona natural sin cargo; ",""))</f>
        <v/>
      </c>
      <c r="R206" s="12">
        <f>IF($A206="","",IFERROR(IF(LEN(INDEX(SUJETOS!$F$2:$F$601,MATCH($B206,SUJETOS!$A$2:$A$601,0)))&gt;0,INDEX(SUJETOS!$F$2:$F$601,MATCH($B206,SUJETOS!$A$2:$A$601,0)),$B206),$B206))</f>
        <v/>
      </c>
    </row>
    <row r="207">
      <c r="E207" s="18" t="n"/>
      <c r="K207" s="13">
        <f>IF(OR($A207="",$E207=""),"",IFERROR(E207*INDEX(CONTRATOS!$P$2:$P$601,MATCH($A207,CONTRATOS!$A$2:$A$601,0)),""))</f>
        <v/>
      </c>
      <c r="L207" s="17">
        <f>IF(OR($A207="",$E207=""),"",IFERROR(E207*INDEX(CONTRATOS!$Z$2:$Z$601,MATCH($A207,CONTRATOS!$A$2:$A$601,0)),""))</f>
        <v/>
      </c>
      <c r="M207" s="13">
        <f>IF(OR($A207="",$E207=""),"",IFERROR(E207*INDEX(CONTRATOS!$AA$2:$AA$601,MATCH($A207,CONTRATOS!$A$2:$A$601,0)),""))</f>
        <v/>
      </c>
      <c r="N207" s="19">
        <f>IF($A207="","",SUMIFS($E$2:$E$601,$A$2:$A$601,$A207))</f>
        <v/>
      </c>
      <c r="O207" s="12">
        <f>IF($A207="","",IFERROR(INDEX(CONTRATOS!$F$2:$F$601,MATCH($A207,CONTRATOS!$A$2:$A$601,0)),""))</f>
        <v/>
      </c>
      <c r="P207" s="12">
        <f>IF($A207="","",IFERROR(INDEX(CONTRATOS!$M$2:$M$601,MATCH($A207,CONTRATOS!$A$2:$A$601,0)),""))</f>
        <v/>
      </c>
      <c r="Q207" s="12">
        <f>IF($A207="","",IF(COUNTIF(CONTRATOS!$A$2:$A$601,$A207)=0,"El contrato no existe en CONTRATOS; ","")&amp;IF($B207="","Falta sujeto; ",IF(COUNTIF(SUJETOS!$A$2:$A$601,$B207)=0,"El sujeto no existe en SUJETOS; ",""))&amp;IF($E207="","Falta porcentaje; ","")&amp;IF(N207&gt;1.0001,"Los porcentajes del contrato suman más de 100 %; ","")&amp;IF(AND($C207="Individual",$E207&lt;&gt;"",$E207&lt;&gt;1),"Individual debe ser 100 %; ","")&amp;IF(AND($C207&lt;&gt;"Individual",$C207&lt;&gt;"",$E207=1),"Consorcio o UT con 100 %: revise; ","")&amp;IF(COUNTIFS($A$2:$A$601,$A207,$B$2:$B$601,$B207)&gt;1,"Participación repetida; ","")&amp;IF(AND(IFERROR(INDEX(SUJETOS!$B$2:$B$601,MATCH($B207,SUJETOS!$A$2:$A$601,0)),"")="Persona natural",$G207=""),"Persona natural sin cargo; ",""))</f>
        <v/>
      </c>
      <c r="R207" s="12">
        <f>IF($A207="","",IFERROR(IF(LEN(INDEX(SUJETOS!$F$2:$F$601,MATCH($B207,SUJETOS!$A$2:$A$601,0)))&gt;0,INDEX(SUJETOS!$F$2:$F$601,MATCH($B207,SUJETOS!$A$2:$A$601,0)),$B207),$B207))</f>
        <v/>
      </c>
    </row>
    <row r="208">
      <c r="E208" s="18" t="n"/>
      <c r="K208" s="13">
        <f>IF(OR($A208="",$E208=""),"",IFERROR(E208*INDEX(CONTRATOS!$P$2:$P$601,MATCH($A208,CONTRATOS!$A$2:$A$601,0)),""))</f>
        <v/>
      </c>
      <c r="L208" s="17">
        <f>IF(OR($A208="",$E208=""),"",IFERROR(E208*INDEX(CONTRATOS!$Z$2:$Z$601,MATCH($A208,CONTRATOS!$A$2:$A$601,0)),""))</f>
        <v/>
      </c>
      <c r="M208" s="13">
        <f>IF(OR($A208="",$E208=""),"",IFERROR(E208*INDEX(CONTRATOS!$AA$2:$AA$601,MATCH($A208,CONTRATOS!$A$2:$A$601,0)),""))</f>
        <v/>
      </c>
      <c r="N208" s="19">
        <f>IF($A208="","",SUMIFS($E$2:$E$601,$A$2:$A$601,$A208))</f>
        <v/>
      </c>
      <c r="O208" s="12">
        <f>IF($A208="","",IFERROR(INDEX(CONTRATOS!$F$2:$F$601,MATCH($A208,CONTRATOS!$A$2:$A$601,0)),""))</f>
        <v/>
      </c>
      <c r="P208" s="12">
        <f>IF($A208="","",IFERROR(INDEX(CONTRATOS!$M$2:$M$601,MATCH($A208,CONTRATOS!$A$2:$A$601,0)),""))</f>
        <v/>
      </c>
      <c r="Q208" s="12">
        <f>IF($A208="","",IF(COUNTIF(CONTRATOS!$A$2:$A$601,$A208)=0,"El contrato no existe en CONTRATOS; ","")&amp;IF($B208="","Falta sujeto; ",IF(COUNTIF(SUJETOS!$A$2:$A$601,$B208)=0,"El sujeto no existe en SUJETOS; ",""))&amp;IF($E208="","Falta porcentaje; ","")&amp;IF(N208&gt;1.0001,"Los porcentajes del contrato suman más de 100 %; ","")&amp;IF(AND($C208="Individual",$E208&lt;&gt;"",$E208&lt;&gt;1),"Individual debe ser 100 %; ","")&amp;IF(AND($C208&lt;&gt;"Individual",$C208&lt;&gt;"",$E208=1),"Consorcio o UT con 100 %: revise; ","")&amp;IF(COUNTIFS($A$2:$A$601,$A208,$B$2:$B$601,$B208)&gt;1,"Participación repetida; ","")&amp;IF(AND(IFERROR(INDEX(SUJETOS!$B$2:$B$601,MATCH($B208,SUJETOS!$A$2:$A$601,0)),"")="Persona natural",$G208=""),"Persona natural sin cargo; ",""))</f>
        <v/>
      </c>
      <c r="R208" s="12">
        <f>IF($A208="","",IFERROR(IF(LEN(INDEX(SUJETOS!$F$2:$F$601,MATCH($B208,SUJETOS!$A$2:$A$601,0)))&gt;0,INDEX(SUJETOS!$F$2:$F$601,MATCH($B208,SUJETOS!$A$2:$A$601,0)),$B208),$B208))</f>
        <v/>
      </c>
    </row>
    <row r="209">
      <c r="E209" s="18" t="n"/>
      <c r="K209" s="13">
        <f>IF(OR($A209="",$E209=""),"",IFERROR(E209*INDEX(CONTRATOS!$P$2:$P$601,MATCH($A209,CONTRATOS!$A$2:$A$601,0)),""))</f>
        <v/>
      </c>
      <c r="L209" s="17">
        <f>IF(OR($A209="",$E209=""),"",IFERROR(E209*INDEX(CONTRATOS!$Z$2:$Z$601,MATCH($A209,CONTRATOS!$A$2:$A$601,0)),""))</f>
        <v/>
      </c>
      <c r="M209" s="13">
        <f>IF(OR($A209="",$E209=""),"",IFERROR(E209*INDEX(CONTRATOS!$AA$2:$AA$601,MATCH($A209,CONTRATOS!$A$2:$A$601,0)),""))</f>
        <v/>
      </c>
      <c r="N209" s="19">
        <f>IF($A209="","",SUMIFS($E$2:$E$601,$A$2:$A$601,$A209))</f>
        <v/>
      </c>
      <c r="O209" s="12">
        <f>IF($A209="","",IFERROR(INDEX(CONTRATOS!$F$2:$F$601,MATCH($A209,CONTRATOS!$A$2:$A$601,0)),""))</f>
        <v/>
      </c>
      <c r="P209" s="12">
        <f>IF($A209="","",IFERROR(INDEX(CONTRATOS!$M$2:$M$601,MATCH($A209,CONTRATOS!$A$2:$A$601,0)),""))</f>
        <v/>
      </c>
      <c r="Q209" s="12">
        <f>IF($A209="","",IF(COUNTIF(CONTRATOS!$A$2:$A$601,$A209)=0,"El contrato no existe en CONTRATOS; ","")&amp;IF($B209="","Falta sujeto; ",IF(COUNTIF(SUJETOS!$A$2:$A$601,$B209)=0,"El sujeto no existe en SUJETOS; ",""))&amp;IF($E209="","Falta porcentaje; ","")&amp;IF(N209&gt;1.0001,"Los porcentajes del contrato suman más de 100 %; ","")&amp;IF(AND($C209="Individual",$E209&lt;&gt;"",$E209&lt;&gt;1),"Individual debe ser 100 %; ","")&amp;IF(AND($C209&lt;&gt;"Individual",$C209&lt;&gt;"",$E209=1),"Consorcio o UT con 100 %: revise; ","")&amp;IF(COUNTIFS($A$2:$A$601,$A209,$B$2:$B$601,$B209)&gt;1,"Participación repetida; ","")&amp;IF(AND(IFERROR(INDEX(SUJETOS!$B$2:$B$601,MATCH($B209,SUJETOS!$A$2:$A$601,0)),"")="Persona natural",$G209=""),"Persona natural sin cargo; ",""))</f>
        <v/>
      </c>
      <c r="R209" s="12">
        <f>IF($A209="","",IFERROR(IF(LEN(INDEX(SUJETOS!$F$2:$F$601,MATCH($B209,SUJETOS!$A$2:$A$601,0)))&gt;0,INDEX(SUJETOS!$F$2:$F$601,MATCH($B209,SUJETOS!$A$2:$A$601,0)),$B209),$B209))</f>
        <v/>
      </c>
    </row>
    <row r="210">
      <c r="E210" s="18" t="n"/>
      <c r="K210" s="13">
        <f>IF(OR($A210="",$E210=""),"",IFERROR(E210*INDEX(CONTRATOS!$P$2:$P$601,MATCH($A210,CONTRATOS!$A$2:$A$601,0)),""))</f>
        <v/>
      </c>
      <c r="L210" s="17">
        <f>IF(OR($A210="",$E210=""),"",IFERROR(E210*INDEX(CONTRATOS!$Z$2:$Z$601,MATCH($A210,CONTRATOS!$A$2:$A$601,0)),""))</f>
        <v/>
      </c>
      <c r="M210" s="13">
        <f>IF(OR($A210="",$E210=""),"",IFERROR(E210*INDEX(CONTRATOS!$AA$2:$AA$601,MATCH($A210,CONTRATOS!$A$2:$A$601,0)),""))</f>
        <v/>
      </c>
      <c r="N210" s="19">
        <f>IF($A210="","",SUMIFS($E$2:$E$601,$A$2:$A$601,$A210))</f>
        <v/>
      </c>
      <c r="O210" s="12">
        <f>IF($A210="","",IFERROR(INDEX(CONTRATOS!$F$2:$F$601,MATCH($A210,CONTRATOS!$A$2:$A$601,0)),""))</f>
        <v/>
      </c>
      <c r="P210" s="12">
        <f>IF($A210="","",IFERROR(INDEX(CONTRATOS!$M$2:$M$601,MATCH($A210,CONTRATOS!$A$2:$A$601,0)),""))</f>
        <v/>
      </c>
      <c r="Q210" s="12">
        <f>IF($A210="","",IF(COUNTIF(CONTRATOS!$A$2:$A$601,$A210)=0,"El contrato no existe en CONTRATOS; ","")&amp;IF($B210="","Falta sujeto; ",IF(COUNTIF(SUJETOS!$A$2:$A$601,$B210)=0,"El sujeto no existe en SUJETOS; ",""))&amp;IF($E210="","Falta porcentaje; ","")&amp;IF(N210&gt;1.0001,"Los porcentajes del contrato suman más de 100 %; ","")&amp;IF(AND($C210="Individual",$E210&lt;&gt;"",$E210&lt;&gt;1),"Individual debe ser 100 %; ","")&amp;IF(AND($C210&lt;&gt;"Individual",$C210&lt;&gt;"",$E210=1),"Consorcio o UT con 100 %: revise; ","")&amp;IF(COUNTIFS($A$2:$A$601,$A210,$B$2:$B$601,$B210)&gt;1,"Participación repetida; ","")&amp;IF(AND(IFERROR(INDEX(SUJETOS!$B$2:$B$601,MATCH($B210,SUJETOS!$A$2:$A$601,0)),"")="Persona natural",$G210=""),"Persona natural sin cargo; ",""))</f>
        <v/>
      </c>
      <c r="R210" s="12">
        <f>IF($A210="","",IFERROR(IF(LEN(INDEX(SUJETOS!$F$2:$F$601,MATCH($B210,SUJETOS!$A$2:$A$601,0)))&gt;0,INDEX(SUJETOS!$F$2:$F$601,MATCH($B210,SUJETOS!$A$2:$A$601,0)),$B210),$B210))</f>
        <v/>
      </c>
    </row>
    <row r="211">
      <c r="E211" s="18" t="n"/>
      <c r="K211" s="13">
        <f>IF(OR($A211="",$E211=""),"",IFERROR(E211*INDEX(CONTRATOS!$P$2:$P$601,MATCH($A211,CONTRATOS!$A$2:$A$601,0)),""))</f>
        <v/>
      </c>
      <c r="L211" s="17">
        <f>IF(OR($A211="",$E211=""),"",IFERROR(E211*INDEX(CONTRATOS!$Z$2:$Z$601,MATCH($A211,CONTRATOS!$A$2:$A$601,0)),""))</f>
        <v/>
      </c>
      <c r="M211" s="13">
        <f>IF(OR($A211="",$E211=""),"",IFERROR(E211*INDEX(CONTRATOS!$AA$2:$AA$601,MATCH($A211,CONTRATOS!$A$2:$A$601,0)),""))</f>
        <v/>
      </c>
      <c r="N211" s="19">
        <f>IF($A211="","",SUMIFS($E$2:$E$601,$A$2:$A$601,$A211))</f>
        <v/>
      </c>
      <c r="O211" s="12">
        <f>IF($A211="","",IFERROR(INDEX(CONTRATOS!$F$2:$F$601,MATCH($A211,CONTRATOS!$A$2:$A$601,0)),""))</f>
        <v/>
      </c>
      <c r="P211" s="12">
        <f>IF($A211="","",IFERROR(INDEX(CONTRATOS!$M$2:$M$601,MATCH($A211,CONTRATOS!$A$2:$A$601,0)),""))</f>
        <v/>
      </c>
      <c r="Q211" s="12">
        <f>IF($A211="","",IF(COUNTIF(CONTRATOS!$A$2:$A$601,$A211)=0,"El contrato no existe en CONTRATOS; ","")&amp;IF($B211="","Falta sujeto; ",IF(COUNTIF(SUJETOS!$A$2:$A$601,$B211)=0,"El sujeto no existe en SUJETOS; ",""))&amp;IF($E211="","Falta porcentaje; ","")&amp;IF(N211&gt;1.0001,"Los porcentajes del contrato suman más de 100 %; ","")&amp;IF(AND($C211="Individual",$E211&lt;&gt;"",$E211&lt;&gt;1),"Individual debe ser 100 %; ","")&amp;IF(AND($C211&lt;&gt;"Individual",$C211&lt;&gt;"",$E211=1),"Consorcio o UT con 100 %: revise; ","")&amp;IF(COUNTIFS($A$2:$A$601,$A211,$B$2:$B$601,$B211)&gt;1,"Participación repetida; ","")&amp;IF(AND(IFERROR(INDEX(SUJETOS!$B$2:$B$601,MATCH($B211,SUJETOS!$A$2:$A$601,0)),"")="Persona natural",$G211=""),"Persona natural sin cargo; ",""))</f>
        <v/>
      </c>
      <c r="R211" s="12">
        <f>IF($A211="","",IFERROR(IF(LEN(INDEX(SUJETOS!$F$2:$F$601,MATCH($B211,SUJETOS!$A$2:$A$601,0)))&gt;0,INDEX(SUJETOS!$F$2:$F$601,MATCH($B211,SUJETOS!$A$2:$A$601,0)),$B211),$B211))</f>
        <v/>
      </c>
    </row>
    <row r="212">
      <c r="E212" s="18" t="n"/>
      <c r="K212" s="13">
        <f>IF(OR($A212="",$E212=""),"",IFERROR(E212*INDEX(CONTRATOS!$P$2:$P$601,MATCH($A212,CONTRATOS!$A$2:$A$601,0)),""))</f>
        <v/>
      </c>
      <c r="L212" s="17">
        <f>IF(OR($A212="",$E212=""),"",IFERROR(E212*INDEX(CONTRATOS!$Z$2:$Z$601,MATCH($A212,CONTRATOS!$A$2:$A$601,0)),""))</f>
        <v/>
      </c>
      <c r="M212" s="13">
        <f>IF(OR($A212="",$E212=""),"",IFERROR(E212*INDEX(CONTRATOS!$AA$2:$AA$601,MATCH($A212,CONTRATOS!$A$2:$A$601,0)),""))</f>
        <v/>
      </c>
      <c r="N212" s="19">
        <f>IF($A212="","",SUMIFS($E$2:$E$601,$A$2:$A$601,$A212))</f>
        <v/>
      </c>
      <c r="O212" s="12">
        <f>IF($A212="","",IFERROR(INDEX(CONTRATOS!$F$2:$F$601,MATCH($A212,CONTRATOS!$A$2:$A$601,0)),""))</f>
        <v/>
      </c>
      <c r="P212" s="12">
        <f>IF($A212="","",IFERROR(INDEX(CONTRATOS!$M$2:$M$601,MATCH($A212,CONTRATOS!$A$2:$A$601,0)),""))</f>
        <v/>
      </c>
      <c r="Q212" s="12">
        <f>IF($A212="","",IF(COUNTIF(CONTRATOS!$A$2:$A$601,$A212)=0,"El contrato no existe en CONTRATOS; ","")&amp;IF($B212="","Falta sujeto; ",IF(COUNTIF(SUJETOS!$A$2:$A$601,$B212)=0,"El sujeto no existe en SUJETOS; ",""))&amp;IF($E212="","Falta porcentaje; ","")&amp;IF(N212&gt;1.0001,"Los porcentajes del contrato suman más de 100 %; ","")&amp;IF(AND($C212="Individual",$E212&lt;&gt;"",$E212&lt;&gt;1),"Individual debe ser 100 %; ","")&amp;IF(AND($C212&lt;&gt;"Individual",$C212&lt;&gt;"",$E212=1),"Consorcio o UT con 100 %: revise; ","")&amp;IF(COUNTIFS($A$2:$A$601,$A212,$B$2:$B$601,$B212)&gt;1,"Participación repetida; ","")&amp;IF(AND(IFERROR(INDEX(SUJETOS!$B$2:$B$601,MATCH($B212,SUJETOS!$A$2:$A$601,0)),"")="Persona natural",$G212=""),"Persona natural sin cargo; ",""))</f>
        <v/>
      </c>
      <c r="R212" s="12">
        <f>IF($A212="","",IFERROR(IF(LEN(INDEX(SUJETOS!$F$2:$F$601,MATCH($B212,SUJETOS!$A$2:$A$601,0)))&gt;0,INDEX(SUJETOS!$F$2:$F$601,MATCH($B212,SUJETOS!$A$2:$A$601,0)),$B212),$B212))</f>
        <v/>
      </c>
    </row>
    <row r="213">
      <c r="E213" s="18" t="n"/>
      <c r="K213" s="13">
        <f>IF(OR($A213="",$E213=""),"",IFERROR(E213*INDEX(CONTRATOS!$P$2:$P$601,MATCH($A213,CONTRATOS!$A$2:$A$601,0)),""))</f>
        <v/>
      </c>
      <c r="L213" s="17">
        <f>IF(OR($A213="",$E213=""),"",IFERROR(E213*INDEX(CONTRATOS!$Z$2:$Z$601,MATCH($A213,CONTRATOS!$A$2:$A$601,0)),""))</f>
        <v/>
      </c>
      <c r="M213" s="13">
        <f>IF(OR($A213="",$E213=""),"",IFERROR(E213*INDEX(CONTRATOS!$AA$2:$AA$601,MATCH($A213,CONTRATOS!$A$2:$A$601,0)),""))</f>
        <v/>
      </c>
      <c r="N213" s="19">
        <f>IF($A213="","",SUMIFS($E$2:$E$601,$A$2:$A$601,$A213))</f>
        <v/>
      </c>
      <c r="O213" s="12">
        <f>IF($A213="","",IFERROR(INDEX(CONTRATOS!$F$2:$F$601,MATCH($A213,CONTRATOS!$A$2:$A$601,0)),""))</f>
        <v/>
      </c>
      <c r="P213" s="12">
        <f>IF($A213="","",IFERROR(INDEX(CONTRATOS!$M$2:$M$601,MATCH($A213,CONTRATOS!$A$2:$A$601,0)),""))</f>
        <v/>
      </c>
      <c r="Q213" s="12">
        <f>IF($A213="","",IF(COUNTIF(CONTRATOS!$A$2:$A$601,$A213)=0,"El contrato no existe en CONTRATOS; ","")&amp;IF($B213="","Falta sujeto; ",IF(COUNTIF(SUJETOS!$A$2:$A$601,$B213)=0,"El sujeto no existe en SUJETOS; ",""))&amp;IF($E213="","Falta porcentaje; ","")&amp;IF(N213&gt;1.0001,"Los porcentajes del contrato suman más de 100 %; ","")&amp;IF(AND($C213="Individual",$E213&lt;&gt;"",$E213&lt;&gt;1),"Individual debe ser 100 %; ","")&amp;IF(AND($C213&lt;&gt;"Individual",$C213&lt;&gt;"",$E213=1),"Consorcio o UT con 100 %: revise; ","")&amp;IF(COUNTIFS($A$2:$A$601,$A213,$B$2:$B$601,$B213)&gt;1,"Participación repetida; ","")&amp;IF(AND(IFERROR(INDEX(SUJETOS!$B$2:$B$601,MATCH($B213,SUJETOS!$A$2:$A$601,0)),"")="Persona natural",$G213=""),"Persona natural sin cargo; ",""))</f>
        <v/>
      </c>
      <c r="R213" s="12">
        <f>IF($A213="","",IFERROR(IF(LEN(INDEX(SUJETOS!$F$2:$F$601,MATCH($B213,SUJETOS!$A$2:$A$601,0)))&gt;0,INDEX(SUJETOS!$F$2:$F$601,MATCH($B213,SUJETOS!$A$2:$A$601,0)),$B213),$B213))</f>
        <v/>
      </c>
    </row>
    <row r="214">
      <c r="E214" s="18" t="n"/>
      <c r="K214" s="13">
        <f>IF(OR($A214="",$E214=""),"",IFERROR(E214*INDEX(CONTRATOS!$P$2:$P$601,MATCH($A214,CONTRATOS!$A$2:$A$601,0)),""))</f>
        <v/>
      </c>
      <c r="L214" s="17">
        <f>IF(OR($A214="",$E214=""),"",IFERROR(E214*INDEX(CONTRATOS!$Z$2:$Z$601,MATCH($A214,CONTRATOS!$A$2:$A$601,0)),""))</f>
        <v/>
      </c>
      <c r="M214" s="13">
        <f>IF(OR($A214="",$E214=""),"",IFERROR(E214*INDEX(CONTRATOS!$AA$2:$AA$601,MATCH($A214,CONTRATOS!$A$2:$A$601,0)),""))</f>
        <v/>
      </c>
      <c r="N214" s="19">
        <f>IF($A214="","",SUMIFS($E$2:$E$601,$A$2:$A$601,$A214))</f>
        <v/>
      </c>
      <c r="O214" s="12">
        <f>IF($A214="","",IFERROR(INDEX(CONTRATOS!$F$2:$F$601,MATCH($A214,CONTRATOS!$A$2:$A$601,0)),""))</f>
        <v/>
      </c>
      <c r="P214" s="12">
        <f>IF($A214="","",IFERROR(INDEX(CONTRATOS!$M$2:$M$601,MATCH($A214,CONTRATOS!$A$2:$A$601,0)),""))</f>
        <v/>
      </c>
      <c r="Q214" s="12">
        <f>IF($A214="","",IF(COUNTIF(CONTRATOS!$A$2:$A$601,$A214)=0,"El contrato no existe en CONTRATOS; ","")&amp;IF($B214="","Falta sujeto; ",IF(COUNTIF(SUJETOS!$A$2:$A$601,$B214)=0,"El sujeto no existe en SUJETOS; ",""))&amp;IF($E214="","Falta porcentaje; ","")&amp;IF(N214&gt;1.0001,"Los porcentajes del contrato suman más de 100 %; ","")&amp;IF(AND($C214="Individual",$E214&lt;&gt;"",$E214&lt;&gt;1),"Individual debe ser 100 %; ","")&amp;IF(AND($C214&lt;&gt;"Individual",$C214&lt;&gt;"",$E214=1),"Consorcio o UT con 100 %: revise; ","")&amp;IF(COUNTIFS($A$2:$A$601,$A214,$B$2:$B$601,$B214)&gt;1,"Participación repetida; ","")&amp;IF(AND(IFERROR(INDEX(SUJETOS!$B$2:$B$601,MATCH($B214,SUJETOS!$A$2:$A$601,0)),"")="Persona natural",$G214=""),"Persona natural sin cargo; ",""))</f>
        <v/>
      </c>
      <c r="R214" s="12">
        <f>IF($A214="","",IFERROR(IF(LEN(INDEX(SUJETOS!$F$2:$F$601,MATCH($B214,SUJETOS!$A$2:$A$601,0)))&gt;0,INDEX(SUJETOS!$F$2:$F$601,MATCH($B214,SUJETOS!$A$2:$A$601,0)),$B214),$B214))</f>
        <v/>
      </c>
    </row>
    <row r="215">
      <c r="E215" s="18" t="n"/>
      <c r="K215" s="13">
        <f>IF(OR($A215="",$E215=""),"",IFERROR(E215*INDEX(CONTRATOS!$P$2:$P$601,MATCH($A215,CONTRATOS!$A$2:$A$601,0)),""))</f>
        <v/>
      </c>
      <c r="L215" s="17">
        <f>IF(OR($A215="",$E215=""),"",IFERROR(E215*INDEX(CONTRATOS!$Z$2:$Z$601,MATCH($A215,CONTRATOS!$A$2:$A$601,0)),""))</f>
        <v/>
      </c>
      <c r="M215" s="13">
        <f>IF(OR($A215="",$E215=""),"",IFERROR(E215*INDEX(CONTRATOS!$AA$2:$AA$601,MATCH($A215,CONTRATOS!$A$2:$A$601,0)),""))</f>
        <v/>
      </c>
      <c r="N215" s="19">
        <f>IF($A215="","",SUMIFS($E$2:$E$601,$A$2:$A$601,$A215))</f>
        <v/>
      </c>
      <c r="O215" s="12">
        <f>IF($A215="","",IFERROR(INDEX(CONTRATOS!$F$2:$F$601,MATCH($A215,CONTRATOS!$A$2:$A$601,0)),""))</f>
        <v/>
      </c>
      <c r="P215" s="12">
        <f>IF($A215="","",IFERROR(INDEX(CONTRATOS!$M$2:$M$601,MATCH($A215,CONTRATOS!$A$2:$A$601,0)),""))</f>
        <v/>
      </c>
      <c r="Q215" s="12">
        <f>IF($A215="","",IF(COUNTIF(CONTRATOS!$A$2:$A$601,$A215)=0,"El contrato no existe en CONTRATOS; ","")&amp;IF($B215="","Falta sujeto; ",IF(COUNTIF(SUJETOS!$A$2:$A$601,$B215)=0,"El sujeto no existe en SUJETOS; ",""))&amp;IF($E215="","Falta porcentaje; ","")&amp;IF(N215&gt;1.0001,"Los porcentajes del contrato suman más de 100 %; ","")&amp;IF(AND($C215="Individual",$E215&lt;&gt;"",$E215&lt;&gt;1),"Individual debe ser 100 %; ","")&amp;IF(AND($C215&lt;&gt;"Individual",$C215&lt;&gt;"",$E215=1),"Consorcio o UT con 100 %: revise; ","")&amp;IF(COUNTIFS($A$2:$A$601,$A215,$B$2:$B$601,$B215)&gt;1,"Participación repetida; ","")&amp;IF(AND(IFERROR(INDEX(SUJETOS!$B$2:$B$601,MATCH($B215,SUJETOS!$A$2:$A$601,0)),"")="Persona natural",$G215=""),"Persona natural sin cargo; ",""))</f>
        <v/>
      </c>
      <c r="R215" s="12">
        <f>IF($A215="","",IFERROR(IF(LEN(INDEX(SUJETOS!$F$2:$F$601,MATCH($B215,SUJETOS!$A$2:$A$601,0)))&gt;0,INDEX(SUJETOS!$F$2:$F$601,MATCH($B215,SUJETOS!$A$2:$A$601,0)),$B215),$B215))</f>
        <v/>
      </c>
    </row>
    <row r="216">
      <c r="E216" s="18" t="n"/>
      <c r="K216" s="13">
        <f>IF(OR($A216="",$E216=""),"",IFERROR(E216*INDEX(CONTRATOS!$P$2:$P$601,MATCH($A216,CONTRATOS!$A$2:$A$601,0)),""))</f>
        <v/>
      </c>
      <c r="L216" s="17">
        <f>IF(OR($A216="",$E216=""),"",IFERROR(E216*INDEX(CONTRATOS!$Z$2:$Z$601,MATCH($A216,CONTRATOS!$A$2:$A$601,0)),""))</f>
        <v/>
      </c>
      <c r="M216" s="13">
        <f>IF(OR($A216="",$E216=""),"",IFERROR(E216*INDEX(CONTRATOS!$AA$2:$AA$601,MATCH($A216,CONTRATOS!$A$2:$A$601,0)),""))</f>
        <v/>
      </c>
      <c r="N216" s="19">
        <f>IF($A216="","",SUMIFS($E$2:$E$601,$A$2:$A$601,$A216))</f>
        <v/>
      </c>
      <c r="O216" s="12">
        <f>IF($A216="","",IFERROR(INDEX(CONTRATOS!$F$2:$F$601,MATCH($A216,CONTRATOS!$A$2:$A$601,0)),""))</f>
        <v/>
      </c>
      <c r="P216" s="12">
        <f>IF($A216="","",IFERROR(INDEX(CONTRATOS!$M$2:$M$601,MATCH($A216,CONTRATOS!$A$2:$A$601,0)),""))</f>
        <v/>
      </c>
      <c r="Q216" s="12">
        <f>IF($A216="","",IF(COUNTIF(CONTRATOS!$A$2:$A$601,$A216)=0,"El contrato no existe en CONTRATOS; ","")&amp;IF($B216="","Falta sujeto; ",IF(COUNTIF(SUJETOS!$A$2:$A$601,$B216)=0,"El sujeto no existe en SUJETOS; ",""))&amp;IF($E216="","Falta porcentaje; ","")&amp;IF(N216&gt;1.0001,"Los porcentajes del contrato suman más de 100 %; ","")&amp;IF(AND($C216="Individual",$E216&lt;&gt;"",$E216&lt;&gt;1),"Individual debe ser 100 %; ","")&amp;IF(AND($C216&lt;&gt;"Individual",$C216&lt;&gt;"",$E216=1),"Consorcio o UT con 100 %: revise; ","")&amp;IF(COUNTIFS($A$2:$A$601,$A216,$B$2:$B$601,$B216)&gt;1,"Participación repetida; ","")&amp;IF(AND(IFERROR(INDEX(SUJETOS!$B$2:$B$601,MATCH($B216,SUJETOS!$A$2:$A$601,0)),"")="Persona natural",$G216=""),"Persona natural sin cargo; ",""))</f>
        <v/>
      </c>
      <c r="R216" s="12">
        <f>IF($A216="","",IFERROR(IF(LEN(INDEX(SUJETOS!$F$2:$F$601,MATCH($B216,SUJETOS!$A$2:$A$601,0)))&gt;0,INDEX(SUJETOS!$F$2:$F$601,MATCH($B216,SUJETOS!$A$2:$A$601,0)),$B216),$B216))</f>
        <v/>
      </c>
    </row>
    <row r="217">
      <c r="E217" s="18" t="n"/>
      <c r="K217" s="13">
        <f>IF(OR($A217="",$E217=""),"",IFERROR(E217*INDEX(CONTRATOS!$P$2:$P$601,MATCH($A217,CONTRATOS!$A$2:$A$601,0)),""))</f>
        <v/>
      </c>
      <c r="L217" s="17">
        <f>IF(OR($A217="",$E217=""),"",IFERROR(E217*INDEX(CONTRATOS!$Z$2:$Z$601,MATCH($A217,CONTRATOS!$A$2:$A$601,0)),""))</f>
        <v/>
      </c>
      <c r="M217" s="13">
        <f>IF(OR($A217="",$E217=""),"",IFERROR(E217*INDEX(CONTRATOS!$AA$2:$AA$601,MATCH($A217,CONTRATOS!$A$2:$A$601,0)),""))</f>
        <v/>
      </c>
      <c r="N217" s="19">
        <f>IF($A217="","",SUMIFS($E$2:$E$601,$A$2:$A$601,$A217))</f>
        <v/>
      </c>
      <c r="O217" s="12">
        <f>IF($A217="","",IFERROR(INDEX(CONTRATOS!$F$2:$F$601,MATCH($A217,CONTRATOS!$A$2:$A$601,0)),""))</f>
        <v/>
      </c>
      <c r="P217" s="12">
        <f>IF($A217="","",IFERROR(INDEX(CONTRATOS!$M$2:$M$601,MATCH($A217,CONTRATOS!$A$2:$A$601,0)),""))</f>
        <v/>
      </c>
      <c r="Q217" s="12">
        <f>IF($A217="","",IF(COUNTIF(CONTRATOS!$A$2:$A$601,$A217)=0,"El contrato no existe en CONTRATOS; ","")&amp;IF($B217="","Falta sujeto; ",IF(COUNTIF(SUJETOS!$A$2:$A$601,$B217)=0,"El sujeto no existe en SUJETOS; ",""))&amp;IF($E217="","Falta porcentaje; ","")&amp;IF(N217&gt;1.0001,"Los porcentajes del contrato suman más de 100 %; ","")&amp;IF(AND($C217="Individual",$E217&lt;&gt;"",$E217&lt;&gt;1),"Individual debe ser 100 %; ","")&amp;IF(AND($C217&lt;&gt;"Individual",$C217&lt;&gt;"",$E217=1),"Consorcio o UT con 100 %: revise; ","")&amp;IF(COUNTIFS($A$2:$A$601,$A217,$B$2:$B$601,$B217)&gt;1,"Participación repetida; ","")&amp;IF(AND(IFERROR(INDEX(SUJETOS!$B$2:$B$601,MATCH($B217,SUJETOS!$A$2:$A$601,0)),"")="Persona natural",$G217=""),"Persona natural sin cargo; ",""))</f>
        <v/>
      </c>
      <c r="R217" s="12">
        <f>IF($A217="","",IFERROR(IF(LEN(INDEX(SUJETOS!$F$2:$F$601,MATCH($B217,SUJETOS!$A$2:$A$601,0)))&gt;0,INDEX(SUJETOS!$F$2:$F$601,MATCH($B217,SUJETOS!$A$2:$A$601,0)),$B217),$B217))</f>
        <v/>
      </c>
    </row>
    <row r="218">
      <c r="E218" s="18" t="n"/>
      <c r="K218" s="13">
        <f>IF(OR($A218="",$E218=""),"",IFERROR(E218*INDEX(CONTRATOS!$P$2:$P$601,MATCH($A218,CONTRATOS!$A$2:$A$601,0)),""))</f>
        <v/>
      </c>
      <c r="L218" s="17">
        <f>IF(OR($A218="",$E218=""),"",IFERROR(E218*INDEX(CONTRATOS!$Z$2:$Z$601,MATCH($A218,CONTRATOS!$A$2:$A$601,0)),""))</f>
        <v/>
      </c>
      <c r="M218" s="13">
        <f>IF(OR($A218="",$E218=""),"",IFERROR(E218*INDEX(CONTRATOS!$AA$2:$AA$601,MATCH($A218,CONTRATOS!$A$2:$A$601,0)),""))</f>
        <v/>
      </c>
      <c r="N218" s="19">
        <f>IF($A218="","",SUMIFS($E$2:$E$601,$A$2:$A$601,$A218))</f>
        <v/>
      </c>
      <c r="O218" s="12">
        <f>IF($A218="","",IFERROR(INDEX(CONTRATOS!$F$2:$F$601,MATCH($A218,CONTRATOS!$A$2:$A$601,0)),""))</f>
        <v/>
      </c>
      <c r="P218" s="12">
        <f>IF($A218="","",IFERROR(INDEX(CONTRATOS!$M$2:$M$601,MATCH($A218,CONTRATOS!$A$2:$A$601,0)),""))</f>
        <v/>
      </c>
      <c r="Q218" s="12">
        <f>IF($A218="","",IF(COUNTIF(CONTRATOS!$A$2:$A$601,$A218)=0,"El contrato no existe en CONTRATOS; ","")&amp;IF($B218="","Falta sujeto; ",IF(COUNTIF(SUJETOS!$A$2:$A$601,$B218)=0,"El sujeto no existe en SUJETOS; ",""))&amp;IF($E218="","Falta porcentaje; ","")&amp;IF(N218&gt;1.0001,"Los porcentajes del contrato suman más de 100 %; ","")&amp;IF(AND($C218="Individual",$E218&lt;&gt;"",$E218&lt;&gt;1),"Individual debe ser 100 %; ","")&amp;IF(AND($C218&lt;&gt;"Individual",$C218&lt;&gt;"",$E218=1),"Consorcio o UT con 100 %: revise; ","")&amp;IF(COUNTIFS($A$2:$A$601,$A218,$B$2:$B$601,$B218)&gt;1,"Participación repetida; ","")&amp;IF(AND(IFERROR(INDEX(SUJETOS!$B$2:$B$601,MATCH($B218,SUJETOS!$A$2:$A$601,0)),"")="Persona natural",$G218=""),"Persona natural sin cargo; ",""))</f>
        <v/>
      </c>
      <c r="R218" s="12">
        <f>IF($A218="","",IFERROR(IF(LEN(INDEX(SUJETOS!$F$2:$F$601,MATCH($B218,SUJETOS!$A$2:$A$601,0)))&gt;0,INDEX(SUJETOS!$F$2:$F$601,MATCH($B218,SUJETOS!$A$2:$A$601,0)),$B218),$B218))</f>
        <v/>
      </c>
    </row>
    <row r="219">
      <c r="E219" s="18" t="n"/>
      <c r="K219" s="13">
        <f>IF(OR($A219="",$E219=""),"",IFERROR(E219*INDEX(CONTRATOS!$P$2:$P$601,MATCH($A219,CONTRATOS!$A$2:$A$601,0)),""))</f>
        <v/>
      </c>
      <c r="L219" s="17">
        <f>IF(OR($A219="",$E219=""),"",IFERROR(E219*INDEX(CONTRATOS!$Z$2:$Z$601,MATCH($A219,CONTRATOS!$A$2:$A$601,0)),""))</f>
        <v/>
      </c>
      <c r="M219" s="13">
        <f>IF(OR($A219="",$E219=""),"",IFERROR(E219*INDEX(CONTRATOS!$AA$2:$AA$601,MATCH($A219,CONTRATOS!$A$2:$A$601,0)),""))</f>
        <v/>
      </c>
      <c r="N219" s="19">
        <f>IF($A219="","",SUMIFS($E$2:$E$601,$A$2:$A$601,$A219))</f>
        <v/>
      </c>
      <c r="O219" s="12">
        <f>IF($A219="","",IFERROR(INDEX(CONTRATOS!$F$2:$F$601,MATCH($A219,CONTRATOS!$A$2:$A$601,0)),""))</f>
        <v/>
      </c>
      <c r="P219" s="12">
        <f>IF($A219="","",IFERROR(INDEX(CONTRATOS!$M$2:$M$601,MATCH($A219,CONTRATOS!$A$2:$A$601,0)),""))</f>
        <v/>
      </c>
      <c r="Q219" s="12">
        <f>IF($A219="","",IF(COUNTIF(CONTRATOS!$A$2:$A$601,$A219)=0,"El contrato no existe en CONTRATOS; ","")&amp;IF($B219="","Falta sujeto; ",IF(COUNTIF(SUJETOS!$A$2:$A$601,$B219)=0,"El sujeto no existe en SUJETOS; ",""))&amp;IF($E219="","Falta porcentaje; ","")&amp;IF(N219&gt;1.0001,"Los porcentajes del contrato suman más de 100 %; ","")&amp;IF(AND($C219="Individual",$E219&lt;&gt;"",$E219&lt;&gt;1),"Individual debe ser 100 %; ","")&amp;IF(AND($C219&lt;&gt;"Individual",$C219&lt;&gt;"",$E219=1),"Consorcio o UT con 100 %: revise; ","")&amp;IF(COUNTIFS($A$2:$A$601,$A219,$B$2:$B$601,$B219)&gt;1,"Participación repetida; ","")&amp;IF(AND(IFERROR(INDEX(SUJETOS!$B$2:$B$601,MATCH($B219,SUJETOS!$A$2:$A$601,0)),"")="Persona natural",$G219=""),"Persona natural sin cargo; ",""))</f>
        <v/>
      </c>
      <c r="R219" s="12">
        <f>IF($A219="","",IFERROR(IF(LEN(INDEX(SUJETOS!$F$2:$F$601,MATCH($B219,SUJETOS!$A$2:$A$601,0)))&gt;0,INDEX(SUJETOS!$F$2:$F$601,MATCH($B219,SUJETOS!$A$2:$A$601,0)),$B219),$B219))</f>
        <v/>
      </c>
    </row>
    <row r="220">
      <c r="E220" s="18" t="n"/>
      <c r="K220" s="13">
        <f>IF(OR($A220="",$E220=""),"",IFERROR(E220*INDEX(CONTRATOS!$P$2:$P$601,MATCH($A220,CONTRATOS!$A$2:$A$601,0)),""))</f>
        <v/>
      </c>
      <c r="L220" s="17">
        <f>IF(OR($A220="",$E220=""),"",IFERROR(E220*INDEX(CONTRATOS!$Z$2:$Z$601,MATCH($A220,CONTRATOS!$A$2:$A$601,0)),""))</f>
        <v/>
      </c>
      <c r="M220" s="13">
        <f>IF(OR($A220="",$E220=""),"",IFERROR(E220*INDEX(CONTRATOS!$AA$2:$AA$601,MATCH($A220,CONTRATOS!$A$2:$A$601,0)),""))</f>
        <v/>
      </c>
      <c r="N220" s="19">
        <f>IF($A220="","",SUMIFS($E$2:$E$601,$A$2:$A$601,$A220))</f>
        <v/>
      </c>
      <c r="O220" s="12">
        <f>IF($A220="","",IFERROR(INDEX(CONTRATOS!$F$2:$F$601,MATCH($A220,CONTRATOS!$A$2:$A$601,0)),""))</f>
        <v/>
      </c>
      <c r="P220" s="12">
        <f>IF($A220="","",IFERROR(INDEX(CONTRATOS!$M$2:$M$601,MATCH($A220,CONTRATOS!$A$2:$A$601,0)),""))</f>
        <v/>
      </c>
      <c r="Q220" s="12">
        <f>IF($A220="","",IF(COUNTIF(CONTRATOS!$A$2:$A$601,$A220)=0,"El contrato no existe en CONTRATOS; ","")&amp;IF($B220="","Falta sujeto; ",IF(COUNTIF(SUJETOS!$A$2:$A$601,$B220)=0,"El sujeto no existe en SUJETOS; ",""))&amp;IF($E220="","Falta porcentaje; ","")&amp;IF(N220&gt;1.0001,"Los porcentajes del contrato suman más de 100 %; ","")&amp;IF(AND($C220="Individual",$E220&lt;&gt;"",$E220&lt;&gt;1),"Individual debe ser 100 %; ","")&amp;IF(AND($C220&lt;&gt;"Individual",$C220&lt;&gt;"",$E220=1),"Consorcio o UT con 100 %: revise; ","")&amp;IF(COUNTIFS($A$2:$A$601,$A220,$B$2:$B$601,$B220)&gt;1,"Participación repetida; ","")&amp;IF(AND(IFERROR(INDEX(SUJETOS!$B$2:$B$601,MATCH($B220,SUJETOS!$A$2:$A$601,0)),"")="Persona natural",$G220=""),"Persona natural sin cargo; ",""))</f>
        <v/>
      </c>
      <c r="R220" s="12">
        <f>IF($A220="","",IFERROR(IF(LEN(INDEX(SUJETOS!$F$2:$F$601,MATCH($B220,SUJETOS!$A$2:$A$601,0)))&gt;0,INDEX(SUJETOS!$F$2:$F$601,MATCH($B220,SUJETOS!$A$2:$A$601,0)),$B220),$B220))</f>
        <v/>
      </c>
    </row>
    <row r="221">
      <c r="E221" s="18" t="n"/>
      <c r="K221" s="13">
        <f>IF(OR($A221="",$E221=""),"",IFERROR(E221*INDEX(CONTRATOS!$P$2:$P$601,MATCH($A221,CONTRATOS!$A$2:$A$601,0)),""))</f>
        <v/>
      </c>
      <c r="L221" s="17">
        <f>IF(OR($A221="",$E221=""),"",IFERROR(E221*INDEX(CONTRATOS!$Z$2:$Z$601,MATCH($A221,CONTRATOS!$A$2:$A$601,0)),""))</f>
        <v/>
      </c>
      <c r="M221" s="13">
        <f>IF(OR($A221="",$E221=""),"",IFERROR(E221*INDEX(CONTRATOS!$AA$2:$AA$601,MATCH($A221,CONTRATOS!$A$2:$A$601,0)),""))</f>
        <v/>
      </c>
      <c r="N221" s="19">
        <f>IF($A221="","",SUMIFS($E$2:$E$601,$A$2:$A$601,$A221))</f>
        <v/>
      </c>
      <c r="O221" s="12">
        <f>IF($A221="","",IFERROR(INDEX(CONTRATOS!$F$2:$F$601,MATCH($A221,CONTRATOS!$A$2:$A$601,0)),""))</f>
        <v/>
      </c>
      <c r="P221" s="12">
        <f>IF($A221="","",IFERROR(INDEX(CONTRATOS!$M$2:$M$601,MATCH($A221,CONTRATOS!$A$2:$A$601,0)),""))</f>
        <v/>
      </c>
      <c r="Q221" s="12">
        <f>IF($A221="","",IF(COUNTIF(CONTRATOS!$A$2:$A$601,$A221)=0,"El contrato no existe en CONTRATOS; ","")&amp;IF($B221="","Falta sujeto; ",IF(COUNTIF(SUJETOS!$A$2:$A$601,$B221)=0,"El sujeto no existe en SUJETOS; ",""))&amp;IF($E221="","Falta porcentaje; ","")&amp;IF(N221&gt;1.0001,"Los porcentajes del contrato suman más de 100 %; ","")&amp;IF(AND($C221="Individual",$E221&lt;&gt;"",$E221&lt;&gt;1),"Individual debe ser 100 %; ","")&amp;IF(AND($C221&lt;&gt;"Individual",$C221&lt;&gt;"",$E221=1),"Consorcio o UT con 100 %: revise; ","")&amp;IF(COUNTIFS($A$2:$A$601,$A221,$B$2:$B$601,$B221)&gt;1,"Participación repetida; ","")&amp;IF(AND(IFERROR(INDEX(SUJETOS!$B$2:$B$601,MATCH($B221,SUJETOS!$A$2:$A$601,0)),"")="Persona natural",$G221=""),"Persona natural sin cargo; ",""))</f>
        <v/>
      </c>
      <c r="R221" s="12">
        <f>IF($A221="","",IFERROR(IF(LEN(INDEX(SUJETOS!$F$2:$F$601,MATCH($B221,SUJETOS!$A$2:$A$601,0)))&gt;0,INDEX(SUJETOS!$F$2:$F$601,MATCH($B221,SUJETOS!$A$2:$A$601,0)),$B221),$B221))</f>
        <v/>
      </c>
    </row>
    <row r="222">
      <c r="E222" s="18" t="n"/>
      <c r="K222" s="13">
        <f>IF(OR($A222="",$E222=""),"",IFERROR(E222*INDEX(CONTRATOS!$P$2:$P$601,MATCH($A222,CONTRATOS!$A$2:$A$601,0)),""))</f>
        <v/>
      </c>
      <c r="L222" s="17">
        <f>IF(OR($A222="",$E222=""),"",IFERROR(E222*INDEX(CONTRATOS!$Z$2:$Z$601,MATCH($A222,CONTRATOS!$A$2:$A$601,0)),""))</f>
        <v/>
      </c>
      <c r="M222" s="13">
        <f>IF(OR($A222="",$E222=""),"",IFERROR(E222*INDEX(CONTRATOS!$AA$2:$AA$601,MATCH($A222,CONTRATOS!$A$2:$A$601,0)),""))</f>
        <v/>
      </c>
      <c r="N222" s="19">
        <f>IF($A222="","",SUMIFS($E$2:$E$601,$A$2:$A$601,$A222))</f>
        <v/>
      </c>
      <c r="O222" s="12">
        <f>IF($A222="","",IFERROR(INDEX(CONTRATOS!$F$2:$F$601,MATCH($A222,CONTRATOS!$A$2:$A$601,0)),""))</f>
        <v/>
      </c>
      <c r="P222" s="12">
        <f>IF($A222="","",IFERROR(INDEX(CONTRATOS!$M$2:$M$601,MATCH($A222,CONTRATOS!$A$2:$A$601,0)),""))</f>
        <v/>
      </c>
      <c r="Q222" s="12">
        <f>IF($A222="","",IF(COUNTIF(CONTRATOS!$A$2:$A$601,$A222)=0,"El contrato no existe en CONTRATOS; ","")&amp;IF($B222="","Falta sujeto; ",IF(COUNTIF(SUJETOS!$A$2:$A$601,$B222)=0,"El sujeto no existe en SUJETOS; ",""))&amp;IF($E222="","Falta porcentaje; ","")&amp;IF(N222&gt;1.0001,"Los porcentajes del contrato suman más de 100 %; ","")&amp;IF(AND($C222="Individual",$E222&lt;&gt;"",$E222&lt;&gt;1),"Individual debe ser 100 %; ","")&amp;IF(AND($C222&lt;&gt;"Individual",$C222&lt;&gt;"",$E222=1),"Consorcio o UT con 100 %: revise; ","")&amp;IF(COUNTIFS($A$2:$A$601,$A222,$B$2:$B$601,$B222)&gt;1,"Participación repetida; ","")&amp;IF(AND(IFERROR(INDEX(SUJETOS!$B$2:$B$601,MATCH($B222,SUJETOS!$A$2:$A$601,0)),"")="Persona natural",$G222=""),"Persona natural sin cargo; ",""))</f>
        <v/>
      </c>
      <c r="R222" s="12">
        <f>IF($A222="","",IFERROR(IF(LEN(INDEX(SUJETOS!$F$2:$F$601,MATCH($B222,SUJETOS!$A$2:$A$601,0)))&gt;0,INDEX(SUJETOS!$F$2:$F$601,MATCH($B222,SUJETOS!$A$2:$A$601,0)),$B222),$B222))</f>
        <v/>
      </c>
    </row>
    <row r="223">
      <c r="E223" s="18" t="n"/>
      <c r="K223" s="13">
        <f>IF(OR($A223="",$E223=""),"",IFERROR(E223*INDEX(CONTRATOS!$P$2:$P$601,MATCH($A223,CONTRATOS!$A$2:$A$601,0)),""))</f>
        <v/>
      </c>
      <c r="L223" s="17">
        <f>IF(OR($A223="",$E223=""),"",IFERROR(E223*INDEX(CONTRATOS!$Z$2:$Z$601,MATCH($A223,CONTRATOS!$A$2:$A$601,0)),""))</f>
        <v/>
      </c>
      <c r="M223" s="13">
        <f>IF(OR($A223="",$E223=""),"",IFERROR(E223*INDEX(CONTRATOS!$AA$2:$AA$601,MATCH($A223,CONTRATOS!$A$2:$A$601,0)),""))</f>
        <v/>
      </c>
      <c r="N223" s="19">
        <f>IF($A223="","",SUMIFS($E$2:$E$601,$A$2:$A$601,$A223))</f>
        <v/>
      </c>
      <c r="O223" s="12">
        <f>IF($A223="","",IFERROR(INDEX(CONTRATOS!$F$2:$F$601,MATCH($A223,CONTRATOS!$A$2:$A$601,0)),""))</f>
        <v/>
      </c>
      <c r="P223" s="12">
        <f>IF($A223="","",IFERROR(INDEX(CONTRATOS!$M$2:$M$601,MATCH($A223,CONTRATOS!$A$2:$A$601,0)),""))</f>
        <v/>
      </c>
      <c r="Q223" s="12">
        <f>IF($A223="","",IF(COUNTIF(CONTRATOS!$A$2:$A$601,$A223)=0,"El contrato no existe en CONTRATOS; ","")&amp;IF($B223="","Falta sujeto; ",IF(COUNTIF(SUJETOS!$A$2:$A$601,$B223)=0,"El sujeto no existe en SUJETOS; ",""))&amp;IF($E223="","Falta porcentaje; ","")&amp;IF(N223&gt;1.0001,"Los porcentajes del contrato suman más de 100 %; ","")&amp;IF(AND($C223="Individual",$E223&lt;&gt;"",$E223&lt;&gt;1),"Individual debe ser 100 %; ","")&amp;IF(AND($C223&lt;&gt;"Individual",$C223&lt;&gt;"",$E223=1),"Consorcio o UT con 100 %: revise; ","")&amp;IF(COUNTIFS($A$2:$A$601,$A223,$B$2:$B$601,$B223)&gt;1,"Participación repetida; ","")&amp;IF(AND(IFERROR(INDEX(SUJETOS!$B$2:$B$601,MATCH($B223,SUJETOS!$A$2:$A$601,0)),"")="Persona natural",$G223=""),"Persona natural sin cargo; ",""))</f>
        <v/>
      </c>
      <c r="R223" s="12">
        <f>IF($A223="","",IFERROR(IF(LEN(INDEX(SUJETOS!$F$2:$F$601,MATCH($B223,SUJETOS!$A$2:$A$601,0)))&gt;0,INDEX(SUJETOS!$F$2:$F$601,MATCH($B223,SUJETOS!$A$2:$A$601,0)),$B223),$B223))</f>
        <v/>
      </c>
    </row>
    <row r="224">
      <c r="E224" s="18" t="n"/>
      <c r="K224" s="13">
        <f>IF(OR($A224="",$E224=""),"",IFERROR(E224*INDEX(CONTRATOS!$P$2:$P$601,MATCH($A224,CONTRATOS!$A$2:$A$601,0)),""))</f>
        <v/>
      </c>
      <c r="L224" s="17">
        <f>IF(OR($A224="",$E224=""),"",IFERROR(E224*INDEX(CONTRATOS!$Z$2:$Z$601,MATCH($A224,CONTRATOS!$A$2:$A$601,0)),""))</f>
        <v/>
      </c>
      <c r="M224" s="13">
        <f>IF(OR($A224="",$E224=""),"",IFERROR(E224*INDEX(CONTRATOS!$AA$2:$AA$601,MATCH($A224,CONTRATOS!$A$2:$A$601,0)),""))</f>
        <v/>
      </c>
      <c r="N224" s="19">
        <f>IF($A224="","",SUMIFS($E$2:$E$601,$A$2:$A$601,$A224))</f>
        <v/>
      </c>
      <c r="O224" s="12">
        <f>IF($A224="","",IFERROR(INDEX(CONTRATOS!$F$2:$F$601,MATCH($A224,CONTRATOS!$A$2:$A$601,0)),""))</f>
        <v/>
      </c>
      <c r="P224" s="12">
        <f>IF($A224="","",IFERROR(INDEX(CONTRATOS!$M$2:$M$601,MATCH($A224,CONTRATOS!$A$2:$A$601,0)),""))</f>
        <v/>
      </c>
      <c r="Q224" s="12">
        <f>IF($A224="","",IF(COUNTIF(CONTRATOS!$A$2:$A$601,$A224)=0,"El contrato no existe en CONTRATOS; ","")&amp;IF($B224="","Falta sujeto; ",IF(COUNTIF(SUJETOS!$A$2:$A$601,$B224)=0,"El sujeto no existe en SUJETOS; ",""))&amp;IF($E224="","Falta porcentaje; ","")&amp;IF(N224&gt;1.0001,"Los porcentajes del contrato suman más de 100 %; ","")&amp;IF(AND($C224="Individual",$E224&lt;&gt;"",$E224&lt;&gt;1),"Individual debe ser 100 %; ","")&amp;IF(AND($C224&lt;&gt;"Individual",$C224&lt;&gt;"",$E224=1),"Consorcio o UT con 100 %: revise; ","")&amp;IF(COUNTIFS($A$2:$A$601,$A224,$B$2:$B$601,$B224)&gt;1,"Participación repetida; ","")&amp;IF(AND(IFERROR(INDEX(SUJETOS!$B$2:$B$601,MATCH($B224,SUJETOS!$A$2:$A$601,0)),"")="Persona natural",$G224=""),"Persona natural sin cargo; ",""))</f>
        <v/>
      </c>
      <c r="R224" s="12">
        <f>IF($A224="","",IFERROR(IF(LEN(INDEX(SUJETOS!$F$2:$F$601,MATCH($B224,SUJETOS!$A$2:$A$601,0)))&gt;0,INDEX(SUJETOS!$F$2:$F$601,MATCH($B224,SUJETOS!$A$2:$A$601,0)),$B224),$B224))</f>
        <v/>
      </c>
    </row>
    <row r="225">
      <c r="E225" s="18" t="n"/>
      <c r="K225" s="13">
        <f>IF(OR($A225="",$E225=""),"",IFERROR(E225*INDEX(CONTRATOS!$P$2:$P$601,MATCH($A225,CONTRATOS!$A$2:$A$601,0)),""))</f>
        <v/>
      </c>
      <c r="L225" s="17">
        <f>IF(OR($A225="",$E225=""),"",IFERROR(E225*INDEX(CONTRATOS!$Z$2:$Z$601,MATCH($A225,CONTRATOS!$A$2:$A$601,0)),""))</f>
        <v/>
      </c>
      <c r="M225" s="13">
        <f>IF(OR($A225="",$E225=""),"",IFERROR(E225*INDEX(CONTRATOS!$AA$2:$AA$601,MATCH($A225,CONTRATOS!$A$2:$A$601,0)),""))</f>
        <v/>
      </c>
      <c r="N225" s="19">
        <f>IF($A225="","",SUMIFS($E$2:$E$601,$A$2:$A$601,$A225))</f>
        <v/>
      </c>
      <c r="O225" s="12">
        <f>IF($A225="","",IFERROR(INDEX(CONTRATOS!$F$2:$F$601,MATCH($A225,CONTRATOS!$A$2:$A$601,0)),""))</f>
        <v/>
      </c>
      <c r="P225" s="12">
        <f>IF($A225="","",IFERROR(INDEX(CONTRATOS!$M$2:$M$601,MATCH($A225,CONTRATOS!$A$2:$A$601,0)),""))</f>
        <v/>
      </c>
      <c r="Q225" s="12">
        <f>IF($A225="","",IF(COUNTIF(CONTRATOS!$A$2:$A$601,$A225)=0,"El contrato no existe en CONTRATOS; ","")&amp;IF($B225="","Falta sujeto; ",IF(COUNTIF(SUJETOS!$A$2:$A$601,$B225)=0,"El sujeto no existe en SUJETOS; ",""))&amp;IF($E225="","Falta porcentaje; ","")&amp;IF(N225&gt;1.0001,"Los porcentajes del contrato suman más de 100 %; ","")&amp;IF(AND($C225="Individual",$E225&lt;&gt;"",$E225&lt;&gt;1),"Individual debe ser 100 %; ","")&amp;IF(AND($C225&lt;&gt;"Individual",$C225&lt;&gt;"",$E225=1),"Consorcio o UT con 100 %: revise; ","")&amp;IF(COUNTIFS($A$2:$A$601,$A225,$B$2:$B$601,$B225)&gt;1,"Participación repetida; ","")&amp;IF(AND(IFERROR(INDEX(SUJETOS!$B$2:$B$601,MATCH($B225,SUJETOS!$A$2:$A$601,0)),"")="Persona natural",$G225=""),"Persona natural sin cargo; ",""))</f>
        <v/>
      </c>
      <c r="R225" s="12">
        <f>IF($A225="","",IFERROR(IF(LEN(INDEX(SUJETOS!$F$2:$F$601,MATCH($B225,SUJETOS!$A$2:$A$601,0)))&gt;0,INDEX(SUJETOS!$F$2:$F$601,MATCH($B225,SUJETOS!$A$2:$A$601,0)),$B225),$B225))</f>
        <v/>
      </c>
    </row>
    <row r="226">
      <c r="E226" s="18" t="n"/>
      <c r="K226" s="13">
        <f>IF(OR($A226="",$E226=""),"",IFERROR(E226*INDEX(CONTRATOS!$P$2:$P$601,MATCH($A226,CONTRATOS!$A$2:$A$601,0)),""))</f>
        <v/>
      </c>
      <c r="L226" s="17">
        <f>IF(OR($A226="",$E226=""),"",IFERROR(E226*INDEX(CONTRATOS!$Z$2:$Z$601,MATCH($A226,CONTRATOS!$A$2:$A$601,0)),""))</f>
        <v/>
      </c>
      <c r="M226" s="13">
        <f>IF(OR($A226="",$E226=""),"",IFERROR(E226*INDEX(CONTRATOS!$AA$2:$AA$601,MATCH($A226,CONTRATOS!$A$2:$A$601,0)),""))</f>
        <v/>
      </c>
      <c r="N226" s="19">
        <f>IF($A226="","",SUMIFS($E$2:$E$601,$A$2:$A$601,$A226))</f>
        <v/>
      </c>
      <c r="O226" s="12">
        <f>IF($A226="","",IFERROR(INDEX(CONTRATOS!$F$2:$F$601,MATCH($A226,CONTRATOS!$A$2:$A$601,0)),""))</f>
        <v/>
      </c>
      <c r="P226" s="12">
        <f>IF($A226="","",IFERROR(INDEX(CONTRATOS!$M$2:$M$601,MATCH($A226,CONTRATOS!$A$2:$A$601,0)),""))</f>
        <v/>
      </c>
      <c r="Q226" s="12">
        <f>IF($A226="","",IF(COUNTIF(CONTRATOS!$A$2:$A$601,$A226)=0,"El contrato no existe en CONTRATOS; ","")&amp;IF($B226="","Falta sujeto; ",IF(COUNTIF(SUJETOS!$A$2:$A$601,$B226)=0,"El sujeto no existe en SUJETOS; ",""))&amp;IF($E226="","Falta porcentaje; ","")&amp;IF(N226&gt;1.0001,"Los porcentajes del contrato suman más de 100 %; ","")&amp;IF(AND($C226="Individual",$E226&lt;&gt;"",$E226&lt;&gt;1),"Individual debe ser 100 %; ","")&amp;IF(AND($C226&lt;&gt;"Individual",$C226&lt;&gt;"",$E226=1),"Consorcio o UT con 100 %: revise; ","")&amp;IF(COUNTIFS($A$2:$A$601,$A226,$B$2:$B$601,$B226)&gt;1,"Participación repetida; ","")&amp;IF(AND(IFERROR(INDEX(SUJETOS!$B$2:$B$601,MATCH($B226,SUJETOS!$A$2:$A$601,0)),"")="Persona natural",$G226=""),"Persona natural sin cargo; ",""))</f>
        <v/>
      </c>
      <c r="R226" s="12">
        <f>IF($A226="","",IFERROR(IF(LEN(INDEX(SUJETOS!$F$2:$F$601,MATCH($B226,SUJETOS!$A$2:$A$601,0)))&gt;0,INDEX(SUJETOS!$F$2:$F$601,MATCH($B226,SUJETOS!$A$2:$A$601,0)),$B226),$B226))</f>
        <v/>
      </c>
    </row>
    <row r="227">
      <c r="E227" s="18" t="n"/>
      <c r="K227" s="13">
        <f>IF(OR($A227="",$E227=""),"",IFERROR(E227*INDEX(CONTRATOS!$P$2:$P$601,MATCH($A227,CONTRATOS!$A$2:$A$601,0)),""))</f>
        <v/>
      </c>
      <c r="L227" s="17">
        <f>IF(OR($A227="",$E227=""),"",IFERROR(E227*INDEX(CONTRATOS!$Z$2:$Z$601,MATCH($A227,CONTRATOS!$A$2:$A$601,0)),""))</f>
        <v/>
      </c>
      <c r="M227" s="13">
        <f>IF(OR($A227="",$E227=""),"",IFERROR(E227*INDEX(CONTRATOS!$AA$2:$AA$601,MATCH($A227,CONTRATOS!$A$2:$A$601,0)),""))</f>
        <v/>
      </c>
      <c r="N227" s="19">
        <f>IF($A227="","",SUMIFS($E$2:$E$601,$A$2:$A$601,$A227))</f>
        <v/>
      </c>
      <c r="O227" s="12">
        <f>IF($A227="","",IFERROR(INDEX(CONTRATOS!$F$2:$F$601,MATCH($A227,CONTRATOS!$A$2:$A$601,0)),""))</f>
        <v/>
      </c>
      <c r="P227" s="12">
        <f>IF($A227="","",IFERROR(INDEX(CONTRATOS!$M$2:$M$601,MATCH($A227,CONTRATOS!$A$2:$A$601,0)),""))</f>
        <v/>
      </c>
      <c r="Q227" s="12">
        <f>IF($A227="","",IF(COUNTIF(CONTRATOS!$A$2:$A$601,$A227)=0,"El contrato no existe en CONTRATOS; ","")&amp;IF($B227="","Falta sujeto; ",IF(COUNTIF(SUJETOS!$A$2:$A$601,$B227)=0,"El sujeto no existe en SUJETOS; ",""))&amp;IF($E227="","Falta porcentaje; ","")&amp;IF(N227&gt;1.0001,"Los porcentajes del contrato suman más de 100 %; ","")&amp;IF(AND($C227="Individual",$E227&lt;&gt;"",$E227&lt;&gt;1),"Individual debe ser 100 %; ","")&amp;IF(AND($C227&lt;&gt;"Individual",$C227&lt;&gt;"",$E227=1),"Consorcio o UT con 100 %: revise; ","")&amp;IF(COUNTIFS($A$2:$A$601,$A227,$B$2:$B$601,$B227)&gt;1,"Participación repetida; ","")&amp;IF(AND(IFERROR(INDEX(SUJETOS!$B$2:$B$601,MATCH($B227,SUJETOS!$A$2:$A$601,0)),"")="Persona natural",$G227=""),"Persona natural sin cargo; ",""))</f>
        <v/>
      </c>
      <c r="R227" s="12">
        <f>IF($A227="","",IFERROR(IF(LEN(INDEX(SUJETOS!$F$2:$F$601,MATCH($B227,SUJETOS!$A$2:$A$601,0)))&gt;0,INDEX(SUJETOS!$F$2:$F$601,MATCH($B227,SUJETOS!$A$2:$A$601,0)),$B227),$B227))</f>
        <v/>
      </c>
    </row>
    <row r="228">
      <c r="E228" s="18" t="n"/>
      <c r="K228" s="13">
        <f>IF(OR($A228="",$E228=""),"",IFERROR(E228*INDEX(CONTRATOS!$P$2:$P$601,MATCH($A228,CONTRATOS!$A$2:$A$601,0)),""))</f>
        <v/>
      </c>
      <c r="L228" s="17">
        <f>IF(OR($A228="",$E228=""),"",IFERROR(E228*INDEX(CONTRATOS!$Z$2:$Z$601,MATCH($A228,CONTRATOS!$A$2:$A$601,0)),""))</f>
        <v/>
      </c>
      <c r="M228" s="13">
        <f>IF(OR($A228="",$E228=""),"",IFERROR(E228*INDEX(CONTRATOS!$AA$2:$AA$601,MATCH($A228,CONTRATOS!$A$2:$A$601,0)),""))</f>
        <v/>
      </c>
      <c r="N228" s="19">
        <f>IF($A228="","",SUMIFS($E$2:$E$601,$A$2:$A$601,$A228))</f>
        <v/>
      </c>
      <c r="O228" s="12">
        <f>IF($A228="","",IFERROR(INDEX(CONTRATOS!$F$2:$F$601,MATCH($A228,CONTRATOS!$A$2:$A$601,0)),""))</f>
        <v/>
      </c>
      <c r="P228" s="12">
        <f>IF($A228="","",IFERROR(INDEX(CONTRATOS!$M$2:$M$601,MATCH($A228,CONTRATOS!$A$2:$A$601,0)),""))</f>
        <v/>
      </c>
      <c r="Q228" s="12">
        <f>IF($A228="","",IF(COUNTIF(CONTRATOS!$A$2:$A$601,$A228)=0,"El contrato no existe en CONTRATOS; ","")&amp;IF($B228="","Falta sujeto; ",IF(COUNTIF(SUJETOS!$A$2:$A$601,$B228)=0,"El sujeto no existe en SUJETOS; ",""))&amp;IF($E228="","Falta porcentaje; ","")&amp;IF(N228&gt;1.0001,"Los porcentajes del contrato suman más de 100 %; ","")&amp;IF(AND($C228="Individual",$E228&lt;&gt;"",$E228&lt;&gt;1),"Individual debe ser 100 %; ","")&amp;IF(AND($C228&lt;&gt;"Individual",$C228&lt;&gt;"",$E228=1),"Consorcio o UT con 100 %: revise; ","")&amp;IF(COUNTIFS($A$2:$A$601,$A228,$B$2:$B$601,$B228)&gt;1,"Participación repetida; ","")&amp;IF(AND(IFERROR(INDEX(SUJETOS!$B$2:$B$601,MATCH($B228,SUJETOS!$A$2:$A$601,0)),"")="Persona natural",$G228=""),"Persona natural sin cargo; ",""))</f>
        <v/>
      </c>
      <c r="R228" s="12">
        <f>IF($A228="","",IFERROR(IF(LEN(INDEX(SUJETOS!$F$2:$F$601,MATCH($B228,SUJETOS!$A$2:$A$601,0)))&gt;0,INDEX(SUJETOS!$F$2:$F$601,MATCH($B228,SUJETOS!$A$2:$A$601,0)),$B228),$B228))</f>
        <v/>
      </c>
    </row>
    <row r="229">
      <c r="E229" s="18" t="n"/>
      <c r="K229" s="13">
        <f>IF(OR($A229="",$E229=""),"",IFERROR(E229*INDEX(CONTRATOS!$P$2:$P$601,MATCH($A229,CONTRATOS!$A$2:$A$601,0)),""))</f>
        <v/>
      </c>
      <c r="L229" s="17">
        <f>IF(OR($A229="",$E229=""),"",IFERROR(E229*INDEX(CONTRATOS!$Z$2:$Z$601,MATCH($A229,CONTRATOS!$A$2:$A$601,0)),""))</f>
        <v/>
      </c>
      <c r="M229" s="13">
        <f>IF(OR($A229="",$E229=""),"",IFERROR(E229*INDEX(CONTRATOS!$AA$2:$AA$601,MATCH($A229,CONTRATOS!$A$2:$A$601,0)),""))</f>
        <v/>
      </c>
      <c r="N229" s="19">
        <f>IF($A229="","",SUMIFS($E$2:$E$601,$A$2:$A$601,$A229))</f>
        <v/>
      </c>
      <c r="O229" s="12">
        <f>IF($A229="","",IFERROR(INDEX(CONTRATOS!$F$2:$F$601,MATCH($A229,CONTRATOS!$A$2:$A$601,0)),""))</f>
        <v/>
      </c>
      <c r="P229" s="12">
        <f>IF($A229="","",IFERROR(INDEX(CONTRATOS!$M$2:$M$601,MATCH($A229,CONTRATOS!$A$2:$A$601,0)),""))</f>
        <v/>
      </c>
      <c r="Q229" s="12">
        <f>IF($A229="","",IF(COUNTIF(CONTRATOS!$A$2:$A$601,$A229)=0,"El contrato no existe en CONTRATOS; ","")&amp;IF($B229="","Falta sujeto; ",IF(COUNTIF(SUJETOS!$A$2:$A$601,$B229)=0,"El sujeto no existe en SUJETOS; ",""))&amp;IF($E229="","Falta porcentaje; ","")&amp;IF(N229&gt;1.0001,"Los porcentajes del contrato suman más de 100 %; ","")&amp;IF(AND($C229="Individual",$E229&lt;&gt;"",$E229&lt;&gt;1),"Individual debe ser 100 %; ","")&amp;IF(AND($C229&lt;&gt;"Individual",$C229&lt;&gt;"",$E229=1),"Consorcio o UT con 100 %: revise; ","")&amp;IF(COUNTIFS($A$2:$A$601,$A229,$B$2:$B$601,$B229)&gt;1,"Participación repetida; ","")&amp;IF(AND(IFERROR(INDEX(SUJETOS!$B$2:$B$601,MATCH($B229,SUJETOS!$A$2:$A$601,0)),"")="Persona natural",$G229=""),"Persona natural sin cargo; ",""))</f>
        <v/>
      </c>
      <c r="R229" s="12">
        <f>IF($A229="","",IFERROR(IF(LEN(INDEX(SUJETOS!$F$2:$F$601,MATCH($B229,SUJETOS!$A$2:$A$601,0)))&gt;0,INDEX(SUJETOS!$F$2:$F$601,MATCH($B229,SUJETOS!$A$2:$A$601,0)),$B229),$B229))</f>
        <v/>
      </c>
    </row>
    <row r="230">
      <c r="E230" s="18" t="n"/>
      <c r="K230" s="13">
        <f>IF(OR($A230="",$E230=""),"",IFERROR(E230*INDEX(CONTRATOS!$P$2:$P$601,MATCH($A230,CONTRATOS!$A$2:$A$601,0)),""))</f>
        <v/>
      </c>
      <c r="L230" s="17">
        <f>IF(OR($A230="",$E230=""),"",IFERROR(E230*INDEX(CONTRATOS!$Z$2:$Z$601,MATCH($A230,CONTRATOS!$A$2:$A$601,0)),""))</f>
        <v/>
      </c>
      <c r="M230" s="13">
        <f>IF(OR($A230="",$E230=""),"",IFERROR(E230*INDEX(CONTRATOS!$AA$2:$AA$601,MATCH($A230,CONTRATOS!$A$2:$A$601,0)),""))</f>
        <v/>
      </c>
      <c r="N230" s="19">
        <f>IF($A230="","",SUMIFS($E$2:$E$601,$A$2:$A$601,$A230))</f>
        <v/>
      </c>
      <c r="O230" s="12">
        <f>IF($A230="","",IFERROR(INDEX(CONTRATOS!$F$2:$F$601,MATCH($A230,CONTRATOS!$A$2:$A$601,0)),""))</f>
        <v/>
      </c>
      <c r="P230" s="12">
        <f>IF($A230="","",IFERROR(INDEX(CONTRATOS!$M$2:$M$601,MATCH($A230,CONTRATOS!$A$2:$A$601,0)),""))</f>
        <v/>
      </c>
      <c r="Q230" s="12">
        <f>IF($A230="","",IF(COUNTIF(CONTRATOS!$A$2:$A$601,$A230)=0,"El contrato no existe en CONTRATOS; ","")&amp;IF($B230="","Falta sujeto; ",IF(COUNTIF(SUJETOS!$A$2:$A$601,$B230)=0,"El sujeto no existe en SUJETOS; ",""))&amp;IF($E230="","Falta porcentaje; ","")&amp;IF(N230&gt;1.0001,"Los porcentajes del contrato suman más de 100 %; ","")&amp;IF(AND($C230="Individual",$E230&lt;&gt;"",$E230&lt;&gt;1),"Individual debe ser 100 %; ","")&amp;IF(AND($C230&lt;&gt;"Individual",$C230&lt;&gt;"",$E230=1),"Consorcio o UT con 100 %: revise; ","")&amp;IF(COUNTIFS($A$2:$A$601,$A230,$B$2:$B$601,$B230)&gt;1,"Participación repetida; ","")&amp;IF(AND(IFERROR(INDEX(SUJETOS!$B$2:$B$601,MATCH($B230,SUJETOS!$A$2:$A$601,0)),"")="Persona natural",$G230=""),"Persona natural sin cargo; ",""))</f>
        <v/>
      </c>
      <c r="R230" s="12">
        <f>IF($A230="","",IFERROR(IF(LEN(INDEX(SUJETOS!$F$2:$F$601,MATCH($B230,SUJETOS!$A$2:$A$601,0)))&gt;0,INDEX(SUJETOS!$F$2:$F$601,MATCH($B230,SUJETOS!$A$2:$A$601,0)),$B230),$B230))</f>
        <v/>
      </c>
    </row>
    <row r="231">
      <c r="E231" s="18" t="n"/>
      <c r="K231" s="13">
        <f>IF(OR($A231="",$E231=""),"",IFERROR(E231*INDEX(CONTRATOS!$P$2:$P$601,MATCH($A231,CONTRATOS!$A$2:$A$601,0)),""))</f>
        <v/>
      </c>
      <c r="L231" s="17">
        <f>IF(OR($A231="",$E231=""),"",IFERROR(E231*INDEX(CONTRATOS!$Z$2:$Z$601,MATCH($A231,CONTRATOS!$A$2:$A$601,0)),""))</f>
        <v/>
      </c>
      <c r="M231" s="13">
        <f>IF(OR($A231="",$E231=""),"",IFERROR(E231*INDEX(CONTRATOS!$AA$2:$AA$601,MATCH($A231,CONTRATOS!$A$2:$A$601,0)),""))</f>
        <v/>
      </c>
      <c r="N231" s="19">
        <f>IF($A231="","",SUMIFS($E$2:$E$601,$A$2:$A$601,$A231))</f>
        <v/>
      </c>
      <c r="O231" s="12">
        <f>IF($A231="","",IFERROR(INDEX(CONTRATOS!$F$2:$F$601,MATCH($A231,CONTRATOS!$A$2:$A$601,0)),""))</f>
        <v/>
      </c>
      <c r="P231" s="12">
        <f>IF($A231="","",IFERROR(INDEX(CONTRATOS!$M$2:$M$601,MATCH($A231,CONTRATOS!$A$2:$A$601,0)),""))</f>
        <v/>
      </c>
      <c r="Q231" s="12">
        <f>IF($A231="","",IF(COUNTIF(CONTRATOS!$A$2:$A$601,$A231)=0,"El contrato no existe en CONTRATOS; ","")&amp;IF($B231="","Falta sujeto; ",IF(COUNTIF(SUJETOS!$A$2:$A$601,$B231)=0,"El sujeto no existe en SUJETOS; ",""))&amp;IF($E231="","Falta porcentaje; ","")&amp;IF(N231&gt;1.0001,"Los porcentajes del contrato suman más de 100 %; ","")&amp;IF(AND($C231="Individual",$E231&lt;&gt;"",$E231&lt;&gt;1),"Individual debe ser 100 %; ","")&amp;IF(AND($C231&lt;&gt;"Individual",$C231&lt;&gt;"",$E231=1),"Consorcio o UT con 100 %: revise; ","")&amp;IF(COUNTIFS($A$2:$A$601,$A231,$B$2:$B$601,$B231)&gt;1,"Participación repetida; ","")&amp;IF(AND(IFERROR(INDEX(SUJETOS!$B$2:$B$601,MATCH($B231,SUJETOS!$A$2:$A$601,0)),"")="Persona natural",$G231=""),"Persona natural sin cargo; ",""))</f>
        <v/>
      </c>
      <c r="R231" s="12">
        <f>IF($A231="","",IFERROR(IF(LEN(INDEX(SUJETOS!$F$2:$F$601,MATCH($B231,SUJETOS!$A$2:$A$601,0)))&gt;0,INDEX(SUJETOS!$F$2:$F$601,MATCH($B231,SUJETOS!$A$2:$A$601,0)),$B231),$B231))</f>
        <v/>
      </c>
    </row>
    <row r="232">
      <c r="E232" s="18" t="n"/>
      <c r="K232" s="13">
        <f>IF(OR($A232="",$E232=""),"",IFERROR(E232*INDEX(CONTRATOS!$P$2:$P$601,MATCH($A232,CONTRATOS!$A$2:$A$601,0)),""))</f>
        <v/>
      </c>
      <c r="L232" s="17">
        <f>IF(OR($A232="",$E232=""),"",IFERROR(E232*INDEX(CONTRATOS!$Z$2:$Z$601,MATCH($A232,CONTRATOS!$A$2:$A$601,0)),""))</f>
        <v/>
      </c>
      <c r="M232" s="13">
        <f>IF(OR($A232="",$E232=""),"",IFERROR(E232*INDEX(CONTRATOS!$AA$2:$AA$601,MATCH($A232,CONTRATOS!$A$2:$A$601,0)),""))</f>
        <v/>
      </c>
      <c r="N232" s="19">
        <f>IF($A232="","",SUMIFS($E$2:$E$601,$A$2:$A$601,$A232))</f>
        <v/>
      </c>
      <c r="O232" s="12">
        <f>IF($A232="","",IFERROR(INDEX(CONTRATOS!$F$2:$F$601,MATCH($A232,CONTRATOS!$A$2:$A$601,0)),""))</f>
        <v/>
      </c>
      <c r="P232" s="12">
        <f>IF($A232="","",IFERROR(INDEX(CONTRATOS!$M$2:$M$601,MATCH($A232,CONTRATOS!$A$2:$A$601,0)),""))</f>
        <v/>
      </c>
      <c r="Q232" s="12">
        <f>IF($A232="","",IF(COUNTIF(CONTRATOS!$A$2:$A$601,$A232)=0,"El contrato no existe en CONTRATOS; ","")&amp;IF($B232="","Falta sujeto; ",IF(COUNTIF(SUJETOS!$A$2:$A$601,$B232)=0,"El sujeto no existe en SUJETOS; ",""))&amp;IF($E232="","Falta porcentaje; ","")&amp;IF(N232&gt;1.0001,"Los porcentajes del contrato suman más de 100 %; ","")&amp;IF(AND($C232="Individual",$E232&lt;&gt;"",$E232&lt;&gt;1),"Individual debe ser 100 %; ","")&amp;IF(AND($C232&lt;&gt;"Individual",$C232&lt;&gt;"",$E232=1),"Consorcio o UT con 100 %: revise; ","")&amp;IF(COUNTIFS($A$2:$A$601,$A232,$B$2:$B$601,$B232)&gt;1,"Participación repetida; ","")&amp;IF(AND(IFERROR(INDEX(SUJETOS!$B$2:$B$601,MATCH($B232,SUJETOS!$A$2:$A$601,0)),"")="Persona natural",$G232=""),"Persona natural sin cargo; ",""))</f>
        <v/>
      </c>
      <c r="R232" s="12">
        <f>IF($A232="","",IFERROR(IF(LEN(INDEX(SUJETOS!$F$2:$F$601,MATCH($B232,SUJETOS!$A$2:$A$601,0)))&gt;0,INDEX(SUJETOS!$F$2:$F$601,MATCH($B232,SUJETOS!$A$2:$A$601,0)),$B232),$B232))</f>
        <v/>
      </c>
    </row>
    <row r="233">
      <c r="E233" s="18" t="n"/>
      <c r="K233" s="13">
        <f>IF(OR($A233="",$E233=""),"",IFERROR(E233*INDEX(CONTRATOS!$P$2:$P$601,MATCH($A233,CONTRATOS!$A$2:$A$601,0)),""))</f>
        <v/>
      </c>
      <c r="L233" s="17">
        <f>IF(OR($A233="",$E233=""),"",IFERROR(E233*INDEX(CONTRATOS!$Z$2:$Z$601,MATCH($A233,CONTRATOS!$A$2:$A$601,0)),""))</f>
        <v/>
      </c>
      <c r="M233" s="13">
        <f>IF(OR($A233="",$E233=""),"",IFERROR(E233*INDEX(CONTRATOS!$AA$2:$AA$601,MATCH($A233,CONTRATOS!$A$2:$A$601,0)),""))</f>
        <v/>
      </c>
      <c r="N233" s="19">
        <f>IF($A233="","",SUMIFS($E$2:$E$601,$A$2:$A$601,$A233))</f>
        <v/>
      </c>
      <c r="O233" s="12">
        <f>IF($A233="","",IFERROR(INDEX(CONTRATOS!$F$2:$F$601,MATCH($A233,CONTRATOS!$A$2:$A$601,0)),""))</f>
        <v/>
      </c>
      <c r="P233" s="12">
        <f>IF($A233="","",IFERROR(INDEX(CONTRATOS!$M$2:$M$601,MATCH($A233,CONTRATOS!$A$2:$A$601,0)),""))</f>
        <v/>
      </c>
      <c r="Q233" s="12">
        <f>IF($A233="","",IF(COUNTIF(CONTRATOS!$A$2:$A$601,$A233)=0,"El contrato no existe en CONTRATOS; ","")&amp;IF($B233="","Falta sujeto; ",IF(COUNTIF(SUJETOS!$A$2:$A$601,$B233)=0,"El sujeto no existe en SUJETOS; ",""))&amp;IF($E233="","Falta porcentaje; ","")&amp;IF(N233&gt;1.0001,"Los porcentajes del contrato suman más de 100 %; ","")&amp;IF(AND($C233="Individual",$E233&lt;&gt;"",$E233&lt;&gt;1),"Individual debe ser 100 %; ","")&amp;IF(AND($C233&lt;&gt;"Individual",$C233&lt;&gt;"",$E233=1),"Consorcio o UT con 100 %: revise; ","")&amp;IF(COUNTIFS($A$2:$A$601,$A233,$B$2:$B$601,$B233)&gt;1,"Participación repetida; ","")&amp;IF(AND(IFERROR(INDEX(SUJETOS!$B$2:$B$601,MATCH($B233,SUJETOS!$A$2:$A$601,0)),"")="Persona natural",$G233=""),"Persona natural sin cargo; ",""))</f>
        <v/>
      </c>
      <c r="R233" s="12">
        <f>IF($A233="","",IFERROR(IF(LEN(INDEX(SUJETOS!$F$2:$F$601,MATCH($B233,SUJETOS!$A$2:$A$601,0)))&gt;0,INDEX(SUJETOS!$F$2:$F$601,MATCH($B233,SUJETOS!$A$2:$A$601,0)),$B233),$B233))</f>
        <v/>
      </c>
    </row>
    <row r="234">
      <c r="E234" s="18" t="n"/>
      <c r="K234" s="13">
        <f>IF(OR($A234="",$E234=""),"",IFERROR(E234*INDEX(CONTRATOS!$P$2:$P$601,MATCH($A234,CONTRATOS!$A$2:$A$601,0)),""))</f>
        <v/>
      </c>
      <c r="L234" s="17">
        <f>IF(OR($A234="",$E234=""),"",IFERROR(E234*INDEX(CONTRATOS!$Z$2:$Z$601,MATCH($A234,CONTRATOS!$A$2:$A$601,0)),""))</f>
        <v/>
      </c>
      <c r="M234" s="13">
        <f>IF(OR($A234="",$E234=""),"",IFERROR(E234*INDEX(CONTRATOS!$AA$2:$AA$601,MATCH($A234,CONTRATOS!$A$2:$A$601,0)),""))</f>
        <v/>
      </c>
      <c r="N234" s="19">
        <f>IF($A234="","",SUMIFS($E$2:$E$601,$A$2:$A$601,$A234))</f>
        <v/>
      </c>
      <c r="O234" s="12">
        <f>IF($A234="","",IFERROR(INDEX(CONTRATOS!$F$2:$F$601,MATCH($A234,CONTRATOS!$A$2:$A$601,0)),""))</f>
        <v/>
      </c>
      <c r="P234" s="12">
        <f>IF($A234="","",IFERROR(INDEX(CONTRATOS!$M$2:$M$601,MATCH($A234,CONTRATOS!$A$2:$A$601,0)),""))</f>
        <v/>
      </c>
      <c r="Q234" s="12">
        <f>IF($A234="","",IF(COUNTIF(CONTRATOS!$A$2:$A$601,$A234)=0,"El contrato no existe en CONTRATOS; ","")&amp;IF($B234="","Falta sujeto; ",IF(COUNTIF(SUJETOS!$A$2:$A$601,$B234)=0,"El sujeto no existe en SUJETOS; ",""))&amp;IF($E234="","Falta porcentaje; ","")&amp;IF(N234&gt;1.0001,"Los porcentajes del contrato suman más de 100 %; ","")&amp;IF(AND($C234="Individual",$E234&lt;&gt;"",$E234&lt;&gt;1),"Individual debe ser 100 %; ","")&amp;IF(AND($C234&lt;&gt;"Individual",$C234&lt;&gt;"",$E234=1),"Consorcio o UT con 100 %: revise; ","")&amp;IF(COUNTIFS($A$2:$A$601,$A234,$B$2:$B$601,$B234)&gt;1,"Participación repetida; ","")&amp;IF(AND(IFERROR(INDEX(SUJETOS!$B$2:$B$601,MATCH($B234,SUJETOS!$A$2:$A$601,0)),"")="Persona natural",$G234=""),"Persona natural sin cargo; ",""))</f>
        <v/>
      </c>
      <c r="R234" s="12">
        <f>IF($A234="","",IFERROR(IF(LEN(INDEX(SUJETOS!$F$2:$F$601,MATCH($B234,SUJETOS!$A$2:$A$601,0)))&gt;0,INDEX(SUJETOS!$F$2:$F$601,MATCH($B234,SUJETOS!$A$2:$A$601,0)),$B234),$B234))</f>
        <v/>
      </c>
    </row>
    <row r="235">
      <c r="E235" s="18" t="n"/>
      <c r="K235" s="13">
        <f>IF(OR($A235="",$E235=""),"",IFERROR(E235*INDEX(CONTRATOS!$P$2:$P$601,MATCH($A235,CONTRATOS!$A$2:$A$601,0)),""))</f>
        <v/>
      </c>
      <c r="L235" s="17">
        <f>IF(OR($A235="",$E235=""),"",IFERROR(E235*INDEX(CONTRATOS!$Z$2:$Z$601,MATCH($A235,CONTRATOS!$A$2:$A$601,0)),""))</f>
        <v/>
      </c>
      <c r="M235" s="13">
        <f>IF(OR($A235="",$E235=""),"",IFERROR(E235*INDEX(CONTRATOS!$AA$2:$AA$601,MATCH($A235,CONTRATOS!$A$2:$A$601,0)),""))</f>
        <v/>
      </c>
      <c r="N235" s="19">
        <f>IF($A235="","",SUMIFS($E$2:$E$601,$A$2:$A$601,$A235))</f>
        <v/>
      </c>
      <c r="O235" s="12">
        <f>IF($A235="","",IFERROR(INDEX(CONTRATOS!$F$2:$F$601,MATCH($A235,CONTRATOS!$A$2:$A$601,0)),""))</f>
        <v/>
      </c>
      <c r="P235" s="12">
        <f>IF($A235="","",IFERROR(INDEX(CONTRATOS!$M$2:$M$601,MATCH($A235,CONTRATOS!$A$2:$A$601,0)),""))</f>
        <v/>
      </c>
      <c r="Q235" s="12">
        <f>IF($A235="","",IF(COUNTIF(CONTRATOS!$A$2:$A$601,$A235)=0,"El contrato no existe en CONTRATOS; ","")&amp;IF($B235="","Falta sujeto; ",IF(COUNTIF(SUJETOS!$A$2:$A$601,$B235)=0,"El sujeto no existe en SUJETOS; ",""))&amp;IF($E235="","Falta porcentaje; ","")&amp;IF(N235&gt;1.0001,"Los porcentajes del contrato suman más de 100 %; ","")&amp;IF(AND($C235="Individual",$E235&lt;&gt;"",$E235&lt;&gt;1),"Individual debe ser 100 %; ","")&amp;IF(AND($C235&lt;&gt;"Individual",$C235&lt;&gt;"",$E235=1),"Consorcio o UT con 100 %: revise; ","")&amp;IF(COUNTIFS($A$2:$A$601,$A235,$B$2:$B$601,$B235)&gt;1,"Participación repetida; ","")&amp;IF(AND(IFERROR(INDEX(SUJETOS!$B$2:$B$601,MATCH($B235,SUJETOS!$A$2:$A$601,0)),"")="Persona natural",$G235=""),"Persona natural sin cargo; ",""))</f>
        <v/>
      </c>
      <c r="R235" s="12">
        <f>IF($A235="","",IFERROR(IF(LEN(INDEX(SUJETOS!$F$2:$F$601,MATCH($B235,SUJETOS!$A$2:$A$601,0)))&gt;0,INDEX(SUJETOS!$F$2:$F$601,MATCH($B235,SUJETOS!$A$2:$A$601,0)),$B235),$B235))</f>
        <v/>
      </c>
    </row>
    <row r="236">
      <c r="E236" s="18" t="n"/>
      <c r="K236" s="13">
        <f>IF(OR($A236="",$E236=""),"",IFERROR(E236*INDEX(CONTRATOS!$P$2:$P$601,MATCH($A236,CONTRATOS!$A$2:$A$601,0)),""))</f>
        <v/>
      </c>
      <c r="L236" s="17">
        <f>IF(OR($A236="",$E236=""),"",IFERROR(E236*INDEX(CONTRATOS!$Z$2:$Z$601,MATCH($A236,CONTRATOS!$A$2:$A$601,0)),""))</f>
        <v/>
      </c>
      <c r="M236" s="13">
        <f>IF(OR($A236="",$E236=""),"",IFERROR(E236*INDEX(CONTRATOS!$AA$2:$AA$601,MATCH($A236,CONTRATOS!$A$2:$A$601,0)),""))</f>
        <v/>
      </c>
      <c r="N236" s="19">
        <f>IF($A236="","",SUMIFS($E$2:$E$601,$A$2:$A$601,$A236))</f>
        <v/>
      </c>
      <c r="O236" s="12">
        <f>IF($A236="","",IFERROR(INDEX(CONTRATOS!$F$2:$F$601,MATCH($A236,CONTRATOS!$A$2:$A$601,0)),""))</f>
        <v/>
      </c>
      <c r="P236" s="12">
        <f>IF($A236="","",IFERROR(INDEX(CONTRATOS!$M$2:$M$601,MATCH($A236,CONTRATOS!$A$2:$A$601,0)),""))</f>
        <v/>
      </c>
      <c r="Q236" s="12">
        <f>IF($A236="","",IF(COUNTIF(CONTRATOS!$A$2:$A$601,$A236)=0,"El contrato no existe en CONTRATOS; ","")&amp;IF($B236="","Falta sujeto; ",IF(COUNTIF(SUJETOS!$A$2:$A$601,$B236)=0,"El sujeto no existe en SUJETOS; ",""))&amp;IF($E236="","Falta porcentaje; ","")&amp;IF(N236&gt;1.0001,"Los porcentajes del contrato suman más de 100 %; ","")&amp;IF(AND($C236="Individual",$E236&lt;&gt;"",$E236&lt;&gt;1),"Individual debe ser 100 %; ","")&amp;IF(AND($C236&lt;&gt;"Individual",$C236&lt;&gt;"",$E236=1),"Consorcio o UT con 100 %: revise; ","")&amp;IF(COUNTIFS($A$2:$A$601,$A236,$B$2:$B$601,$B236)&gt;1,"Participación repetida; ","")&amp;IF(AND(IFERROR(INDEX(SUJETOS!$B$2:$B$601,MATCH($B236,SUJETOS!$A$2:$A$601,0)),"")="Persona natural",$G236=""),"Persona natural sin cargo; ",""))</f>
        <v/>
      </c>
      <c r="R236" s="12">
        <f>IF($A236="","",IFERROR(IF(LEN(INDEX(SUJETOS!$F$2:$F$601,MATCH($B236,SUJETOS!$A$2:$A$601,0)))&gt;0,INDEX(SUJETOS!$F$2:$F$601,MATCH($B236,SUJETOS!$A$2:$A$601,0)),$B236),$B236))</f>
        <v/>
      </c>
    </row>
    <row r="237">
      <c r="E237" s="18" t="n"/>
      <c r="K237" s="13">
        <f>IF(OR($A237="",$E237=""),"",IFERROR(E237*INDEX(CONTRATOS!$P$2:$P$601,MATCH($A237,CONTRATOS!$A$2:$A$601,0)),""))</f>
        <v/>
      </c>
      <c r="L237" s="17">
        <f>IF(OR($A237="",$E237=""),"",IFERROR(E237*INDEX(CONTRATOS!$Z$2:$Z$601,MATCH($A237,CONTRATOS!$A$2:$A$601,0)),""))</f>
        <v/>
      </c>
      <c r="M237" s="13">
        <f>IF(OR($A237="",$E237=""),"",IFERROR(E237*INDEX(CONTRATOS!$AA$2:$AA$601,MATCH($A237,CONTRATOS!$A$2:$A$601,0)),""))</f>
        <v/>
      </c>
      <c r="N237" s="19">
        <f>IF($A237="","",SUMIFS($E$2:$E$601,$A$2:$A$601,$A237))</f>
        <v/>
      </c>
      <c r="O237" s="12">
        <f>IF($A237="","",IFERROR(INDEX(CONTRATOS!$F$2:$F$601,MATCH($A237,CONTRATOS!$A$2:$A$601,0)),""))</f>
        <v/>
      </c>
      <c r="P237" s="12">
        <f>IF($A237="","",IFERROR(INDEX(CONTRATOS!$M$2:$M$601,MATCH($A237,CONTRATOS!$A$2:$A$601,0)),""))</f>
        <v/>
      </c>
      <c r="Q237" s="12">
        <f>IF($A237="","",IF(COUNTIF(CONTRATOS!$A$2:$A$601,$A237)=0,"El contrato no existe en CONTRATOS; ","")&amp;IF($B237="","Falta sujeto; ",IF(COUNTIF(SUJETOS!$A$2:$A$601,$B237)=0,"El sujeto no existe en SUJETOS; ",""))&amp;IF($E237="","Falta porcentaje; ","")&amp;IF(N237&gt;1.0001,"Los porcentajes del contrato suman más de 100 %; ","")&amp;IF(AND($C237="Individual",$E237&lt;&gt;"",$E237&lt;&gt;1),"Individual debe ser 100 %; ","")&amp;IF(AND($C237&lt;&gt;"Individual",$C237&lt;&gt;"",$E237=1),"Consorcio o UT con 100 %: revise; ","")&amp;IF(COUNTIFS($A$2:$A$601,$A237,$B$2:$B$601,$B237)&gt;1,"Participación repetida; ","")&amp;IF(AND(IFERROR(INDEX(SUJETOS!$B$2:$B$601,MATCH($B237,SUJETOS!$A$2:$A$601,0)),"")="Persona natural",$G237=""),"Persona natural sin cargo; ",""))</f>
        <v/>
      </c>
      <c r="R237" s="12">
        <f>IF($A237="","",IFERROR(IF(LEN(INDEX(SUJETOS!$F$2:$F$601,MATCH($B237,SUJETOS!$A$2:$A$601,0)))&gt;0,INDEX(SUJETOS!$F$2:$F$601,MATCH($B237,SUJETOS!$A$2:$A$601,0)),$B237),$B237))</f>
        <v/>
      </c>
    </row>
    <row r="238">
      <c r="E238" s="18" t="n"/>
      <c r="K238" s="13">
        <f>IF(OR($A238="",$E238=""),"",IFERROR(E238*INDEX(CONTRATOS!$P$2:$P$601,MATCH($A238,CONTRATOS!$A$2:$A$601,0)),""))</f>
        <v/>
      </c>
      <c r="L238" s="17">
        <f>IF(OR($A238="",$E238=""),"",IFERROR(E238*INDEX(CONTRATOS!$Z$2:$Z$601,MATCH($A238,CONTRATOS!$A$2:$A$601,0)),""))</f>
        <v/>
      </c>
      <c r="M238" s="13">
        <f>IF(OR($A238="",$E238=""),"",IFERROR(E238*INDEX(CONTRATOS!$AA$2:$AA$601,MATCH($A238,CONTRATOS!$A$2:$A$601,0)),""))</f>
        <v/>
      </c>
      <c r="N238" s="19">
        <f>IF($A238="","",SUMIFS($E$2:$E$601,$A$2:$A$601,$A238))</f>
        <v/>
      </c>
      <c r="O238" s="12">
        <f>IF($A238="","",IFERROR(INDEX(CONTRATOS!$F$2:$F$601,MATCH($A238,CONTRATOS!$A$2:$A$601,0)),""))</f>
        <v/>
      </c>
      <c r="P238" s="12">
        <f>IF($A238="","",IFERROR(INDEX(CONTRATOS!$M$2:$M$601,MATCH($A238,CONTRATOS!$A$2:$A$601,0)),""))</f>
        <v/>
      </c>
      <c r="Q238" s="12">
        <f>IF($A238="","",IF(COUNTIF(CONTRATOS!$A$2:$A$601,$A238)=0,"El contrato no existe en CONTRATOS; ","")&amp;IF($B238="","Falta sujeto; ",IF(COUNTIF(SUJETOS!$A$2:$A$601,$B238)=0,"El sujeto no existe en SUJETOS; ",""))&amp;IF($E238="","Falta porcentaje; ","")&amp;IF(N238&gt;1.0001,"Los porcentajes del contrato suman más de 100 %; ","")&amp;IF(AND($C238="Individual",$E238&lt;&gt;"",$E238&lt;&gt;1),"Individual debe ser 100 %; ","")&amp;IF(AND($C238&lt;&gt;"Individual",$C238&lt;&gt;"",$E238=1),"Consorcio o UT con 100 %: revise; ","")&amp;IF(COUNTIFS($A$2:$A$601,$A238,$B$2:$B$601,$B238)&gt;1,"Participación repetida; ","")&amp;IF(AND(IFERROR(INDEX(SUJETOS!$B$2:$B$601,MATCH($B238,SUJETOS!$A$2:$A$601,0)),"")="Persona natural",$G238=""),"Persona natural sin cargo; ",""))</f>
        <v/>
      </c>
      <c r="R238" s="12">
        <f>IF($A238="","",IFERROR(IF(LEN(INDEX(SUJETOS!$F$2:$F$601,MATCH($B238,SUJETOS!$A$2:$A$601,0)))&gt;0,INDEX(SUJETOS!$F$2:$F$601,MATCH($B238,SUJETOS!$A$2:$A$601,0)),$B238),$B238))</f>
        <v/>
      </c>
    </row>
    <row r="239">
      <c r="E239" s="18" t="n"/>
      <c r="K239" s="13">
        <f>IF(OR($A239="",$E239=""),"",IFERROR(E239*INDEX(CONTRATOS!$P$2:$P$601,MATCH($A239,CONTRATOS!$A$2:$A$601,0)),""))</f>
        <v/>
      </c>
      <c r="L239" s="17">
        <f>IF(OR($A239="",$E239=""),"",IFERROR(E239*INDEX(CONTRATOS!$Z$2:$Z$601,MATCH($A239,CONTRATOS!$A$2:$A$601,0)),""))</f>
        <v/>
      </c>
      <c r="M239" s="13">
        <f>IF(OR($A239="",$E239=""),"",IFERROR(E239*INDEX(CONTRATOS!$AA$2:$AA$601,MATCH($A239,CONTRATOS!$A$2:$A$601,0)),""))</f>
        <v/>
      </c>
      <c r="N239" s="19">
        <f>IF($A239="","",SUMIFS($E$2:$E$601,$A$2:$A$601,$A239))</f>
        <v/>
      </c>
      <c r="O239" s="12">
        <f>IF($A239="","",IFERROR(INDEX(CONTRATOS!$F$2:$F$601,MATCH($A239,CONTRATOS!$A$2:$A$601,0)),""))</f>
        <v/>
      </c>
      <c r="P239" s="12">
        <f>IF($A239="","",IFERROR(INDEX(CONTRATOS!$M$2:$M$601,MATCH($A239,CONTRATOS!$A$2:$A$601,0)),""))</f>
        <v/>
      </c>
      <c r="Q239" s="12">
        <f>IF($A239="","",IF(COUNTIF(CONTRATOS!$A$2:$A$601,$A239)=0,"El contrato no existe en CONTRATOS; ","")&amp;IF($B239="","Falta sujeto; ",IF(COUNTIF(SUJETOS!$A$2:$A$601,$B239)=0,"El sujeto no existe en SUJETOS; ",""))&amp;IF($E239="","Falta porcentaje; ","")&amp;IF(N239&gt;1.0001,"Los porcentajes del contrato suman más de 100 %; ","")&amp;IF(AND($C239="Individual",$E239&lt;&gt;"",$E239&lt;&gt;1),"Individual debe ser 100 %; ","")&amp;IF(AND($C239&lt;&gt;"Individual",$C239&lt;&gt;"",$E239=1),"Consorcio o UT con 100 %: revise; ","")&amp;IF(COUNTIFS($A$2:$A$601,$A239,$B$2:$B$601,$B239)&gt;1,"Participación repetida; ","")&amp;IF(AND(IFERROR(INDEX(SUJETOS!$B$2:$B$601,MATCH($B239,SUJETOS!$A$2:$A$601,0)),"")="Persona natural",$G239=""),"Persona natural sin cargo; ",""))</f>
        <v/>
      </c>
      <c r="R239" s="12">
        <f>IF($A239="","",IFERROR(IF(LEN(INDEX(SUJETOS!$F$2:$F$601,MATCH($B239,SUJETOS!$A$2:$A$601,0)))&gt;0,INDEX(SUJETOS!$F$2:$F$601,MATCH($B239,SUJETOS!$A$2:$A$601,0)),$B239),$B239))</f>
        <v/>
      </c>
    </row>
    <row r="240">
      <c r="E240" s="18" t="n"/>
      <c r="K240" s="13">
        <f>IF(OR($A240="",$E240=""),"",IFERROR(E240*INDEX(CONTRATOS!$P$2:$P$601,MATCH($A240,CONTRATOS!$A$2:$A$601,0)),""))</f>
        <v/>
      </c>
      <c r="L240" s="17">
        <f>IF(OR($A240="",$E240=""),"",IFERROR(E240*INDEX(CONTRATOS!$Z$2:$Z$601,MATCH($A240,CONTRATOS!$A$2:$A$601,0)),""))</f>
        <v/>
      </c>
      <c r="M240" s="13">
        <f>IF(OR($A240="",$E240=""),"",IFERROR(E240*INDEX(CONTRATOS!$AA$2:$AA$601,MATCH($A240,CONTRATOS!$A$2:$A$601,0)),""))</f>
        <v/>
      </c>
      <c r="N240" s="19">
        <f>IF($A240="","",SUMIFS($E$2:$E$601,$A$2:$A$601,$A240))</f>
        <v/>
      </c>
      <c r="O240" s="12">
        <f>IF($A240="","",IFERROR(INDEX(CONTRATOS!$F$2:$F$601,MATCH($A240,CONTRATOS!$A$2:$A$601,0)),""))</f>
        <v/>
      </c>
      <c r="P240" s="12">
        <f>IF($A240="","",IFERROR(INDEX(CONTRATOS!$M$2:$M$601,MATCH($A240,CONTRATOS!$A$2:$A$601,0)),""))</f>
        <v/>
      </c>
      <c r="Q240" s="12">
        <f>IF($A240="","",IF(COUNTIF(CONTRATOS!$A$2:$A$601,$A240)=0,"El contrato no existe en CONTRATOS; ","")&amp;IF($B240="","Falta sujeto; ",IF(COUNTIF(SUJETOS!$A$2:$A$601,$B240)=0,"El sujeto no existe en SUJETOS; ",""))&amp;IF($E240="","Falta porcentaje; ","")&amp;IF(N240&gt;1.0001,"Los porcentajes del contrato suman más de 100 %; ","")&amp;IF(AND($C240="Individual",$E240&lt;&gt;"",$E240&lt;&gt;1),"Individual debe ser 100 %; ","")&amp;IF(AND($C240&lt;&gt;"Individual",$C240&lt;&gt;"",$E240=1),"Consorcio o UT con 100 %: revise; ","")&amp;IF(COUNTIFS($A$2:$A$601,$A240,$B$2:$B$601,$B240)&gt;1,"Participación repetida; ","")&amp;IF(AND(IFERROR(INDEX(SUJETOS!$B$2:$B$601,MATCH($B240,SUJETOS!$A$2:$A$601,0)),"")="Persona natural",$G240=""),"Persona natural sin cargo; ",""))</f>
        <v/>
      </c>
      <c r="R240" s="12">
        <f>IF($A240="","",IFERROR(IF(LEN(INDEX(SUJETOS!$F$2:$F$601,MATCH($B240,SUJETOS!$A$2:$A$601,0)))&gt;0,INDEX(SUJETOS!$F$2:$F$601,MATCH($B240,SUJETOS!$A$2:$A$601,0)),$B240),$B240))</f>
        <v/>
      </c>
    </row>
    <row r="241">
      <c r="E241" s="18" t="n"/>
      <c r="K241" s="13">
        <f>IF(OR($A241="",$E241=""),"",IFERROR(E241*INDEX(CONTRATOS!$P$2:$P$601,MATCH($A241,CONTRATOS!$A$2:$A$601,0)),""))</f>
        <v/>
      </c>
      <c r="L241" s="17">
        <f>IF(OR($A241="",$E241=""),"",IFERROR(E241*INDEX(CONTRATOS!$Z$2:$Z$601,MATCH($A241,CONTRATOS!$A$2:$A$601,0)),""))</f>
        <v/>
      </c>
      <c r="M241" s="13">
        <f>IF(OR($A241="",$E241=""),"",IFERROR(E241*INDEX(CONTRATOS!$AA$2:$AA$601,MATCH($A241,CONTRATOS!$A$2:$A$601,0)),""))</f>
        <v/>
      </c>
      <c r="N241" s="19">
        <f>IF($A241="","",SUMIFS($E$2:$E$601,$A$2:$A$601,$A241))</f>
        <v/>
      </c>
      <c r="O241" s="12">
        <f>IF($A241="","",IFERROR(INDEX(CONTRATOS!$F$2:$F$601,MATCH($A241,CONTRATOS!$A$2:$A$601,0)),""))</f>
        <v/>
      </c>
      <c r="P241" s="12">
        <f>IF($A241="","",IFERROR(INDEX(CONTRATOS!$M$2:$M$601,MATCH($A241,CONTRATOS!$A$2:$A$601,0)),""))</f>
        <v/>
      </c>
      <c r="Q241" s="12">
        <f>IF($A241="","",IF(COUNTIF(CONTRATOS!$A$2:$A$601,$A241)=0,"El contrato no existe en CONTRATOS; ","")&amp;IF($B241="","Falta sujeto; ",IF(COUNTIF(SUJETOS!$A$2:$A$601,$B241)=0,"El sujeto no existe en SUJETOS; ",""))&amp;IF($E241="","Falta porcentaje; ","")&amp;IF(N241&gt;1.0001,"Los porcentajes del contrato suman más de 100 %; ","")&amp;IF(AND($C241="Individual",$E241&lt;&gt;"",$E241&lt;&gt;1),"Individual debe ser 100 %; ","")&amp;IF(AND($C241&lt;&gt;"Individual",$C241&lt;&gt;"",$E241=1),"Consorcio o UT con 100 %: revise; ","")&amp;IF(COUNTIFS($A$2:$A$601,$A241,$B$2:$B$601,$B241)&gt;1,"Participación repetida; ","")&amp;IF(AND(IFERROR(INDEX(SUJETOS!$B$2:$B$601,MATCH($B241,SUJETOS!$A$2:$A$601,0)),"")="Persona natural",$G241=""),"Persona natural sin cargo; ",""))</f>
        <v/>
      </c>
      <c r="R241" s="12">
        <f>IF($A241="","",IFERROR(IF(LEN(INDEX(SUJETOS!$F$2:$F$601,MATCH($B241,SUJETOS!$A$2:$A$601,0)))&gt;0,INDEX(SUJETOS!$F$2:$F$601,MATCH($B241,SUJETOS!$A$2:$A$601,0)),$B241),$B241))</f>
        <v/>
      </c>
    </row>
    <row r="242">
      <c r="E242" s="18" t="n"/>
      <c r="K242" s="13">
        <f>IF(OR($A242="",$E242=""),"",IFERROR(E242*INDEX(CONTRATOS!$P$2:$P$601,MATCH($A242,CONTRATOS!$A$2:$A$601,0)),""))</f>
        <v/>
      </c>
      <c r="L242" s="17">
        <f>IF(OR($A242="",$E242=""),"",IFERROR(E242*INDEX(CONTRATOS!$Z$2:$Z$601,MATCH($A242,CONTRATOS!$A$2:$A$601,0)),""))</f>
        <v/>
      </c>
      <c r="M242" s="13">
        <f>IF(OR($A242="",$E242=""),"",IFERROR(E242*INDEX(CONTRATOS!$AA$2:$AA$601,MATCH($A242,CONTRATOS!$A$2:$A$601,0)),""))</f>
        <v/>
      </c>
      <c r="N242" s="19">
        <f>IF($A242="","",SUMIFS($E$2:$E$601,$A$2:$A$601,$A242))</f>
        <v/>
      </c>
      <c r="O242" s="12">
        <f>IF($A242="","",IFERROR(INDEX(CONTRATOS!$F$2:$F$601,MATCH($A242,CONTRATOS!$A$2:$A$601,0)),""))</f>
        <v/>
      </c>
      <c r="P242" s="12">
        <f>IF($A242="","",IFERROR(INDEX(CONTRATOS!$M$2:$M$601,MATCH($A242,CONTRATOS!$A$2:$A$601,0)),""))</f>
        <v/>
      </c>
      <c r="Q242" s="12">
        <f>IF($A242="","",IF(COUNTIF(CONTRATOS!$A$2:$A$601,$A242)=0,"El contrato no existe en CONTRATOS; ","")&amp;IF($B242="","Falta sujeto; ",IF(COUNTIF(SUJETOS!$A$2:$A$601,$B242)=0,"El sujeto no existe en SUJETOS; ",""))&amp;IF($E242="","Falta porcentaje; ","")&amp;IF(N242&gt;1.0001,"Los porcentajes del contrato suman más de 100 %; ","")&amp;IF(AND($C242="Individual",$E242&lt;&gt;"",$E242&lt;&gt;1),"Individual debe ser 100 %; ","")&amp;IF(AND($C242&lt;&gt;"Individual",$C242&lt;&gt;"",$E242=1),"Consorcio o UT con 100 %: revise; ","")&amp;IF(COUNTIFS($A$2:$A$601,$A242,$B$2:$B$601,$B242)&gt;1,"Participación repetida; ","")&amp;IF(AND(IFERROR(INDEX(SUJETOS!$B$2:$B$601,MATCH($B242,SUJETOS!$A$2:$A$601,0)),"")="Persona natural",$G242=""),"Persona natural sin cargo; ",""))</f>
        <v/>
      </c>
      <c r="R242" s="12">
        <f>IF($A242="","",IFERROR(IF(LEN(INDEX(SUJETOS!$F$2:$F$601,MATCH($B242,SUJETOS!$A$2:$A$601,0)))&gt;0,INDEX(SUJETOS!$F$2:$F$601,MATCH($B242,SUJETOS!$A$2:$A$601,0)),$B242),$B242))</f>
        <v/>
      </c>
    </row>
    <row r="243">
      <c r="E243" s="18" t="n"/>
      <c r="K243" s="13">
        <f>IF(OR($A243="",$E243=""),"",IFERROR(E243*INDEX(CONTRATOS!$P$2:$P$601,MATCH($A243,CONTRATOS!$A$2:$A$601,0)),""))</f>
        <v/>
      </c>
      <c r="L243" s="17">
        <f>IF(OR($A243="",$E243=""),"",IFERROR(E243*INDEX(CONTRATOS!$Z$2:$Z$601,MATCH($A243,CONTRATOS!$A$2:$A$601,0)),""))</f>
        <v/>
      </c>
      <c r="M243" s="13">
        <f>IF(OR($A243="",$E243=""),"",IFERROR(E243*INDEX(CONTRATOS!$AA$2:$AA$601,MATCH($A243,CONTRATOS!$A$2:$A$601,0)),""))</f>
        <v/>
      </c>
      <c r="N243" s="19">
        <f>IF($A243="","",SUMIFS($E$2:$E$601,$A$2:$A$601,$A243))</f>
        <v/>
      </c>
      <c r="O243" s="12">
        <f>IF($A243="","",IFERROR(INDEX(CONTRATOS!$F$2:$F$601,MATCH($A243,CONTRATOS!$A$2:$A$601,0)),""))</f>
        <v/>
      </c>
      <c r="P243" s="12">
        <f>IF($A243="","",IFERROR(INDEX(CONTRATOS!$M$2:$M$601,MATCH($A243,CONTRATOS!$A$2:$A$601,0)),""))</f>
        <v/>
      </c>
      <c r="Q243" s="12">
        <f>IF($A243="","",IF(COUNTIF(CONTRATOS!$A$2:$A$601,$A243)=0,"El contrato no existe en CONTRATOS; ","")&amp;IF($B243="","Falta sujeto; ",IF(COUNTIF(SUJETOS!$A$2:$A$601,$B243)=0,"El sujeto no existe en SUJETOS; ",""))&amp;IF($E243="","Falta porcentaje; ","")&amp;IF(N243&gt;1.0001,"Los porcentajes del contrato suman más de 100 %; ","")&amp;IF(AND($C243="Individual",$E243&lt;&gt;"",$E243&lt;&gt;1),"Individual debe ser 100 %; ","")&amp;IF(AND($C243&lt;&gt;"Individual",$C243&lt;&gt;"",$E243=1),"Consorcio o UT con 100 %: revise; ","")&amp;IF(COUNTIFS($A$2:$A$601,$A243,$B$2:$B$601,$B243)&gt;1,"Participación repetida; ","")&amp;IF(AND(IFERROR(INDEX(SUJETOS!$B$2:$B$601,MATCH($B243,SUJETOS!$A$2:$A$601,0)),"")="Persona natural",$G243=""),"Persona natural sin cargo; ",""))</f>
        <v/>
      </c>
      <c r="R243" s="12">
        <f>IF($A243="","",IFERROR(IF(LEN(INDEX(SUJETOS!$F$2:$F$601,MATCH($B243,SUJETOS!$A$2:$A$601,0)))&gt;0,INDEX(SUJETOS!$F$2:$F$601,MATCH($B243,SUJETOS!$A$2:$A$601,0)),$B243),$B243))</f>
        <v/>
      </c>
    </row>
    <row r="244">
      <c r="E244" s="18" t="n"/>
      <c r="K244" s="13">
        <f>IF(OR($A244="",$E244=""),"",IFERROR(E244*INDEX(CONTRATOS!$P$2:$P$601,MATCH($A244,CONTRATOS!$A$2:$A$601,0)),""))</f>
        <v/>
      </c>
      <c r="L244" s="17">
        <f>IF(OR($A244="",$E244=""),"",IFERROR(E244*INDEX(CONTRATOS!$Z$2:$Z$601,MATCH($A244,CONTRATOS!$A$2:$A$601,0)),""))</f>
        <v/>
      </c>
      <c r="M244" s="13">
        <f>IF(OR($A244="",$E244=""),"",IFERROR(E244*INDEX(CONTRATOS!$AA$2:$AA$601,MATCH($A244,CONTRATOS!$A$2:$A$601,0)),""))</f>
        <v/>
      </c>
      <c r="N244" s="19">
        <f>IF($A244="","",SUMIFS($E$2:$E$601,$A$2:$A$601,$A244))</f>
        <v/>
      </c>
      <c r="O244" s="12">
        <f>IF($A244="","",IFERROR(INDEX(CONTRATOS!$F$2:$F$601,MATCH($A244,CONTRATOS!$A$2:$A$601,0)),""))</f>
        <v/>
      </c>
      <c r="P244" s="12">
        <f>IF($A244="","",IFERROR(INDEX(CONTRATOS!$M$2:$M$601,MATCH($A244,CONTRATOS!$A$2:$A$601,0)),""))</f>
        <v/>
      </c>
      <c r="Q244" s="12">
        <f>IF($A244="","",IF(COUNTIF(CONTRATOS!$A$2:$A$601,$A244)=0,"El contrato no existe en CONTRATOS; ","")&amp;IF($B244="","Falta sujeto; ",IF(COUNTIF(SUJETOS!$A$2:$A$601,$B244)=0,"El sujeto no existe en SUJETOS; ",""))&amp;IF($E244="","Falta porcentaje; ","")&amp;IF(N244&gt;1.0001,"Los porcentajes del contrato suman más de 100 %; ","")&amp;IF(AND($C244="Individual",$E244&lt;&gt;"",$E244&lt;&gt;1),"Individual debe ser 100 %; ","")&amp;IF(AND($C244&lt;&gt;"Individual",$C244&lt;&gt;"",$E244=1),"Consorcio o UT con 100 %: revise; ","")&amp;IF(COUNTIFS($A$2:$A$601,$A244,$B$2:$B$601,$B244)&gt;1,"Participación repetida; ","")&amp;IF(AND(IFERROR(INDEX(SUJETOS!$B$2:$B$601,MATCH($B244,SUJETOS!$A$2:$A$601,0)),"")="Persona natural",$G244=""),"Persona natural sin cargo; ",""))</f>
        <v/>
      </c>
      <c r="R244" s="12">
        <f>IF($A244="","",IFERROR(IF(LEN(INDEX(SUJETOS!$F$2:$F$601,MATCH($B244,SUJETOS!$A$2:$A$601,0)))&gt;0,INDEX(SUJETOS!$F$2:$F$601,MATCH($B244,SUJETOS!$A$2:$A$601,0)),$B244),$B244))</f>
        <v/>
      </c>
    </row>
    <row r="245">
      <c r="E245" s="18" t="n"/>
      <c r="K245" s="13">
        <f>IF(OR($A245="",$E245=""),"",IFERROR(E245*INDEX(CONTRATOS!$P$2:$P$601,MATCH($A245,CONTRATOS!$A$2:$A$601,0)),""))</f>
        <v/>
      </c>
      <c r="L245" s="17">
        <f>IF(OR($A245="",$E245=""),"",IFERROR(E245*INDEX(CONTRATOS!$Z$2:$Z$601,MATCH($A245,CONTRATOS!$A$2:$A$601,0)),""))</f>
        <v/>
      </c>
      <c r="M245" s="13">
        <f>IF(OR($A245="",$E245=""),"",IFERROR(E245*INDEX(CONTRATOS!$AA$2:$AA$601,MATCH($A245,CONTRATOS!$A$2:$A$601,0)),""))</f>
        <v/>
      </c>
      <c r="N245" s="19">
        <f>IF($A245="","",SUMIFS($E$2:$E$601,$A$2:$A$601,$A245))</f>
        <v/>
      </c>
      <c r="O245" s="12">
        <f>IF($A245="","",IFERROR(INDEX(CONTRATOS!$F$2:$F$601,MATCH($A245,CONTRATOS!$A$2:$A$601,0)),""))</f>
        <v/>
      </c>
      <c r="P245" s="12">
        <f>IF($A245="","",IFERROR(INDEX(CONTRATOS!$M$2:$M$601,MATCH($A245,CONTRATOS!$A$2:$A$601,0)),""))</f>
        <v/>
      </c>
      <c r="Q245" s="12">
        <f>IF($A245="","",IF(COUNTIF(CONTRATOS!$A$2:$A$601,$A245)=0,"El contrato no existe en CONTRATOS; ","")&amp;IF($B245="","Falta sujeto; ",IF(COUNTIF(SUJETOS!$A$2:$A$601,$B245)=0,"El sujeto no existe en SUJETOS; ",""))&amp;IF($E245="","Falta porcentaje; ","")&amp;IF(N245&gt;1.0001,"Los porcentajes del contrato suman más de 100 %; ","")&amp;IF(AND($C245="Individual",$E245&lt;&gt;"",$E245&lt;&gt;1),"Individual debe ser 100 %; ","")&amp;IF(AND($C245&lt;&gt;"Individual",$C245&lt;&gt;"",$E245=1),"Consorcio o UT con 100 %: revise; ","")&amp;IF(COUNTIFS($A$2:$A$601,$A245,$B$2:$B$601,$B245)&gt;1,"Participación repetida; ","")&amp;IF(AND(IFERROR(INDEX(SUJETOS!$B$2:$B$601,MATCH($B245,SUJETOS!$A$2:$A$601,0)),"")="Persona natural",$G245=""),"Persona natural sin cargo; ",""))</f>
        <v/>
      </c>
      <c r="R245" s="12">
        <f>IF($A245="","",IFERROR(IF(LEN(INDEX(SUJETOS!$F$2:$F$601,MATCH($B245,SUJETOS!$A$2:$A$601,0)))&gt;0,INDEX(SUJETOS!$F$2:$F$601,MATCH($B245,SUJETOS!$A$2:$A$601,0)),$B245),$B245))</f>
        <v/>
      </c>
    </row>
    <row r="246">
      <c r="E246" s="18" t="n"/>
      <c r="K246" s="13">
        <f>IF(OR($A246="",$E246=""),"",IFERROR(E246*INDEX(CONTRATOS!$P$2:$P$601,MATCH($A246,CONTRATOS!$A$2:$A$601,0)),""))</f>
        <v/>
      </c>
      <c r="L246" s="17">
        <f>IF(OR($A246="",$E246=""),"",IFERROR(E246*INDEX(CONTRATOS!$Z$2:$Z$601,MATCH($A246,CONTRATOS!$A$2:$A$601,0)),""))</f>
        <v/>
      </c>
      <c r="M246" s="13">
        <f>IF(OR($A246="",$E246=""),"",IFERROR(E246*INDEX(CONTRATOS!$AA$2:$AA$601,MATCH($A246,CONTRATOS!$A$2:$A$601,0)),""))</f>
        <v/>
      </c>
      <c r="N246" s="19">
        <f>IF($A246="","",SUMIFS($E$2:$E$601,$A$2:$A$601,$A246))</f>
        <v/>
      </c>
      <c r="O246" s="12">
        <f>IF($A246="","",IFERROR(INDEX(CONTRATOS!$F$2:$F$601,MATCH($A246,CONTRATOS!$A$2:$A$601,0)),""))</f>
        <v/>
      </c>
      <c r="P246" s="12">
        <f>IF($A246="","",IFERROR(INDEX(CONTRATOS!$M$2:$M$601,MATCH($A246,CONTRATOS!$A$2:$A$601,0)),""))</f>
        <v/>
      </c>
      <c r="Q246" s="12">
        <f>IF($A246="","",IF(COUNTIF(CONTRATOS!$A$2:$A$601,$A246)=0,"El contrato no existe en CONTRATOS; ","")&amp;IF($B246="","Falta sujeto; ",IF(COUNTIF(SUJETOS!$A$2:$A$601,$B246)=0,"El sujeto no existe en SUJETOS; ",""))&amp;IF($E246="","Falta porcentaje; ","")&amp;IF(N246&gt;1.0001,"Los porcentajes del contrato suman más de 100 %; ","")&amp;IF(AND($C246="Individual",$E246&lt;&gt;"",$E246&lt;&gt;1),"Individual debe ser 100 %; ","")&amp;IF(AND($C246&lt;&gt;"Individual",$C246&lt;&gt;"",$E246=1),"Consorcio o UT con 100 %: revise; ","")&amp;IF(COUNTIFS($A$2:$A$601,$A246,$B$2:$B$601,$B246)&gt;1,"Participación repetida; ","")&amp;IF(AND(IFERROR(INDEX(SUJETOS!$B$2:$B$601,MATCH($B246,SUJETOS!$A$2:$A$601,0)),"")="Persona natural",$G246=""),"Persona natural sin cargo; ",""))</f>
        <v/>
      </c>
      <c r="R246" s="12">
        <f>IF($A246="","",IFERROR(IF(LEN(INDEX(SUJETOS!$F$2:$F$601,MATCH($B246,SUJETOS!$A$2:$A$601,0)))&gt;0,INDEX(SUJETOS!$F$2:$F$601,MATCH($B246,SUJETOS!$A$2:$A$601,0)),$B246),$B246))</f>
        <v/>
      </c>
    </row>
    <row r="247">
      <c r="E247" s="18" t="n"/>
      <c r="K247" s="13">
        <f>IF(OR($A247="",$E247=""),"",IFERROR(E247*INDEX(CONTRATOS!$P$2:$P$601,MATCH($A247,CONTRATOS!$A$2:$A$601,0)),""))</f>
        <v/>
      </c>
      <c r="L247" s="17">
        <f>IF(OR($A247="",$E247=""),"",IFERROR(E247*INDEX(CONTRATOS!$Z$2:$Z$601,MATCH($A247,CONTRATOS!$A$2:$A$601,0)),""))</f>
        <v/>
      </c>
      <c r="M247" s="13">
        <f>IF(OR($A247="",$E247=""),"",IFERROR(E247*INDEX(CONTRATOS!$AA$2:$AA$601,MATCH($A247,CONTRATOS!$A$2:$A$601,0)),""))</f>
        <v/>
      </c>
      <c r="N247" s="19">
        <f>IF($A247="","",SUMIFS($E$2:$E$601,$A$2:$A$601,$A247))</f>
        <v/>
      </c>
      <c r="O247" s="12">
        <f>IF($A247="","",IFERROR(INDEX(CONTRATOS!$F$2:$F$601,MATCH($A247,CONTRATOS!$A$2:$A$601,0)),""))</f>
        <v/>
      </c>
      <c r="P247" s="12">
        <f>IF($A247="","",IFERROR(INDEX(CONTRATOS!$M$2:$M$601,MATCH($A247,CONTRATOS!$A$2:$A$601,0)),""))</f>
        <v/>
      </c>
      <c r="Q247" s="12">
        <f>IF($A247="","",IF(COUNTIF(CONTRATOS!$A$2:$A$601,$A247)=0,"El contrato no existe en CONTRATOS; ","")&amp;IF($B247="","Falta sujeto; ",IF(COUNTIF(SUJETOS!$A$2:$A$601,$B247)=0,"El sujeto no existe en SUJETOS; ",""))&amp;IF($E247="","Falta porcentaje; ","")&amp;IF(N247&gt;1.0001,"Los porcentajes del contrato suman más de 100 %; ","")&amp;IF(AND($C247="Individual",$E247&lt;&gt;"",$E247&lt;&gt;1),"Individual debe ser 100 %; ","")&amp;IF(AND($C247&lt;&gt;"Individual",$C247&lt;&gt;"",$E247=1),"Consorcio o UT con 100 %: revise; ","")&amp;IF(COUNTIFS($A$2:$A$601,$A247,$B$2:$B$601,$B247)&gt;1,"Participación repetida; ","")&amp;IF(AND(IFERROR(INDEX(SUJETOS!$B$2:$B$601,MATCH($B247,SUJETOS!$A$2:$A$601,0)),"")="Persona natural",$G247=""),"Persona natural sin cargo; ",""))</f>
        <v/>
      </c>
      <c r="R247" s="12">
        <f>IF($A247="","",IFERROR(IF(LEN(INDEX(SUJETOS!$F$2:$F$601,MATCH($B247,SUJETOS!$A$2:$A$601,0)))&gt;0,INDEX(SUJETOS!$F$2:$F$601,MATCH($B247,SUJETOS!$A$2:$A$601,0)),$B247),$B247))</f>
        <v/>
      </c>
    </row>
    <row r="248">
      <c r="E248" s="18" t="n"/>
      <c r="K248" s="13">
        <f>IF(OR($A248="",$E248=""),"",IFERROR(E248*INDEX(CONTRATOS!$P$2:$P$601,MATCH($A248,CONTRATOS!$A$2:$A$601,0)),""))</f>
        <v/>
      </c>
      <c r="L248" s="17">
        <f>IF(OR($A248="",$E248=""),"",IFERROR(E248*INDEX(CONTRATOS!$Z$2:$Z$601,MATCH($A248,CONTRATOS!$A$2:$A$601,0)),""))</f>
        <v/>
      </c>
      <c r="M248" s="13">
        <f>IF(OR($A248="",$E248=""),"",IFERROR(E248*INDEX(CONTRATOS!$AA$2:$AA$601,MATCH($A248,CONTRATOS!$A$2:$A$601,0)),""))</f>
        <v/>
      </c>
      <c r="N248" s="19">
        <f>IF($A248="","",SUMIFS($E$2:$E$601,$A$2:$A$601,$A248))</f>
        <v/>
      </c>
      <c r="O248" s="12">
        <f>IF($A248="","",IFERROR(INDEX(CONTRATOS!$F$2:$F$601,MATCH($A248,CONTRATOS!$A$2:$A$601,0)),""))</f>
        <v/>
      </c>
      <c r="P248" s="12">
        <f>IF($A248="","",IFERROR(INDEX(CONTRATOS!$M$2:$M$601,MATCH($A248,CONTRATOS!$A$2:$A$601,0)),""))</f>
        <v/>
      </c>
      <c r="Q248" s="12">
        <f>IF($A248="","",IF(COUNTIF(CONTRATOS!$A$2:$A$601,$A248)=0,"El contrato no existe en CONTRATOS; ","")&amp;IF($B248="","Falta sujeto; ",IF(COUNTIF(SUJETOS!$A$2:$A$601,$B248)=0,"El sujeto no existe en SUJETOS; ",""))&amp;IF($E248="","Falta porcentaje; ","")&amp;IF(N248&gt;1.0001,"Los porcentajes del contrato suman más de 100 %; ","")&amp;IF(AND($C248="Individual",$E248&lt;&gt;"",$E248&lt;&gt;1),"Individual debe ser 100 %; ","")&amp;IF(AND($C248&lt;&gt;"Individual",$C248&lt;&gt;"",$E248=1),"Consorcio o UT con 100 %: revise; ","")&amp;IF(COUNTIFS($A$2:$A$601,$A248,$B$2:$B$601,$B248)&gt;1,"Participación repetida; ","")&amp;IF(AND(IFERROR(INDEX(SUJETOS!$B$2:$B$601,MATCH($B248,SUJETOS!$A$2:$A$601,0)),"")="Persona natural",$G248=""),"Persona natural sin cargo; ",""))</f>
        <v/>
      </c>
      <c r="R248" s="12">
        <f>IF($A248="","",IFERROR(IF(LEN(INDEX(SUJETOS!$F$2:$F$601,MATCH($B248,SUJETOS!$A$2:$A$601,0)))&gt;0,INDEX(SUJETOS!$F$2:$F$601,MATCH($B248,SUJETOS!$A$2:$A$601,0)),$B248),$B248))</f>
        <v/>
      </c>
    </row>
    <row r="249">
      <c r="E249" s="18" t="n"/>
      <c r="K249" s="13">
        <f>IF(OR($A249="",$E249=""),"",IFERROR(E249*INDEX(CONTRATOS!$P$2:$P$601,MATCH($A249,CONTRATOS!$A$2:$A$601,0)),""))</f>
        <v/>
      </c>
      <c r="L249" s="17">
        <f>IF(OR($A249="",$E249=""),"",IFERROR(E249*INDEX(CONTRATOS!$Z$2:$Z$601,MATCH($A249,CONTRATOS!$A$2:$A$601,0)),""))</f>
        <v/>
      </c>
      <c r="M249" s="13">
        <f>IF(OR($A249="",$E249=""),"",IFERROR(E249*INDEX(CONTRATOS!$AA$2:$AA$601,MATCH($A249,CONTRATOS!$A$2:$A$601,0)),""))</f>
        <v/>
      </c>
      <c r="N249" s="19">
        <f>IF($A249="","",SUMIFS($E$2:$E$601,$A$2:$A$601,$A249))</f>
        <v/>
      </c>
      <c r="O249" s="12">
        <f>IF($A249="","",IFERROR(INDEX(CONTRATOS!$F$2:$F$601,MATCH($A249,CONTRATOS!$A$2:$A$601,0)),""))</f>
        <v/>
      </c>
      <c r="P249" s="12">
        <f>IF($A249="","",IFERROR(INDEX(CONTRATOS!$M$2:$M$601,MATCH($A249,CONTRATOS!$A$2:$A$601,0)),""))</f>
        <v/>
      </c>
      <c r="Q249" s="12">
        <f>IF($A249="","",IF(COUNTIF(CONTRATOS!$A$2:$A$601,$A249)=0,"El contrato no existe en CONTRATOS; ","")&amp;IF($B249="","Falta sujeto; ",IF(COUNTIF(SUJETOS!$A$2:$A$601,$B249)=0,"El sujeto no existe en SUJETOS; ",""))&amp;IF($E249="","Falta porcentaje; ","")&amp;IF(N249&gt;1.0001,"Los porcentajes del contrato suman más de 100 %; ","")&amp;IF(AND($C249="Individual",$E249&lt;&gt;"",$E249&lt;&gt;1),"Individual debe ser 100 %; ","")&amp;IF(AND($C249&lt;&gt;"Individual",$C249&lt;&gt;"",$E249=1),"Consorcio o UT con 100 %: revise; ","")&amp;IF(COUNTIFS($A$2:$A$601,$A249,$B$2:$B$601,$B249)&gt;1,"Participación repetida; ","")&amp;IF(AND(IFERROR(INDEX(SUJETOS!$B$2:$B$601,MATCH($B249,SUJETOS!$A$2:$A$601,0)),"")="Persona natural",$G249=""),"Persona natural sin cargo; ",""))</f>
        <v/>
      </c>
      <c r="R249" s="12">
        <f>IF($A249="","",IFERROR(IF(LEN(INDEX(SUJETOS!$F$2:$F$601,MATCH($B249,SUJETOS!$A$2:$A$601,0)))&gt;0,INDEX(SUJETOS!$F$2:$F$601,MATCH($B249,SUJETOS!$A$2:$A$601,0)),$B249),$B249))</f>
        <v/>
      </c>
    </row>
    <row r="250">
      <c r="E250" s="18" t="n"/>
      <c r="K250" s="13">
        <f>IF(OR($A250="",$E250=""),"",IFERROR(E250*INDEX(CONTRATOS!$P$2:$P$601,MATCH($A250,CONTRATOS!$A$2:$A$601,0)),""))</f>
        <v/>
      </c>
      <c r="L250" s="17">
        <f>IF(OR($A250="",$E250=""),"",IFERROR(E250*INDEX(CONTRATOS!$Z$2:$Z$601,MATCH($A250,CONTRATOS!$A$2:$A$601,0)),""))</f>
        <v/>
      </c>
      <c r="M250" s="13">
        <f>IF(OR($A250="",$E250=""),"",IFERROR(E250*INDEX(CONTRATOS!$AA$2:$AA$601,MATCH($A250,CONTRATOS!$A$2:$A$601,0)),""))</f>
        <v/>
      </c>
      <c r="N250" s="19">
        <f>IF($A250="","",SUMIFS($E$2:$E$601,$A$2:$A$601,$A250))</f>
        <v/>
      </c>
      <c r="O250" s="12">
        <f>IF($A250="","",IFERROR(INDEX(CONTRATOS!$F$2:$F$601,MATCH($A250,CONTRATOS!$A$2:$A$601,0)),""))</f>
        <v/>
      </c>
      <c r="P250" s="12">
        <f>IF($A250="","",IFERROR(INDEX(CONTRATOS!$M$2:$M$601,MATCH($A250,CONTRATOS!$A$2:$A$601,0)),""))</f>
        <v/>
      </c>
      <c r="Q250" s="12">
        <f>IF($A250="","",IF(COUNTIF(CONTRATOS!$A$2:$A$601,$A250)=0,"El contrato no existe en CONTRATOS; ","")&amp;IF($B250="","Falta sujeto; ",IF(COUNTIF(SUJETOS!$A$2:$A$601,$B250)=0,"El sujeto no existe en SUJETOS; ",""))&amp;IF($E250="","Falta porcentaje; ","")&amp;IF(N250&gt;1.0001,"Los porcentajes del contrato suman más de 100 %; ","")&amp;IF(AND($C250="Individual",$E250&lt;&gt;"",$E250&lt;&gt;1),"Individual debe ser 100 %; ","")&amp;IF(AND($C250&lt;&gt;"Individual",$C250&lt;&gt;"",$E250=1),"Consorcio o UT con 100 %: revise; ","")&amp;IF(COUNTIFS($A$2:$A$601,$A250,$B$2:$B$601,$B250)&gt;1,"Participación repetida; ","")&amp;IF(AND(IFERROR(INDEX(SUJETOS!$B$2:$B$601,MATCH($B250,SUJETOS!$A$2:$A$601,0)),"")="Persona natural",$G250=""),"Persona natural sin cargo; ",""))</f>
        <v/>
      </c>
      <c r="R250" s="12">
        <f>IF($A250="","",IFERROR(IF(LEN(INDEX(SUJETOS!$F$2:$F$601,MATCH($B250,SUJETOS!$A$2:$A$601,0)))&gt;0,INDEX(SUJETOS!$F$2:$F$601,MATCH($B250,SUJETOS!$A$2:$A$601,0)),$B250),$B250))</f>
        <v/>
      </c>
    </row>
    <row r="251">
      <c r="E251" s="18" t="n"/>
      <c r="K251" s="13">
        <f>IF(OR($A251="",$E251=""),"",IFERROR(E251*INDEX(CONTRATOS!$P$2:$P$601,MATCH($A251,CONTRATOS!$A$2:$A$601,0)),""))</f>
        <v/>
      </c>
      <c r="L251" s="17">
        <f>IF(OR($A251="",$E251=""),"",IFERROR(E251*INDEX(CONTRATOS!$Z$2:$Z$601,MATCH($A251,CONTRATOS!$A$2:$A$601,0)),""))</f>
        <v/>
      </c>
      <c r="M251" s="13">
        <f>IF(OR($A251="",$E251=""),"",IFERROR(E251*INDEX(CONTRATOS!$AA$2:$AA$601,MATCH($A251,CONTRATOS!$A$2:$A$601,0)),""))</f>
        <v/>
      </c>
      <c r="N251" s="19">
        <f>IF($A251="","",SUMIFS($E$2:$E$601,$A$2:$A$601,$A251))</f>
        <v/>
      </c>
      <c r="O251" s="12">
        <f>IF($A251="","",IFERROR(INDEX(CONTRATOS!$F$2:$F$601,MATCH($A251,CONTRATOS!$A$2:$A$601,0)),""))</f>
        <v/>
      </c>
      <c r="P251" s="12">
        <f>IF($A251="","",IFERROR(INDEX(CONTRATOS!$M$2:$M$601,MATCH($A251,CONTRATOS!$A$2:$A$601,0)),""))</f>
        <v/>
      </c>
      <c r="Q251" s="12">
        <f>IF($A251="","",IF(COUNTIF(CONTRATOS!$A$2:$A$601,$A251)=0,"El contrato no existe en CONTRATOS; ","")&amp;IF($B251="","Falta sujeto; ",IF(COUNTIF(SUJETOS!$A$2:$A$601,$B251)=0,"El sujeto no existe en SUJETOS; ",""))&amp;IF($E251="","Falta porcentaje; ","")&amp;IF(N251&gt;1.0001,"Los porcentajes del contrato suman más de 100 %; ","")&amp;IF(AND($C251="Individual",$E251&lt;&gt;"",$E251&lt;&gt;1),"Individual debe ser 100 %; ","")&amp;IF(AND($C251&lt;&gt;"Individual",$C251&lt;&gt;"",$E251=1),"Consorcio o UT con 100 %: revise; ","")&amp;IF(COUNTIFS($A$2:$A$601,$A251,$B$2:$B$601,$B251)&gt;1,"Participación repetida; ","")&amp;IF(AND(IFERROR(INDEX(SUJETOS!$B$2:$B$601,MATCH($B251,SUJETOS!$A$2:$A$601,0)),"")="Persona natural",$G251=""),"Persona natural sin cargo; ",""))</f>
        <v/>
      </c>
      <c r="R251" s="12">
        <f>IF($A251="","",IFERROR(IF(LEN(INDEX(SUJETOS!$F$2:$F$601,MATCH($B251,SUJETOS!$A$2:$A$601,0)))&gt;0,INDEX(SUJETOS!$F$2:$F$601,MATCH($B251,SUJETOS!$A$2:$A$601,0)),$B251),$B251))</f>
        <v/>
      </c>
    </row>
    <row r="252">
      <c r="E252" s="18" t="n"/>
      <c r="K252" s="13">
        <f>IF(OR($A252="",$E252=""),"",IFERROR(E252*INDEX(CONTRATOS!$P$2:$P$601,MATCH($A252,CONTRATOS!$A$2:$A$601,0)),""))</f>
        <v/>
      </c>
      <c r="L252" s="17">
        <f>IF(OR($A252="",$E252=""),"",IFERROR(E252*INDEX(CONTRATOS!$Z$2:$Z$601,MATCH($A252,CONTRATOS!$A$2:$A$601,0)),""))</f>
        <v/>
      </c>
      <c r="M252" s="13">
        <f>IF(OR($A252="",$E252=""),"",IFERROR(E252*INDEX(CONTRATOS!$AA$2:$AA$601,MATCH($A252,CONTRATOS!$A$2:$A$601,0)),""))</f>
        <v/>
      </c>
      <c r="N252" s="19">
        <f>IF($A252="","",SUMIFS($E$2:$E$601,$A$2:$A$601,$A252))</f>
        <v/>
      </c>
      <c r="O252" s="12">
        <f>IF($A252="","",IFERROR(INDEX(CONTRATOS!$F$2:$F$601,MATCH($A252,CONTRATOS!$A$2:$A$601,0)),""))</f>
        <v/>
      </c>
      <c r="P252" s="12">
        <f>IF($A252="","",IFERROR(INDEX(CONTRATOS!$M$2:$M$601,MATCH($A252,CONTRATOS!$A$2:$A$601,0)),""))</f>
        <v/>
      </c>
      <c r="Q252" s="12">
        <f>IF($A252="","",IF(COUNTIF(CONTRATOS!$A$2:$A$601,$A252)=0,"El contrato no existe en CONTRATOS; ","")&amp;IF($B252="","Falta sujeto; ",IF(COUNTIF(SUJETOS!$A$2:$A$601,$B252)=0,"El sujeto no existe en SUJETOS; ",""))&amp;IF($E252="","Falta porcentaje; ","")&amp;IF(N252&gt;1.0001,"Los porcentajes del contrato suman más de 100 %; ","")&amp;IF(AND($C252="Individual",$E252&lt;&gt;"",$E252&lt;&gt;1),"Individual debe ser 100 %; ","")&amp;IF(AND($C252&lt;&gt;"Individual",$C252&lt;&gt;"",$E252=1),"Consorcio o UT con 100 %: revise; ","")&amp;IF(COUNTIFS($A$2:$A$601,$A252,$B$2:$B$601,$B252)&gt;1,"Participación repetida; ","")&amp;IF(AND(IFERROR(INDEX(SUJETOS!$B$2:$B$601,MATCH($B252,SUJETOS!$A$2:$A$601,0)),"")="Persona natural",$G252=""),"Persona natural sin cargo; ",""))</f>
        <v/>
      </c>
      <c r="R252" s="12">
        <f>IF($A252="","",IFERROR(IF(LEN(INDEX(SUJETOS!$F$2:$F$601,MATCH($B252,SUJETOS!$A$2:$A$601,0)))&gt;0,INDEX(SUJETOS!$F$2:$F$601,MATCH($B252,SUJETOS!$A$2:$A$601,0)),$B252),$B252))</f>
        <v/>
      </c>
    </row>
    <row r="253">
      <c r="E253" s="18" t="n"/>
      <c r="K253" s="13">
        <f>IF(OR($A253="",$E253=""),"",IFERROR(E253*INDEX(CONTRATOS!$P$2:$P$601,MATCH($A253,CONTRATOS!$A$2:$A$601,0)),""))</f>
        <v/>
      </c>
      <c r="L253" s="17">
        <f>IF(OR($A253="",$E253=""),"",IFERROR(E253*INDEX(CONTRATOS!$Z$2:$Z$601,MATCH($A253,CONTRATOS!$A$2:$A$601,0)),""))</f>
        <v/>
      </c>
      <c r="M253" s="13">
        <f>IF(OR($A253="",$E253=""),"",IFERROR(E253*INDEX(CONTRATOS!$AA$2:$AA$601,MATCH($A253,CONTRATOS!$A$2:$A$601,0)),""))</f>
        <v/>
      </c>
      <c r="N253" s="19">
        <f>IF($A253="","",SUMIFS($E$2:$E$601,$A$2:$A$601,$A253))</f>
        <v/>
      </c>
      <c r="O253" s="12">
        <f>IF($A253="","",IFERROR(INDEX(CONTRATOS!$F$2:$F$601,MATCH($A253,CONTRATOS!$A$2:$A$601,0)),""))</f>
        <v/>
      </c>
      <c r="P253" s="12">
        <f>IF($A253="","",IFERROR(INDEX(CONTRATOS!$M$2:$M$601,MATCH($A253,CONTRATOS!$A$2:$A$601,0)),""))</f>
        <v/>
      </c>
      <c r="Q253" s="12">
        <f>IF($A253="","",IF(COUNTIF(CONTRATOS!$A$2:$A$601,$A253)=0,"El contrato no existe en CONTRATOS; ","")&amp;IF($B253="","Falta sujeto; ",IF(COUNTIF(SUJETOS!$A$2:$A$601,$B253)=0,"El sujeto no existe en SUJETOS; ",""))&amp;IF($E253="","Falta porcentaje; ","")&amp;IF(N253&gt;1.0001,"Los porcentajes del contrato suman más de 100 %; ","")&amp;IF(AND($C253="Individual",$E253&lt;&gt;"",$E253&lt;&gt;1),"Individual debe ser 100 %; ","")&amp;IF(AND($C253&lt;&gt;"Individual",$C253&lt;&gt;"",$E253=1),"Consorcio o UT con 100 %: revise; ","")&amp;IF(COUNTIFS($A$2:$A$601,$A253,$B$2:$B$601,$B253)&gt;1,"Participación repetida; ","")&amp;IF(AND(IFERROR(INDEX(SUJETOS!$B$2:$B$601,MATCH($B253,SUJETOS!$A$2:$A$601,0)),"")="Persona natural",$G253=""),"Persona natural sin cargo; ",""))</f>
        <v/>
      </c>
      <c r="R253" s="12">
        <f>IF($A253="","",IFERROR(IF(LEN(INDEX(SUJETOS!$F$2:$F$601,MATCH($B253,SUJETOS!$A$2:$A$601,0)))&gt;0,INDEX(SUJETOS!$F$2:$F$601,MATCH($B253,SUJETOS!$A$2:$A$601,0)),$B253),$B253))</f>
        <v/>
      </c>
    </row>
    <row r="254">
      <c r="E254" s="18" t="n"/>
      <c r="K254" s="13">
        <f>IF(OR($A254="",$E254=""),"",IFERROR(E254*INDEX(CONTRATOS!$P$2:$P$601,MATCH($A254,CONTRATOS!$A$2:$A$601,0)),""))</f>
        <v/>
      </c>
      <c r="L254" s="17">
        <f>IF(OR($A254="",$E254=""),"",IFERROR(E254*INDEX(CONTRATOS!$Z$2:$Z$601,MATCH($A254,CONTRATOS!$A$2:$A$601,0)),""))</f>
        <v/>
      </c>
      <c r="M254" s="13">
        <f>IF(OR($A254="",$E254=""),"",IFERROR(E254*INDEX(CONTRATOS!$AA$2:$AA$601,MATCH($A254,CONTRATOS!$A$2:$A$601,0)),""))</f>
        <v/>
      </c>
      <c r="N254" s="19">
        <f>IF($A254="","",SUMIFS($E$2:$E$601,$A$2:$A$601,$A254))</f>
        <v/>
      </c>
      <c r="O254" s="12">
        <f>IF($A254="","",IFERROR(INDEX(CONTRATOS!$F$2:$F$601,MATCH($A254,CONTRATOS!$A$2:$A$601,0)),""))</f>
        <v/>
      </c>
      <c r="P254" s="12">
        <f>IF($A254="","",IFERROR(INDEX(CONTRATOS!$M$2:$M$601,MATCH($A254,CONTRATOS!$A$2:$A$601,0)),""))</f>
        <v/>
      </c>
      <c r="Q254" s="12">
        <f>IF($A254="","",IF(COUNTIF(CONTRATOS!$A$2:$A$601,$A254)=0,"El contrato no existe en CONTRATOS; ","")&amp;IF($B254="","Falta sujeto; ",IF(COUNTIF(SUJETOS!$A$2:$A$601,$B254)=0,"El sujeto no existe en SUJETOS; ",""))&amp;IF($E254="","Falta porcentaje; ","")&amp;IF(N254&gt;1.0001,"Los porcentajes del contrato suman más de 100 %; ","")&amp;IF(AND($C254="Individual",$E254&lt;&gt;"",$E254&lt;&gt;1),"Individual debe ser 100 %; ","")&amp;IF(AND($C254&lt;&gt;"Individual",$C254&lt;&gt;"",$E254=1),"Consorcio o UT con 100 %: revise; ","")&amp;IF(COUNTIFS($A$2:$A$601,$A254,$B$2:$B$601,$B254)&gt;1,"Participación repetida; ","")&amp;IF(AND(IFERROR(INDEX(SUJETOS!$B$2:$B$601,MATCH($B254,SUJETOS!$A$2:$A$601,0)),"")="Persona natural",$G254=""),"Persona natural sin cargo; ",""))</f>
        <v/>
      </c>
      <c r="R254" s="12">
        <f>IF($A254="","",IFERROR(IF(LEN(INDEX(SUJETOS!$F$2:$F$601,MATCH($B254,SUJETOS!$A$2:$A$601,0)))&gt;0,INDEX(SUJETOS!$F$2:$F$601,MATCH($B254,SUJETOS!$A$2:$A$601,0)),$B254),$B254))</f>
        <v/>
      </c>
    </row>
    <row r="255">
      <c r="E255" s="18" t="n"/>
      <c r="K255" s="13">
        <f>IF(OR($A255="",$E255=""),"",IFERROR(E255*INDEX(CONTRATOS!$P$2:$P$601,MATCH($A255,CONTRATOS!$A$2:$A$601,0)),""))</f>
        <v/>
      </c>
      <c r="L255" s="17">
        <f>IF(OR($A255="",$E255=""),"",IFERROR(E255*INDEX(CONTRATOS!$Z$2:$Z$601,MATCH($A255,CONTRATOS!$A$2:$A$601,0)),""))</f>
        <v/>
      </c>
      <c r="M255" s="13">
        <f>IF(OR($A255="",$E255=""),"",IFERROR(E255*INDEX(CONTRATOS!$AA$2:$AA$601,MATCH($A255,CONTRATOS!$A$2:$A$601,0)),""))</f>
        <v/>
      </c>
      <c r="N255" s="19">
        <f>IF($A255="","",SUMIFS($E$2:$E$601,$A$2:$A$601,$A255))</f>
        <v/>
      </c>
      <c r="O255" s="12">
        <f>IF($A255="","",IFERROR(INDEX(CONTRATOS!$F$2:$F$601,MATCH($A255,CONTRATOS!$A$2:$A$601,0)),""))</f>
        <v/>
      </c>
      <c r="P255" s="12">
        <f>IF($A255="","",IFERROR(INDEX(CONTRATOS!$M$2:$M$601,MATCH($A255,CONTRATOS!$A$2:$A$601,0)),""))</f>
        <v/>
      </c>
      <c r="Q255" s="12">
        <f>IF($A255="","",IF(COUNTIF(CONTRATOS!$A$2:$A$601,$A255)=0,"El contrato no existe en CONTRATOS; ","")&amp;IF($B255="","Falta sujeto; ",IF(COUNTIF(SUJETOS!$A$2:$A$601,$B255)=0,"El sujeto no existe en SUJETOS; ",""))&amp;IF($E255="","Falta porcentaje; ","")&amp;IF(N255&gt;1.0001,"Los porcentajes del contrato suman más de 100 %; ","")&amp;IF(AND($C255="Individual",$E255&lt;&gt;"",$E255&lt;&gt;1),"Individual debe ser 100 %; ","")&amp;IF(AND($C255&lt;&gt;"Individual",$C255&lt;&gt;"",$E255=1),"Consorcio o UT con 100 %: revise; ","")&amp;IF(COUNTIFS($A$2:$A$601,$A255,$B$2:$B$601,$B255)&gt;1,"Participación repetida; ","")&amp;IF(AND(IFERROR(INDEX(SUJETOS!$B$2:$B$601,MATCH($B255,SUJETOS!$A$2:$A$601,0)),"")="Persona natural",$G255=""),"Persona natural sin cargo; ",""))</f>
        <v/>
      </c>
      <c r="R255" s="12">
        <f>IF($A255="","",IFERROR(IF(LEN(INDEX(SUJETOS!$F$2:$F$601,MATCH($B255,SUJETOS!$A$2:$A$601,0)))&gt;0,INDEX(SUJETOS!$F$2:$F$601,MATCH($B255,SUJETOS!$A$2:$A$601,0)),$B255),$B255))</f>
        <v/>
      </c>
    </row>
    <row r="256">
      <c r="E256" s="18" t="n"/>
      <c r="K256" s="13">
        <f>IF(OR($A256="",$E256=""),"",IFERROR(E256*INDEX(CONTRATOS!$P$2:$P$601,MATCH($A256,CONTRATOS!$A$2:$A$601,0)),""))</f>
        <v/>
      </c>
      <c r="L256" s="17">
        <f>IF(OR($A256="",$E256=""),"",IFERROR(E256*INDEX(CONTRATOS!$Z$2:$Z$601,MATCH($A256,CONTRATOS!$A$2:$A$601,0)),""))</f>
        <v/>
      </c>
      <c r="M256" s="13">
        <f>IF(OR($A256="",$E256=""),"",IFERROR(E256*INDEX(CONTRATOS!$AA$2:$AA$601,MATCH($A256,CONTRATOS!$A$2:$A$601,0)),""))</f>
        <v/>
      </c>
      <c r="N256" s="19">
        <f>IF($A256="","",SUMIFS($E$2:$E$601,$A$2:$A$601,$A256))</f>
        <v/>
      </c>
      <c r="O256" s="12">
        <f>IF($A256="","",IFERROR(INDEX(CONTRATOS!$F$2:$F$601,MATCH($A256,CONTRATOS!$A$2:$A$601,0)),""))</f>
        <v/>
      </c>
      <c r="P256" s="12">
        <f>IF($A256="","",IFERROR(INDEX(CONTRATOS!$M$2:$M$601,MATCH($A256,CONTRATOS!$A$2:$A$601,0)),""))</f>
        <v/>
      </c>
      <c r="Q256" s="12">
        <f>IF($A256="","",IF(COUNTIF(CONTRATOS!$A$2:$A$601,$A256)=0,"El contrato no existe en CONTRATOS; ","")&amp;IF($B256="","Falta sujeto; ",IF(COUNTIF(SUJETOS!$A$2:$A$601,$B256)=0,"El sujeto no existe en SUJETOS; ",""))&amp;IF($E256="","Falta porcentaje; ","")&amp;IF(N256&gt;1.0001,"Los porcentajes del contrato suman más de 100 %; ","")&amp;IF(AND($C256="Individual",$E256&lt;&gt;"",$E256&lt;&gt;1),"Individual debe ser 100 %; ","")&amp;IF(AND($C256&lt;&gt;"Individual",$C256&lt;&gt;"",$E256=1),"Consorcio o UT con 100 %: revise; ","")&amp;IF(COUNTIFS($A$2:$A$601,$A256,$B$2:$B$601,$B256)&gt;1,"Participación repetida; ","")&amp;IF(AND(IFERROR(INDEX(SUJETOS!$B$2:$B$601,MATCH($B256,SUJETOS!$A$2:$A$601,0)),"")="Persona natural",$G256=""),"Persona natural sin cargo; ",""))</f>
        <v/>
      </c>
      <c r="R256" s="12">
        <f>IF($A256="","",IFERROR(IF(LEN(INDEX(SUJETOS!$F$2:$F$601,MATCH($B256,SUJETOS!$A$2:$A$601,0)))&gt;0,INDEX(SUJETOS!$F$2:$F$601,MATCH($B256,SUJETOS!$A$2:$A$601,0)),$B256),$B256))</f>
        <v/>
      </c>
    </row>
    <row r="257">
      <c r="E257" s="18" t="n"/>
      <c r="K257" s="13">
        <f>IF(OR($A257="",$E257=""),"",IFERROR(E257*INDEX(CONTRATOS!$P$2:$P$601,MATCH($A257,CONTRATOS!$A$2:$A$601,0)),""))</f>
        <v/>
      </c>
      <c r="L257" s="17">
        <f>IF(OR($A257="",$E257=""),"",IFERROR(E257*INDEX(CONTRATOS!$Z$2:$Z$601,MATCH($A257,CONTRATOS!$A$2:$A$601,0)),""))</f>
        <v/>
      </c>
      <c r="M257" s="13">
        <f>IF(OR($A257="",$E257=""),"",IFERROR(E257*INDEX(CONTRATOS!$AA$2:$AA$601,MATCH($A257,CONTRATOS!$A$2:$A$601,0)),""))</f>
        <v/>
      </c>
      <c r="N257" s="19">
        <f>IF($A257="","",SUMIFS($E$2:$E$601,$A$2:$A$601,$A257))</f>
        <v/>
      </c>
      <c r="O257" s="12">
        <f>IF($A257="","",IFERROR(INDEX(CONTRATOS!$F$2:$F$601,MATCH($A257,CONTRATOS!$A$2:$A$601,0)),""))</f>
        <v/>
      </c>
      <c r="P257" s="12">
        <f>IF($A257="","",IFERROR(INDEX(CONTRATOS!$M$2:$M$601,MATCH($A257,CONTRATOS!$A$2:$A$601,0)),""))</f>
        <v/>
      </c>
      <c r="Q257" s="12">
        <f>IF($A257="","",IF(COUNTIF(CONTRATOS!$A$2:$A$601,$A257)=0,"El contrato no existe en CONTRATOS; ","")&amp;IF($B257="","Falta sujeto; ",IF(COUNTIF(SUJETOS!$A$2:$A$601,$B257)=0,"El sujeto no existe en SUJETOS; ",""))&amp;IF($E257="","Falta porcentaje; ","")&amp;IF(N257&gt;1.0001,"Los porcentajes del contrato suman más de 100 %; ","")&amp;IF(AND($C257="Individual",$E257&lt;&gt;"",$E257&lt;&gt;1),"Individual debe ser 100 %; ","")&amp;IF(AND($C257&lt;&gt;"Individual",$C257&lt;&gt;"",$E257=1),"Consorcio o UT con 100 %: revise; ","")&amp;IF(COUNTIFS($A$2:$A$601,$A257,$B$2:$B$601,$B257)&gt;1,"Participación repetida; ","")&amp;IF(AND(IFERROR(INDEX(SUJETOS!$B$2:$B$601,MATCH($B257,SUJETOS!$A$2:$A$601,0)),"")="Persona natural",$G257=""),"Persona natural sin cargo; ",""))</f>
        <v/>
      </c>
      <c r="R257" s="12">
        <f>IF($A257="","",IFERROR(IF(LEN(INDEX(SUJETOS!$F$2:$F$601,MATCH($B257,SUJETOS!$A$2:$A$601,0)))&gt;0,INDEX(SUJETOS!$F$2:$F$601,MATCH($B257,SUJETOS!$A$2:$A$601,0)),$B257),$B257))</f>
        <v/>
      </c>
    </row>
    <row r="258">
      <c r="E258" s="18" t="n"/>
      <c r="K258" s="13">
        <f>IF(OR($A258="",$E258=""),"",IFERROR(E258*INDEX(CONTRATOS!$P$2:$P$601,MATCH($A258,CONTRATOS!$A$2:$A$601,0)),""))</f>
        <v/>
      </c>
      <c r="L258" s="17">
        <f>IF(OR($A258="",$E258=""),"",IFERROR(E258*INDEX(CONTRATOS!$Z$2:$Z$601,MATCH($A258,CONTRATOS!$A$2:$A$601,0)),""))</f>
        <v/>
      </c>
      <c r="M258" s="13">
        <f>IF(OR($A258="",$E258=""),"",IFERROR(E258*INDEX(CONTRATOS!$AA$2:$AA$601,MATCH($A258,CONTRATOS!$A$2:$A$601,0)),""))</f>
        <v/>
      </c>
      <c r="N258" s="19">
        <f>IF($A258="","",SUMIFS($E$2:$E$601,$A$2:$A$601,$A258))</f>
        <v/>
      </c>
      <c r="O258" s="12">
        <f>IF($A258="","",IFERROR(INDEX(CONTRATOS!$F$2:$F$601,MATCH($A258,CONTRATOS!$A$2:$A$601,0)),""))</f>
        <v/>
      </c>
      <c r="P258" s="12">
        <f>IF($A258="","",IFERROR(INDEX(CONTRATOS!$M$2:$M$601,MATCH($A258,CONTRATOS!$A$2:$A$601,0)),""))</f>
        <v/>
      </c>
      <c r="Q258" s="12">
        <f>IF($A258="","",IF(COUNTIF(CONTRATOS!$A$2:$A$601,$A258)=0,"El contrato no existe en CONTRATOS; ","")&amp;IF($B258="","Falta sujeto; ",IF(COUNTIF(SUJETOS!$A$2:$A$601,$B258)=0,"El sujeto no existe en SUJETOS; ",""))&amp;IF($E258="","Falta porcentaje; ","")&amp;IF(N258&gt;1.0001,"Los porcentajes del contrato suman más de 100 %; ","")&amp;IF(AND($C258="Individual",$E258&lt;&gt;"",$E258&lt;&gt;1),"Individual debe ser 100 %; ","")&amp;IF(AND($C258&lt;&gt;"Individual",$C258&lt;&gt;"",$E258=1),"Consorcio o UT con 100 %: revise; ","")&amp;IF(COUNTIFS($A$2:$A$601,$A258,$B$2:$B$601,$B258)&gt;1,"Participación repetida; ","")&amp;IF(AND(IFERROR(INDEX(SUJETOS!$B$2:$B$601,MATCH($B258,SUJETOS!$A$2:$A$601,0)),"")="Persona natural",$G258=""),"Persona natural sin cargo; ",""))</f>
        <v/>
      </c>
      <c r="R258" s="12">
        <f>IF($A258="","",IFERROR(IF(LEN(INDEX(SUJETOS!$F$2:$F$601,MATCH($B258,SUJETOS!$A$2:$A$601,0)))&gt;0,INDEX(SUJETOS!$F$2:$F$601,MATCH($B258,SUJETOS!$A$2:$A$601,0)),$B258),$B258))</f>
        <v/>
      </c>
    </row>
    <row r="259">
      <c r="E259" s="18" t="n"/>
      <c r="K259" s="13">
        <f>IF(OR($A259="",$E259=""),"",IFERROR(E259*INDEX(CONTRATOS!$P$2:$P$601,MATCH($A259,CONTRATOS!$A$2:$A$601,0)),""))</f>
        <v/>
      </c>
      <c r="L259" s="17">
        <f>IF(OR($A259="",$E259=""),"",IFERROR(E259*INDEX(CONTRATOS!$Z$2:$Z$601,MATCH($A259,CONTRATOS!$A$2:$A$601,0)),""))</f>
        <v/>
      </c>
      <c r="M259" s="13">
        <f>IF(OR($A259="",$E259=""),"",IFERROR(E259*INDEX(CONTRATOS!$AA$2:$AA$601,MATCH($A259,CONTRATOS!$A$2:$A$601,0)),""))</f>
        <v/>
      </c>
      <c r="N259" s="19">
        <f>IF($A259="","",SUMIFS($E$2:$E$601,$A$2:$A$601,$A259))</f>
        <v/>
      </c>
      <c r="O259" s="12">
        <f>IF($A259="","",IFERROR(INDEX(CONTRATOS!$F$2:$F$601,MATCH($A259,CONTRATOS!$A$2:$A$601,0)),""))</f>
        <v/>
      </c>
      <c r="P259" s="12">
        <f>IF($A259="","",IFERROR(INDEX(CONTRATOS!$M$2:$M$601,MATCH($A259,CONTRATOS!$A$2:$A$601,0)),""))</f>
        <v/>
      </c>
      <c r="Q259" s="12">
        <f>IF($A259="","",IF(COUNTIF(CONTRATOS!$A$2:$A$601,$A259)=0,"El contrato no existe en CONTRATOS; ","")&amp;IF($B259="","Falta sujeto; ",IF(COUNTIF(SUJETOS!$A$2:$A$601,$B259)=0,"El sujeto no existe en SUJETOS; ",""))&amp;IF($E259="","Falta porcentaje; ","")&amp;IF(N259&gt;1.0001,"Los porcentajes del contrato suman más de 100 %; ","")&amp;IF(AND($C259="Individual",$E259&lt;&gt;"",$E259&lt;&gt;1),"Individual debe ser 100 %; ","")&amp;IF(AND($C259&lt;&gt;"Individual",$C259&lt;&gt;"",$E259=1),"Consorcio o UT con 100 %: revise; ","")&amp;IF(COUNTIFS($A$2:$A$601,$A259,$B$2:$B$601,$B259)&gt;1,"Participación repetida; ","")&amp;IF(AND(IFERROR(INDEX(SUJETOS!$B$2:$B$601,MATCH($B259,SUJETOS!$A$2:$A$601,0)),"")="Persona natural",$G259=""),"Persona natural sin cargo; ",""))</f>
        <v/>
      </c>
      <c r="R259" s="12">
        <f>IF($A259="","",IFERROR(IF(LEN(INDEX(SUJETOS!$F$2:$F$601,MATCH($B259,SUJETOS!$A$2:$A$601,0)))&gt;0,INDEX(SUJETOS!$F$2:$F$601,MATCH($B259,SUJETOS!$A$2:$A$601,0)),$B259),$B259))</f>
        <v/>
      </c>
    </row>
    <row r="260">
      <c r="E260" s="18" t="n"/>
      <c r="K260" s="13">
        <f>IF(OR($A260="",$E260=""),"",IFERROR(E260*INDEX(CONTRATOS!$P$2:$P$601,MATCH($A260,CONTRATOS!$A$2:$A$601,0)),""))</f>
        <v/>
      </c>
      <c r="L260" s="17">
        <f>IF(OR($A260="",$E260=""),"",IFERROR(E260*INDEX(CONTRATOS!$Z$2:$Z$601,MATCH($A260,CONTRATOS!$A$2:$A$601,0)),""))</f>
        <v/>
      </c>
      <c r="M260" s="13">
        <f>IF(OR($A260="",$E260=""),"",IFERROR(E260*INDEX(CONTRATOS!$AA$2:$AA$601,MATCH($A260,CONTRATOS!$A$2:$A$601,0)),""))</f>
        <v/>
      </c>
      <c r="N260" s="19">
        <f>IF($A260="","",SUMIFS($E$2:$E$601,$A$2:$A$601,$A260))</f>
        <v/>
      </c>
      <c r="O260" s="12">
        <f>IF($A260="","",IFERROR(INDEX(CONTRATOS!$F$2:$F$601,MATCH($A260,CONTRATOS!$A$2:$A$601,0)),""))</f>
        <v/>
      </c>
      <c r="P260" s="12">
        <f>IF($A260="","",IFERROR(INDEX(CONTRATOS!$M$2:$M$601,MATCH($A260,CONTRATOS!$A$2:$A$601,0)),""))</f>
        <v/>
      </c>
      <c r="Q260" s="12">
        <f>IF($A260="","",IF(COUNTIF(CONTRATOS!$A$2:$A$601,$A260)=0,"El contrato no existe en CONTRATOS; ","")&amp;IF($B260="","Falta sujeto; ",IF(COUNTIF(SUJETOS!$A$2:$A$601,$B260)=0,"El sujeto no existe en SUJETOS; ",""))&amp;IF($E260="","Falta porcentaje; ","")&amp;IF(N260&gt;1.0001,"Los porcentajes del contrato suman más de 100 %; ","")&amp;IF(AND($C260="Individual",$E260&lt;&gt;"",$E260&lt;&gt;1),"Individual debe ser 100 %; ","")&amp;IF(AND($C260&lt;&gt;"Individual",$C260&lt;&gt;"",$E260=1),"Consorcio o UT con 100 %: revise; ","")&amp;IF(COUNTIFS($A$2:$A$601,$A260,$B$2:$B$601,$B260)&gt;1,"Participación repetida; ","")&amp;IF(AND(IFERROR(INDEX(SUJETOS!$B$2:$B$601,MATCH($B260,SUJETOS!$A$2:$A$601,0)),"")="Persona natural",$G260=""),"Persona natural sin cargo; ",""))</f>
        <v/>
      </c>
      <c r="R260" s="12">
        <f>IF($A260="","",IFERROR(IF(LEN(INDEX(SUJETOS!$F$2:$F$601,MATCH($B260,SUJETOS!$A$2:$A$601,0)))&gt;0,INDEX(SUJETOS!$F$2:$F$601,MATCH($B260,SUJETOS!$A$2:$A$601,0)),$B260),$B260))</f>
        <v/>
      </c>
    </row>
    <row r="261">
      <c r="E261" s="18" t="n"/>
      <c r="K261" s="13">
        <f>IF(OR($A261="",$E261=""),"",IFERROR(E261*INDEX(CONTRATOS!$P$2:$P$601,MATCH($A261,CONTRATOS!$A$2:$A$601,0)),""))</f>
        <v/>
      </c>
      <c r="L261" s="17">
        <f>IF(OR($A261="",$E261=""),"",IFERROR(E261*INDEX(CONTRATOS!$Z$2:$Z$601,MATCH($A261,CONTRATOS!$A$2:$A$601,0)),""))</f>
        <v/>
      </c>
      <c r="M261" s="13">
        <f>IF(OR($A261="",$E261=""),"",IFERROR(E261*INDEX(CONTRATOS!$AA$2:$AA$601,MATCH($A261,CONTRATOS!$A$2:$A$601,0)),""))</f>
        <v/>
      </c>
      <c r="N261" s="19">
        <f>IF($A261="","",SUMIFS($E$2:$E$601,$A$2:$A$601,$A261))</f>
        <v/>
      </c>
      <c r="O261" s="12">
        <f>IF($A261="","",IFERROR(INDEX(CONTRATOS!$F$2:$F$601,MATCH($A261,CONTRATOS!$A$2:$A$601,0)),""))</f>
        <v/>
      </c>
      <c r="P261" s="12">
        <f>IF($A261="","",IFERROR(INDEX(CONTRATOS!$M$2:$M$601,MATCH($A261,CONTRATOS!$A$2:$A$601,0)),""))</f>
        <v/>
      </c>
      <c r="Q261" s="12">
        <f>IF($A261="","",IF(COUNTIF(CONTRATOS!$A$2:$A$601,$A261)=0,"El contrato no existe en CONTRATOS; ","")&amp;IF($B261="","Falta sujeto; ",IF(COUNTIF(SUJETOS!$A$2:$A$601,$B261)=0,"El sujeto no existe en SUJETOS; ",""))&amp;IF($E261="","Falta porcentaje; ","")&amp;IF(N261&gt;1.0001,"Los porcentajes del contrato suman más de 100 %; ","")&amp;IF(AND($C261="Individual",$E261&lt;&gt;"",$E261&lt;&gt;1),"Individual debe ser 100 %; ","")&amp;IF(AND($C261&lt;&gt;"Individual",$C261&lt;&gt;"",$E261=1),"Consorcio o UT con 100 %: revise; ","")&amp;IF(COUNTIFS($A$2:$A$601,$A261,$B$2:$B$601,$B261)&gt;1,"Participación repetida; ","")&amp;IF(AND(IFERROR(INDEX(SUJETOS!$B$2:$B$601,MATCH($B261,SUJETOS!$A$2:$A$601,0)),"")="Persona natural",$G261=""),"Persona natural sin cargo; ",""))</f>
        <v/>
      </c>
      <c r="R261" s="12">
        <f>IF($A261="","",IFERROR(IF(LEN(INDEX(SUJETOS!$F$2:$F$601,MATCH($B261,SUJETOS!$A$2:$A$601,0)))&gt;0,INDEX(SUJETOS!$F$2:$F$601,MATCH($B261,SUJETOS!$A$2:$A$601,0)),$B261),$B261))</f>
        <v/>
      </c>
    </row>
    <row r="262">
      <c r="E262" s="18" t="n"/>
      <c r="K262" s="13">
        <f>IF(OR($A262="",$E262=""),"",IFERROR(E262*INDEX(CONTRATOS!$P$2:$P$601,MATCH($A262,CONTRATOS!$A$2:$A$601,0)),""))</f>
        <v/>
      </c>
      <c r="L262" s="17">
        <f>IF(OR($A262="",$E262=""),"",IFERROR(E262*INDEX(CONTRATOS!$Z$2:$Z$601,MATCH($A262,CONTRATOS!$A$2:$A$601,0)),""))</f>
        <v/>
      </c>
      <c r="M262" s="13">
        <f>IF(OR($A262="",$E262=""),"",IFERROR(E262*INDEX(CONTRATOS!$AA$2:$AA$601,MATCH($A262,CONTRATOS!$A$2:$A$601,0)),""))</f>
        <v/>
      </c>
      <c r="N262" s="19">
        <f>IF($A262="","",SUMIFS($E$2:$E$601,$A$2:$A$601,$A262))</f>
        <v/>
      </c>
      <c r="O262" s="12">
        <f>IF($A262="","",IFERROR(INDEX(CONTRATOS!$F$2:$F$601,MATCH($A262,CONTRATOS!$A$2:$A$601,0)),""))</f>
        <v/>
      </c>
      <c r="P262" s="12">
        <f>IF($A262="","",IFERROR(INDEX(CONTRATOS!$M$2:$M$601,MATCH($A262,CONTRATOS!$A$2:$A$601,0)),""))</f>
        <v/>
      </c>
      <c r="Q262" s="12">
        <f>IF($A262="","",IF(COUNTIF(CONTRATOS!$A$2:$A$601,$A262)=0,"El contrato no existe en CONTRATOS; ","")&amp;IF($B262="","Falta sujeto; ",IF(COUNTIF(SUJETOS!$A$2:$A$601,$B262)=0,"El sujeto no existe en SUJETOS; ",""))&amp;IF($E262="","Falta porcentaje; ","")&amp;IF(N262&gt;1.0001,"Los porcentajes del contrato suman más de 100 %; ","")&amp;IF(AND($C262="Individual",$E262&lt;&gt;"",$E262&lt;&gt;1),"Individual debe ser 100 %; ","")&amp;IF(AND($C262&lt;&gt;"Individual",$C262&lt;&gt;"",$E262=1),"Consorcio o UT con 100 %: revise; ","")&amp;IF(COUNTIFS($A$2:$A$601,$A262,$B$2:$B$601,$B262)&gt;1,"Participación repetida; ","")&amp;IF(AND(IFERROR(INDEX(SUJETOS!$B$2:$B$601,MATCH($B262,SUJETOS!$A$2:$A$601,0)),"")="Persona natural",$G262=""),"Persona natural sin cargo; ",""))</f>
        <v/>
      </c>
      <c r="R262" s="12">
        <f>IF($A262="","",IFERROR(IF(LEN(INDEX(SUJETOS!$F$2:$F$601,MATCH($B262,SUJETOS!$A$2:$A$601,0)))&gt;0,INDEX(SUJETOS!$F$2:$F$601,MATCH($B262,SUJETOS!$A$2:$A$601,0)),$B262),$B262))</f>
        <v/>
      </c>
    </row>
    <row r="263">
      <c r="E263" s="18" t="n"/>
      <c r="K263" s="13">
        <f>IF(OR($A263="",$E263=""),"",IFERROR(E263*INDEX(CONTRATOS!$P$2:$P$601,MATCH($A263,CONTRATOS!$A$2:$A$601,0)),""))</f>
        <v/>
      </c>
      <c r="L263" s="17">
        <f>IF(OR($A263="",$E263=""),"",IFERROR(E263*INDEX(CONTRATOS!$Z$2:$Z$601,MATCH($A263,CONTRATOS!$A$2:$A$601,0)),""))</f>
        <v/>
      </c>
      <c r="M263" s="13">
        <f>IF(OR($A263="",$E263=""),"",IFERROR(E263*INDEX(CONTRATOS!$AA$2:$AA$601,MATCH($A263,CONTRATOS!$A$2:$A$601,0)),""))</f>
        <v/>
      </c>
      <c r="N263" s="19">
        <f>IF($A263="","",SUMIFS($E$2:$E$601,$A$2:$A$601,$A263))</f>
        <v/>
      </c>
      <c r="O263" s="12">
        <f>IF($A263="","",IFERROR(INDEX(CONTRATOS!$F$2:$F$601,MATCH($A263,CONTRATOS!$A$2:$A$601,0)),""))</f>
        <v/>
      </c>
      <c r="P263" s="12">
        <f>IF($A263="","",IFERROR(INDEX(CONTRATOS!$M$2:$M$601,MATCH($A263,CONTRATOS!$A$2:$A$601,0)),""))</f>
        <v/>
      </c>
      <c r="Q263" s="12">
        <f>IF($A263="","",IF(COUNTIF(CONTRATOS!$A$2:$A$601,$A263)=0,"El contrato no existe en CONTRATOS; ","")&amp;IF($B263="","Falta sujeto; ",IF(COUNTIF(SUJETOS!$A$2:$A$601,$B263)=0,"El sujeto no existe en SUJETOS; ",""))&amp;IF($E263="","Falta porcentaje; ","")&amp;IF(N263&gt;1.0001,"Los porcentajes del contrato suman más de 100 %; ","")&amp;IF(AND($C263="Individual",$E263&lt;&gt;"",$E263&lt;&gt;1),"Individual debe ser 100 %; ","")&amp;IF(AND($C263&lt;&gt;"Individual",$C263&lt;&gt;"",$E263=1),"Consorcio o UT con 100 %: revise; ","")&amp;IF(COUNTIFS($A$2:$A$601,$A263,$B$2:$B$601,$B263)&gt;1,"Participación repetida; ","")&amp;IF(AND(IFERROR(INDEX(SUJETOS!$B$2:$B$601,MATCH($B263,SUJETOS!$A$2:$A$601,0)),"")="Persona natural",$G263=""),"Persona natural sin cargo; ",""))</f>
        <v/>
      </c>
      <c r="R263" s="12">
        <f>IF($A263="","",IFERROR(IF(LEN(INDEX(SUJETOS!$F$2:$F$601,MATCH($B263,SUJETOS!$A$2:$A$601,0)))&gt;0,INDEX(SUJETOS!$F$2:$F$601,MATCH($B263,SUJETOS!$A$2:$A$601,0)),$B263),$B263))</f>
        <v/>
      </c>
    </row>
    <row r="264">
      <c r="E264" s="18" t="n"/>
      <c r="K264" s="13">
        <f>IF(OR($A264="",$E264=""),"",IFERROR(E264*INDEX(CONTRATOS!$P$2:$P$601,MATCH($A264,CONTRATOS!$A$2:$A$601,0)),""))</f>
        <v/>
      </c>
      <c r="L264" s="17">
        <f>IF(OR($A264="",$E264=""),"",IFERROR(E264*INDEX(CONTRATOS!$Z$2:$Z$601,MATCH($A264,CONTRATOS!$A$2:$A$601,0)),""))</f>
        <v/>
      </c>
      <c r="M264" s="13">
        <f>IF(OR($A264="",$E264=""),"",IFERROR(E264*INDEX(CONTRATOS!$AA$2:$AA$601,MATCH($A264,CONTRATOS!$A$2:$A$601,0)),""))</f>
        <v/>
      </c>
      <c r="N264" s="19">
        <f>IF($A264="","",SUMIFS($E$2:$E$601,$A$2:$A$601,$A264))</f>
        <v/>
      </c>
      <c r="O264" s="12">
        <f>IF($A264="","",IFERROR(INDEX(CONTRATOS!$F$2:$F$601,MATCH($A264,CONTRATOS!$A$2:$A$601,0)),""))</f>
        <v/>
      </c>
      <c r="P264" s="12">
        <f>IF($A264="","",IFERROR(INDEX(CONTRATOS!$M$2:$M$601,MATCH($A264,CONTRATOS!$A$2:$A$601,0)),""))</f>
        <v/>
      </c>
      <c r="Q264" s="12">
        <f>IF($A264="","",IF(COUNTIF(CONTRATOS!$A$2:$A$601,$A264)=0,"El contrato no existe en CONTRATOS; ","")&amp;IF($B264="","Falta sujeto; ",IF(COUNTIF(SUJETOS!$A$2:$A$601,$B264)=0,"El sujeto no existe en SUJETOS; ",""))&amp;IF($E264="","Falta porcentaje; ","")&amp;IF(N264&gt;1.0001,"Los porcentajes del contrato suman más de 100 %; ","")&amp;IF(AND($C264="Individual",$E264&lt;&gt;"",$E264&lt;&gt;1),"Individual debe ser 100 %; ","")&amp;IF(AND($C264&lt;&gt;"Individual",$C264&lt;&gt;"",$E264=1),"Consorcio o UT con 100 %: revise; ","")&amp;IF(COUNTIFS($A$2:$A$601,$A264,$B$2:$B$601,$B264)&gt;1,"Participación repetida; ","")&amp;IF(AND(IFERROR(INDEX(SUJETOS!$B$2:$B$601,MATCH($B264,SUJETOS!$A$2:$A$601,0)),"")="Persona natural",$G264=""),"Persona natural sin cargo; ",""))</f>
        <v/>
      </c>
      <c r="R264" s="12">
        <f>IF($A264="","",IFERROR(IF(LEN(INDEX(SUJETOS!$F$2:$F$601,MATCH($B264,SUJETOS!$A$2:$A$601,0)))&gt;0,INDEX(SUJETOS!$F$2:$F$601,MATCH($B264,SUJETOS!$A$2:$A$601,0)),$B264),$B264))</f>
        <v/>
      </c>
    </row>
    <row r="265">
      <c r="E265" s="18" t="n"/>
      <c r="K265" s="13">
        <f>IF(OR($A265="",$E265=""),"",IFERROR(E265*INDEX(CONTRATOS!$P$2:$P$601,MATCH($A265,CONTRATOS!$A$2:$A$601,0)),""))</f>
        <v/>
      </c>
      <c r="L265" s="17">
        <f>IF(OR($A265="",$E265=""),"",IFERROR(E265*INDEX(CONTRATOS!$Z$2:$Z$601,MATCH($A265,CONTRATOS!$A$2:$A$601,0)),""))</f>
        <v/>
      </c>
      <c r="M265" s="13">
        <f>IF(OR($A265="",$E265=""),"",IFERROR(E265*INDEX(CONTRATOS!$AA$2:$AA$601,MATCH($A265,CONTRATOS!$A$2:$A$601,0)),""))</f>
        <v/>
      </c>
      <c r="N265" s="19">
        <f>IF($A265="","",SUMIFS($E$2:$E$601,$A$2:$A$601,$A265))</f>
        <v/>
      </c>
      <c r="O265" s="12">
        <f>IF($A265="","",IFERROR(INDEX(CONTRATOS!$F$2:$F$601,MATCH($A265,CONTRATOS!$A$2:$A$601,0)),""))</f>
        <v/>
      </c>
      <c r="P265" s="12">
        <f>IF($A265="","",IFERROR(INDEX(CONTRATOS!$M$2:$M$601,MATCH($A265,CONTRATOS!$A$2:$A$601,0)),""))</f>
        <v/>
      </c>
      <c r="Q265" s="12">
        <f>IF($A265="","",IF(COUNTIF(CONTRATOS!$A$2:$A$601,$A265)=0,"El contrato no existe en CONTRATOS; ","")&amp;IF($B265="","Falta sujeto; ",IF(COUNTIF(SUJETOS!$A$2:$A$601,$B265)=0,"El sujeto no existe en SUJETOS; ",""))&amp;IF($E265="","Falta porcentaje; ","")&amp;IF(N265&gt;1.0001,"Los porcentajes del contrato suman más de 100 %; ","")&amp;IF(AND($C265="Individual",$E265&lt;&gt;"",$E265&lt;&gt;1),"Individual debe ser 100 %; ","")&amp;IF(AND($C265&lt;&gt;"Individual",$C265&lt;&gt;"",$E265=1),"Consorcio o UT con 100 %: revise; ","")&amp;IF(COUNTIFS($A$2:$A$601,$A265,$B$2:$B$601,$B265)&gt;1,"Participación repetida; ","")&amp;IF(AND(IFERROR(INDEX(SUJETOS!$B$2:$B$601,MATCH($B265,SUJETOS!$A$2:$A$601,0)),"")="Persona natural",$G265=""),"Persona natural sin cargo; ",""))</f>
        <v/>
      </c>
      <c r="R265" s="12">
        <f>IF($A265="","",IFERROR(IF(LEN(INDEX(SUJETOS!$F$2:$F$601,MATCH($B265,SUJETOS!$A$2:$A$601,0)))&gt;0,INDEX(SUJETOS!$F$2:$F$601,MATCH($B265,SUJETOS!$A$2:$A$601,0)),$B265),$B265))</f>
        <v/>
      </c>
    </row>
    <row r="266">
      <c r="E266" s="18" t="n"/>
      <c r="K266" s="13">
        <f>IF(OR($A266="",$E266=""),"",IFERROR(E266*INDEX(CONTRATOS!$P$2:$P$601,MATCH($A266,CONTRATOS!$A$2:$A$601,0)),""))</f>
        <v/>
      </c>
      <c r="L266" s="17">
        <f>IF(OR($A266="",$E266=""),"",IFERROR(E266*INDEX(CONTRATOS!$Z$2:$Z$601,MATCH($A266,CONTRATOS!$A$2:$A$601,0)),""))</f>
        <v/>
      </c>
      <c r="M266" s="13">
        <f>IF(OR($A266="",$E266=""),"",IFERROR(E266*INDEX(CONTRATOS!$AA$2:$AA$601,MATCH($A266,CONTRATOS!$A$2:$A$601,0)),""))</f>
        <v/>
      </c>
      <c r="N266" s="19">
        <f>IF($A266="","",SUMIFS($E$2:$E$601,$A$2:$A$601,$A266))</f>
        <v/>
      </c>
      <c r="O266" s="12">
        <f>IF($A266="","",IFERROR(INDEX(CONTRATOS!$F$2:$F$601,MATCH($A266,CONTRATOS!$A$2:$A$601,0)),""))</f>
        <v/>
      </c>
      <c r="P266" s="12">
        <f>IF($A266="","",IFERROR(INDEX(CONTRATOS!$M$2:$M$601,MATCH($A266,CONTRATOS!$A$2:$A$601,0)),""))</f>
        <v/>
      </c>
      <c r="Q266" s="12">
        <f>IF($A266="","",IF(COUNTIF(CONTRATOS!$A$2:$A$601,$A266)=0,"El contrato no existe en CONTRATOS; ","")&amp;IF($B266="","Falta sujeto; ",IF(COUNTIF(SUJETOS!$A$2:$A$601,$B266)=0,"El sujeto no existe en SUJETOS; ",""))&amp;IF($E266="","Falta porcentaje; ","")&amp;IF(N266&gt;1.0001,"Los porcentajes del contrato suman más de 100 %; ","")&amp;IF(AND($C266="Individual",$E266&lt;&gt;"",$E266&lt;&gt;1),"Individual debe ser 100 %; ","")&amp;IF(AND($C266&lt;&gt;"Individual",$C266&lt;&gt;"",$E266=1),"Consorcio o UT con 100 %: revise; ","")&amp;IF(COUNTIFS($A$2:$A$601,$A266,$B$2:$B$601,$B266)&gt;1,"Participación repetida; ","")&amp;IF(AND(IFERROR(INDEX(SUJETOS!$B$2:$B$601,MATCH($B266,SUJETOS!$A$2:$A$601,0)),"")="Persona natural",$G266=""),"Persona natural sin cargo; ",""))</f>
        <v/>
      </c>
      <c r="R266" s="12">
        <f>IF($A266="","",IFERROR(IF(LEN(INDEX(SUJETOS!$F$2:$F$601,MATCH($B266,SUJETOS!$A$2:$A$601,0)))&gt;0,INDEX(SUJETOS!$F$2:$F$601,MATCH($B266,SUJETOS!$A$2:$A$601,0)),$B266),$B266))</f>
        <v/>
      </c>
    </row>
    <row r="267">
      <c r="E267" s="18" t="n"/>
      <c r="K267" s="13">
        <f>IF(OR($A267="",$E267=""),"",IFERROR(E267*INDEX(CONTRATOS!$P$2:$P$601,MATCH($A267,CONTRATOS!$A$2:$A$601,0)),""))</f>
        <v/>
      </c>
      <c r="L267" s="17">
        <f>IF(OR($A267="",$E267=""),"",IFERROR(E267*INDEX(CONTRATOS!$Z$2:$Z$601,MATCH($A267,CONTRATOS!$A$2:$A$601,0)),""))</f>
        <v/>
      </c>
      <c r="M267" s="13">
        <f>IF(OR($A267="",$E267=""),"",IFERROR(E267*INDEX(CONTRATOS!$AA$2:$AA$601,MATCH($A267,CONTRATOS!$A$2:$A$601,0)),""))</f>
        <v/>
      </c>
      <c r="N267" s="19">
        <f>IF($A267="","",SUMIFS($E$2:$E$601,$A$2:$A$601,$A267))</f>
        <v/>
      </c>
      <c r="O267" s="12">
        <f>IF($A267="","",IFERROR(INDEX(CONTRATOS!$F$2:$F$601,MATCH($A267,CONTRATOS!$A$2:$A$601,0)),""))</f>
        <v/>
      </c>
      <c r="P267" s="12">
        <f>IF($A267="","",IFERROR(INDEX(CONTRATOS!$M$2:$M$601,MATCH($A267,CONTRATOS!$A$2:$A$601,0)),""))</f>
        <v/>
      </c>
      <c r="Q267" s="12">
        <f>IF($A267="","",IF(COUNTIF(CONTRATOS!$A$2:$A$601,$A267)=0,"El contrato no existe en CONTRATOS; ","")&amp;IF($B267="","Falta sujeto; ",IF(COUNTIF(SUJETOS!$A$2:$A$601,$B267)=0,"El sujeto no existe en SUJETOS; ",""))&amp;IF($E267="","Falta porcentaje; ","")&amp;IF(N267&gt;1.0001,"Los porcentajes del contrato suman más de 100 %; ","")&amp;IF(AND($C267="Individual",$E267&lt;&gt;"",$E267&lt;&gt;1),"Individual debe ser 100 %; ","")&amp;IF(AND($C267&lt;&gt;"Individual",$C267&lt;&gt;"",$E267=1),"Consorcio o UT con 100 %: revise; ","")&amp;IF(COUNTIFS($A$2:$A$601,$A267,$B$2:$B$601,$B267)&gt;1,"Participación repetida; ","")&amp;IF(AND(IFERROR(INDEX(SUJETOS!$B$2:$B$601,MATCH($B267,SUJETOS!$A$2:$A$601,0)),"")="Persona natural",$G267=""),"Persona natural sin cargo; ",""))</f>
        <v/>
      </c>
      <c r="R267" s="12">
        <f>IF($A267="","",IFERROR(IF(LEN(INDEX(SUJETOS!$F$2:$F$601,MATCH($B267,SUJETOS!$A$2:$A$601,0)))&gt;0,INDEX(SUJETOS!$F$2:$F$601,MATCH($B267,SUJETOS!$A$2:$A$601,0)),$B267),$B267))</f>
        <v/>
      </c>
    </row>
    <row r="268">
      <c r="E268" s="18" t="n"/>
      <c r="K268" s="13">
        <f>IF(OR($A268="",$E268=""),"",IFERROR(E268*INDEX(CONTRATOS!$P$2:$P$601,MATCH($A268,CONTRATOS!$A$2:$A$601,0)),""))</f>
        <v/>
      </c>
      <c r="L268" s="17">
        <f>IF(OR($A268="",$E268=""),"",IFERROR(E268*INDEX(CONTRATOS!$Z$2:$Z$601,MATCH($A268,CONTRATOS!$A$2:$A$601,0)),""))</f>
        <v/>
      </c>
      <c r="M268" s="13">
        <f>IF(OR($A268="",$E268=""),"",IFERROR(E268*INDEX(CONTRATOS!$AA$2:$AA$601,MATCH($A268,CONTRATOS!$A$2:$A$601,0)),""))</f>
        <v/>
      </c>
      <c r="N268" s="19">
        <f>IF($A268="","",SUMIFS($E$2:$E$601,$A$2:$A$601,$A268))</f>
        <v/>
      </c>
      <c r="O268" s="12">
        <f>IF($A268="","",IFERROR(INDEX(CONTRATOS!$F$2:$F$601,MATCH($A268,CONTRATOS!$A$2:$A$601,0)),""))</f>
        <v/>
      </c>
      <c r="P268" s="12">
        <f>IF($A268="","",IFERROR(INDEX(CONTRATOS!$M$2:$M$601,MATCH($A268,CONTRATOS!$A$2:$A$601,0)),""))</f>
        <v/>
      </c>
      <c r="Q268" s="12">
        <f>IF($A268="","",IF(COUNTIF(CONTRATOS!$A$2:$A$601,$A268)=0,"El contrato no existe en CONTRATOS; ","")&amp;IF($B268="","Falta sujeto; ",IF(COUNTIF(SUJETOS!$A$2:$A$601,$B268)=0,"El sujeto no existe en SUJETOS; ",""))&amp;IF($E268="","Falta porcentaje; ","")&amp;IF(N268&gt;1.0001,"Los porcentajes del contrato suman más de 100 %; ","")&amp;IF(AND($C268="Individual",$E268&lt;&gt;"",$E268&lt;&gt;1),"Individual debe ser 100 %; ","")&amp;IF(AND($C268&lt;&gt;"Individual",$C268&lt;&gt;"",$E268=1),"Consorcio o UT con 100 %: revise; ","")&amp;IF(COUNTIFS($A$2:$A$601,$A268,$B$2:$B$601,$B268)&gt;1,"Participación repetida; ","")&amp;IF(AND(IFERROR(INDEX(SUJETOS!$B$2:$B$601,MATCH($B268,SUJETOS!$A$2:$A$601,0)),"")="Persona natural",$G268=""),"Persona natural sin cargo; ",""))</f>
        <v/>
      </c>
      <c r="R268" s="12">
        <f>IF($A268="","",IFERROR(IF(LEN(INDEX(SUJETOS!$F$2:$F$601,MATCH($B268,SUJETOS!$A$2:$A$601,0)))&gt;0,INDEX(SUJETOS!$F$2:$F$601,MATCH($B268,SUJETOS!$A$2:$A$601,0)),$B268),$B268))</f>
        <v/>
      </c>
    </row>
    <row r="269">
      <c r="E269" s="18" t="n"/>
      <c r="K269" s="13">
        <f>IF(OR($A269="",$E269=""),"",IFERROR(E269*INDEX(CONTRATOS!$P$2:$P$601,MATCH($A269,CONTRATOS!$A$2:$A$601,0)),""))</f>
        <v/>
      </c>
      <c r="L269" s="17">
        <f>IF(OR($A269="",$E269=""),"",IFERROR(E269*INDEX(CONTRATOS!$Z$2:$Z$601,MATCH($A269,CONTRATOS!$A$2:$A$601,0)),""))</f>
        <v/>
      </c>
      <c r="M269" s="13">
        <f>IF(OR($A269="",$E269=""),"",IFERROR(E269*INDEX(CONTRATOS!$AA$2:$AA$601,MATCH($A269,CONTRATOS!$A$2:$A$601,0)),""))</f>
        <v/>
      </c>
      <c r="N269" s="19">
        <f>IF($A269="","",SUMIFS($E$2:$E$601,$A$2:$A$601,$A269))</f>
        <v/>
      </c>
      <c r="O269" s="12">
        <f>IF($A269="","",IFERROR(INDEX(CONTRATOS!$F$2:$F$601,MATCH($A269,CONTRATOS!$A$2:$A$601,0)),""))</f>
        <v/>
      </c>
      <c r="P269" s="12">
        <f>IF($A269="","",IFERROR(INDEX(CONTRATOS!$M$2:$M$601,MATCH($A269,CONTRATOS!$A$2:$A$601,0)),""))</f>
        <v/>
      </c>
      <c r="Q269" s="12">
        <f>IF($A269="","",IF(COUNTIF(CONTRATOS!$A$2:$A$601,$A269)=0,"El contrato no existe en CONTRATOS; ","")&amp;IF($B269="","Falta sujeto; ",IF(COUNTIF(SUJETOS!$A$2:$A$601,$B269)=0,"El sujeto no existe en SUJETOS; ",""))&amp;IF($E269="","Falta porcentaje; ","")&amp;IF(N269&gt;1.0001,"Los porcentajes del contrato suman más de 100 %; ","")&amp;IF(AND($C269="Individual",$E269&lt;&gt;"",$E269&lt;&gt;1),"Individual debe ser 100 %; ","")&amp;IF(AND($C269&lt;&gt;"Individual",$C269&lt;&gt;"",$E269=1),"Consorcio o UT con 100 %: revise; ","")&amp;IF(COUNTIFS($A$2:$A$601,$A269,$B$2:$B$601,$B269)&gt;1,"Participación repetida; ","")&amp;IF(AND(IFERROR(INDEX(SUJETOS!$B$2:$B$601,MATCH($B269,SUJETOS!$A$2:$A$601,0)),"")="Persona natural",$G269=""),"Persona natural sin cargo; ",""))</f>
        <v/>
      </c>
      <c r="R269" s="12">
        <f>IF($A269="","",IFERROR(IF(LEN(INDEX(SUJETOS!$F$2:$F$601,MATCH($B269,SUJETOS!$A$2:$A$601,0)))&gt;0,INDEX(SUJETOS!$F$2:$F$601,MATCH($B269,SUJETOS!$A$2:$A$601,0)),$B269),$B269))</f>
        <v/>
      </c>
    </row>
    <row r="270">
      <c r="E270" s="18" t="n"/>
      <c r="K270" s="13">
        <f>IF(OR($A270="",$E270=""),"",IFERROR(E270*INDEX(CONTRATOS!$P$2:$P$601,MATCH($A270,CONTRATOS!$A$2:$A$601,0)),""))</f>
        <v/>
      </c>
      <c r="L270" s="17">
        <f>IF(OR($A270="",$E270=""),"",IFERROR(E270*INDEX(CONTRATOS!$Z$2:$Z$601,MATCH($A270,CONTRATOS!$A$2:$A$601,0)),""))</f>
        <v/>
      </c>
      <c r="M270" s="13">
        <f>IF(OR($A270="",$E270=""),"",IFERROR(E270*INDEX(CONTRATOS!$AA$2:$AA$601,MATCH($A270,CONTRATOS!$A$2:$A$601,0)),""))</f>
        <v/>
      </c>
      <c r="N270" s="19">
        <f>IF($A270="","",SUMIFS($E$2:$E$601,$A$2:$A$601,$A270))</f>
        <v/>
      </c>
      <c r="O270" s="12">
        <f>IF($A270="","",IFERROR(INDEX(CONTRATOS!$F$2:$F$601,MATCH($A270,CONTRATOS!$A$2:$A$601,0)),""))</f>
        <v/>
      </c>
      <c r="P270" s="12">
        <f>IF($A270="","",IFERROR(INDEX(CONTRATOS!$M$2:$M$601,MATCH($A270,CONTRATOS!$A$2:$A$601,0)),""))</f>
        <v/>
      </c>
      <c r="Q270" s="12">
        <f>IF($A270="","",IF(COUNTIF(CONTRATOS!$A$2:$A$601,$A270)=0,"El contrato no existe en CONTRATOS; ","")&amp;IF($B270="","Falta sujeto; ",IF(COUNTIF(SUJETOS!$A$2:$A$601,$B270)=0,"El sujeto no existe en SUJETOS; ",""))&amp;IF($E270="","Falta porcentaje; ","")&amp;IF(N270&gt;1.0001,"Los porcentajes del contrato suman más de 100 %; ","")&amp;IF(AND($C270="Individual",$E270&lt;&gt;"",$E270&lt;&gt;1),"Individual debe ser 100 %; ","")&amp;IF(AND($C270&lt;&gt;"Individual",$C270&lt;&gt;"",$E270=1),"Consorcio o UT con 100 %: revise; ","")&amp;IF(COUNTIFS($A$2:$A$601,$A270,$B$2:$B$601,$B270)&gt;1,"Participación repetida; ","")&amp;IF(AND(IFERROR(INDEX(SUJETOS!$B$2:$B$601,MATCH($B270,SUJETOS!$A$2:$A$601,0)),"")="Persona natural",$G270=""),"Persona natural sin cargo; ",""))</f>
        <v/>
      </c>
      <c r="R270" s="12">
        <f>IF($A270="","",IFERROR(IF(LEN(INDEX(SUJETOS!$F$2:$F$601,MATCH($B270,SUJETOS!$A$2:$A$601,0)))&gt;0,INDEX(SUJETOS!$F$2:$F$601,MATCH($B270,SUJETOS!$A$2:$A$601,0)),$B270),$B270))</f>
        <v/>
      </c>
    </row>
    <row r="271">
      <c r="E271" s="18" t="n"/>
      <c r="K271" s="13">
        <f>IF(OR($A271="",$E271=""),"",IFERROR(E271*INDEX(CONTRATOS!$P$2:$P$601,MATCH($A271,CONTRATOS!$A$2:$A$601,0)),""))</f>
        <v/>
      </c>
      <c r="L271" s="17">
        <f>IF(OR($A271="",$E271=""),"",IFERROR(E271*INDEX(CONTRATOS!$Z$2:$Z$601,MATCH($A271,CONTRATOS!$A$2:$A$601,0)),""))</f>
        <v/>
      </c>
      <c r="M271" s="13">
        <f>IF(OR($A271="",$E271=""),"",IFERROR(E271*INDEX(CONTRATOS!$AA$2:$AA$601,MATCH($A271,CONTRATOS!$A$2:$A$601,0)),""))</f>
        <v/>
      </c>
      <c r="N271" s="19">
        <f>IF($A271="","",SUMIFS($E$2:$E$601,$A$2:$A$601,$A271))</f>
        <v/>
      </c>
      <c r="O271" s="12">
        <f>IF($A271="","",IFERROR(INDEX(CONTRATOS!$F$2:$F$601,MATCH($A271,CONTRATOS!$A$2:$A$601,0)),""))</f>
        <v/>
      </c>
      <c r="P271" s="12">
        <f>IF($A271="","",IFERROR(INDEX(CONTRATOS!$M$2:$M$601,MATCH($A271,CONTRATOS!$A$2:$A$601,0)),""))</f>
        <v/>
      </c>
      <c r="Q271" s="12">
        <f>IF($A271="","",IF(COUNTIF(CONTRATOS!$A$2:$A$601,$A271)=0,"El contrato no existe en CONTRATOS; ","")&amp;IF($B271="","Falta sujeto; ",IF(COUNTIF(SUJETOS!$A$2:$A$601,$B271)=0,"El sujeto no existe en SUJETOS; ",""))&amp;IF($E271="","Falta porcentaje; ","")&amp;IF(N271&gt;1.0001,"Los porcentajes del contrato suman más de 100 %; ","")&amp;IF(AND($C271="Individual",$E271&lt;&gt;"",$E271&lt;&gt;1),"Individual debe ser 100 %; ","")&amp;IF(AND($C271&lt;&gt;"Individual",$C271&lt;&gt;"",$E271=1),"Consorcio o UT con 100 %: revise; ","")&amp;IF(COUNTIFS($A$2:$A$601,$A271,$B$2:$B$601,$B271)&gt;1,"Participación repetida; ","")&amp;IF(AND(IFERROR(INDEX(SUJETOS!$B$2:$B$601,MATCH($B271,SUJETOS!$A$2:$A$601,0)),"")="Persona natural",$G271=""),"Persona natural sin cargo; ",""))</f>
        <v/>
      </c>
      <c r="R271" s="12">
        <f>IF($A271="","",IFERROR(IF(LEN(INDEX(SUJETOS!$F$2:$F$601,MATCH($B271,SUJETOS!$A$2:$A$601,0)))&gt;0,INDEX(SUJETOS!$F$2:$F$601,MATCH($B271,SUJETOS!$A$2:$A$601,0)),$B271),$B271))</f>
        <v/>
      </c>
    </row>
    <row r="272">
      <c r="E272" s="18" t="n"/>
      <c r="K272" s="13">
        <f>IF(OR($A272="",$E272=""),"",IFERROR(E272*INDEX(CONTRATOS!$P$2:$P$601,MATCH($A272,CONTRATOS!$A$2:$A$601,0)),""))</f>
        <v/>
      </c>
      <c r="L272" s="17">
        <f>IF(OR($A272="",$E272=""),"",IFERROR(E272*INDEX(CONTRATOS!$Z$2:$Z$601,MATCH($A272,CONTRATOS!$A$2:$A$601,0)),""))</f>
        <v/>
      </c>
      <c r="M272" s="13">
        <f>IF(OR($A272="",$E272=""),"",IFERROR(E272*INDEX(CONTRATOS!$AA$2:$AA$601,MATCH($A272,CONTRATOS!$A$2:$A$601,0)),""))</f>
        <v/>
      </c>
      <c r="N272" s="19">
        <f>IF($A272="","",SUMIFS($E$2:$E$601,$A$2:$A$601,$A272))</f>
        <v/>
      </c>
      <c r="O272" s="12">
        <f>IF($A272="","",IFERROR(INDEX(CONTRATOS!$F$2:$F$601,MATCH($A272,CONTRATOS!$A$2:$A$601,0)),""))</f>
        <v/>
      </c>
      <c r="P272" s="12">
        <f>IF($A272="","",IFERROR(INDEX(CONTRATOS!$M$2:$M$601,MATCH($A272,CONTRATOS!$A$2:$A$601,0)),""))</f>
        <v/>
      </c>
      <c r="Q272" s="12">
        <f>IF($A272="","",IF(COUNTIF(CONTRATOS!$A$2:$A$601,$A272)=0,"El contrato no existe en CONTRATOS; ","")&amp;IF($B272="","Falta sujeto; ",IF(COUNTIF(SUJETOS!$A$2:$A$601,$B272)=0,"El sujeto no existe en SUJETOS; ",""))&amp;IF($E272="","Falta porcentaje; ","")&amp;IF(N272&gt;1.0001,"Los porcentajes del contrato suman más de 100 %; ","")&amp;IF(AND($C272="Individual",$E272&lt;&gt;"",$E272&lt;&gt;1),"Individual debe ser 100 %; ","")&amp;IF(AND($C272&lt;&gt;"Individual",$C272&lt;&gt;"",$E272=1),"Consorcio o UT con 100 %: revise; ","")&amp;IF(COUNTIFS($A$2:$A$601,$A272,$B$2:$B$601,$B272)&gt;1,"Participación repetida; ","")&amp;IF(AND(IFERROR(INDEX(SUJETOS!$B$2:$B$601,MATCH($B272,SUJETOS!$A$2:$A$601,0)),"")="Persona natural",$G272=""),"Persona natural sin cargo; ",""))</f>
        <v/>
      </c>
      <c r="R272" s="12">
        <f>IF($A272="","",IFERROR(IF(LEN(INDEX(SUJETOS!$F$2:$F$601,MATCH($B272,SUJETOS!$A$2:$A$601,0)))&gt;0,INDEX(SUJETOS!$F$2:$F$601,MATCH($B272,SUJETOS!$A$2:$A$601,0)),$B272),$B272))</f>
        <v/>
      </c>
    </row>
    <row r="273">
      <c r="E273" s="18" t="n"/>
      <c r="K273" s="13">
        <f>IF(OR($A273="",$E273=""),"",IFERROR(E273*INDEX(CONTRATOS!$P$2:$P$601,MATCH($A273,CONTRATOS!$A$2:$A$601,0)),""))</f>
        <v/>
      </c>
      <c r="L273" s="17">
        <f>IF(OR($A273="",$E273=""),"",IFERROR(E273*INDEX(CONTRATOS!$Z$2:$Z$601,MATCH($A273,CONTRATOS!$A$2:$A$601,0)),""))</f>
        <v/>
      </c>
      <c r="M273" s="13">
        <f>IF(OR($A273="",$E273=""),"",IFERROR(E273*INDEX(CONTRATOS!$AA$2:$AA$601,MATCH($A273,CONTRATOS!$A$2:$A$601,0)),""))</f>
        <v/>
      </c>
      <c r="N273" s="19">
        <f>IF($A273="","",SUMIFS($E$2:$E$601,$A$2:$A$601,$A273))</f>
        <v/>
      </c>
      <c r="O273" s="12">
        <f>IF($A273="","",IFERROR(INDEX(CONTRATOS!$F$2:$F$601,MATCH($A273,CONTRATOS!$A$2:$A$601,0)),""))</f>
        <v/>
      </c>
      <c r="P273" s="12">
        <f>IF($A273="","",IFERROR(INDEX(CONTRATOS!$M$2:$M$601,MATCH($A273,CONTRATOS!$A$2:$A$601,0)),""))</f>
        <v/>
      </c>
      <c r="Q273" s="12">
        <f>IF($A273="","",IF(COUNTIF(CONTRATOS!$A$2:$A$601,$A273)=0,"El contrato no existe en CONTRATOS; ","")&amp;IF($B273="","Falta sujeto; ",IF(COUNTIF(SUJETOS!$A$2:$A$601,$B273)=0,"El sujeto no existe en SUJETOS; ",""))&amp;IF($E273="","Falta porcentaje; ","")&amp;IF(N273&gt;1.0001,"Los porcentajes del contrato suman más de 100 %; ","")&amp;IF(AND($C273="Individual",$E273&lt;&gt;"",$E273&lt;&gt;1),"Individual debe ser 100 %; ","")&amp;IF(AND($C273&lt;&gt;"Individual",$C273&lt;&gt;"",$E273=1),"Consorcio o UT con 100 %: revise; ","")&amp;IF(COUNTIFS($A$2:$A$601,$A273,$B$2:$B$601,$B273)&gt;1,"Participación repetida; ","")&amp;IF(AND(IFERROR(INDEX(SUJETOS!$B$2:$B$601,MATCH($B273,SUJETOS!$A$2:$A$601,0)),"")="Persona natural",$G273=""),"Persona natural sin cargo; ",""))</f>
        <v/>
      </c>
      <c r="R273" s="12">
        <f>IF($A273="","",IFERROR(IF(LEN(INDEX(SUJETOS!$F$2:$F$601,MATCH($B273,SUJETOS!$A$2:$A$601,0)))&gt;0,INDEX(SUJETOS!$F$2:$F$601,MATCH($B273,SUJETOS!$A$2:$A$601,0)),$B273),$B273))</f>
        <v/>
      </c>
    </row>
    <row r="274">
      <c r="E274" s="18" t="n"/>
      <c r="K274" s="13">
        <f>IF(OR($A274="",$E274=""),"",IFERROR(E274*INDEX(CONTRATOS!$P$2:$P$601,MATCH($A274,CONTRATOS!$A$2:$A$601,0)),""))</f>
        <v/>
      </c>
      <c r="L274" s="17">
        <f>IF(OR($A274="",$E274=""),"",IFERROR(E274*INDEX(CONTRATOS!$Z$2:$Z$601,MATCH($A274,CONTRATOS!$A$2:$A$601,0)),""))</f>
        <v/>
      </c>
      <c r="M274" s="13">
        <f>IF(OR($A274="",$E274=""),"",IFERROR(E274*INDEX(CONTRATOS!$AA$2:$AA$601,MATCH($A274,CONTRATOS!$A$2:$A$601,0)),""))</f>
        <v/>
      </c>
      <c r="N274" s="19">
        <f>IF($A274="","",SUMIFS($E$2:$E$601,$A$2:$A$601,$A274))</f>
        <v/>
      </c>
      <c r="O274" s="12">
        <f>IF($A274="","",IFERROR(INDEX(CONTRATOS!$F$2:$F$601,MATCH($A274,CONTRATOS!$A$2:$A$601,0)),""))</f>
        <v/>
      </c>
      <c r="P274" s="12">
        <f>IF($A274="","",IFERROR(INDEX(CONTRATOS!$M$2:$M$601,MATCH($A274,CONTRATOS!$A$2:$A$601,0)),""))</f>
        <v/>
      </c>
      <c r="Q274" s="12">
        <f>IF($A274="","",IF(COUNTIF(CONTRATOS!$A$2:$A$601,$A274)=0,"El contrato no existe en CONTRATOS; ","")&amp;IF($B274="","Falta sujeto; ",IF(COUNTIF(SUJETOS!$A$2:$A$601,$B274)=0,"El sujeto no existe en SUJETOS; ",""))&amp;IF($E274="","Falta porcentaje; ","")&amp;IF(N274&gt;1.0001,"Los porcentajes del contrato suman más de 100 %; ","")&amp;IF(AND($C274="Individual",$E274&lt;&gt;"",$E274&lt;&gt;1),"Individual debe ser 100 %; ","")&amp;IF(AND($C274&lt;&gt;"Individual",$C274&lt;&gt;"",$E274=1),"Consorcio o UT con 100 %: revise; ","")&amp;IF(COUNTIFS($A$2:$A$601,$A274,$B$2:$B$601,$B274)&gt;1,"Participación repetida; ","")&amp;IF(AND(IFERROR(INDEX(SUJETOS!$B$2:$B$601,MATCH($B274,SUJETOS!$A$2:$A$601,0)),"")="Persona natural",$G274=""),"Persona natural sin cargo; ",""))</f>
        <v/>
      </c>
      <c r="R274" s="12">
        <f>IF($A274="","",IFERROR(IF(LEN(INDEX(SUJETOS!$F$2:$F$601,MATCH($B274,SUJETOS!$A$2:$A$601,0)))&gt;0,INDEX(SUJETOS!$F$2:$F$601,MATCH($B274,SUJETOS!$A$2:$A$601,0)),$B274),$B274))</f>
        <v/>
      </c>
    </row>
    <row r="275">
      <c r="E275" s="18" t="n"/>
      <c r="K275" s="13">
        <f>IF(OR($A275="",$E275=""),"",IFERROR(E275*INDEX(CONTRATOS!$P$2:$P$601,MATCH($A275,CONTRATOS!$A$2:$A$601,0)),""))</f>
        <v/>
      </c>
      <c r="L275" s="17">
        <f>IF(OR($A275="",$E275=""),"",IFERROR(E275*INDEX(CONTRATOS!$Z$2:$Z$601,MATCH($A275,CONTRATOS!$A$2:$A$601,0)),""))</f>
        <v/>
      </c>
      <c r="M275" s="13">
        <f>IF(OR($A275="",$E275=""),"",IFERROR(E275*INDEX(CONTRATOS!$AA$2:$AA$601,MATCH($A275,CONTRATOS!$A$2:$A$601,0)),""))</f>
        <v/>
      </c>
      <c r="N275" s="19">
        <f>IF($A275="","",SUMIFS($E$2:$E$601,$A$2:$A$601,$A275))</f>
        <v/>
      </c>
      <c r="O275" s="12">
        <f>IF($A275="","",IFERROR(INDEX(CONTRATOS!$F$2:$F$601,MATCH($A275,CONTRATOS!$A$2:$A$601,0)),""))</f>
        <v/>
      </c>
      <c r="P275" s="12">
        <f>IF($A275="","",IFERROR(INDEX(CONTRATOS!$M$2:$M$601,MATCH($A275,CONTRATOS!$A$2:$A$601,0)),""))</f>
        <v/>
      </c>
      <c r="Q275" s="12">
        <f>IF($A275="","",IF(COUNTIF(CONTRATOS!$A$2:$A$601,$A275)=0,"El contrato no existe en CONTRATOS; ","")&amp;IF($B275="","Falta sujeto; ",IF(COUNTIF(SUJETOS!$A$2:$A$601,$B275)=0,"El sujeto no existe en SUJETOS; ",""))&amp;IF($E275="","Falta porcentaje; ","")&amp;IF(N275&gt;1.0001,"Los porcentajes del contrato suman más de 100 %; ","")&amp;IF(AND($C275="Individual",$E275&lt;&gt;"",$E275&lt;&gt;1),"Individual debe ser 100 %; ","")&amp;IF(AND($C275&lt;&gt;"Individual",$C275&lt;&gt;"",$E275=1),"Consorcio o UT con 100 %: revise; ","")&amp;IF(COUNTIFS($A$2:$A$601,$A275,$B$2:$B$601,$B275)&gt;1,"Participación repetida; ","")&amp;IF(AND(IFERROR(INDEX(SUJETOS!$B$2:$B$601,MATCH($B275,SUJETOS!$A$2:$A$601,0)),"")="Persona natural",$G275=""),"Persona natural sin cargo; ",""))</f>
        <v/>
      </c>
      <c r="R275" s="12">
        <f>IF($A275="","",IFERROR(IF(LEN(INDEX(SUJETOS!$F$2:$F$601,MATCH($B275,SUJETOS!$A$2:$A$601,0)))&gt;0,INDEX(SUJETOS!$F$2:$F$601,MATCH($B275,SUJETOS!$A$2:$A$601,0)),$B275),$B275))</f>
        <v/>
      </c>
    </row>
    <row r="276">
      <c r="E276" s="18" t="n"/>
      <c r="K276" s="13">
        <f>IF(OR($A276="",$E276=""),"",IFERROR(E276*INDEX(CONTRATOS!$P$2:$P$601,MATCH($A276,CONTRATOS!$A$2:$A$601,0)),""))</f>
        <v/>
      </c>
      <c r="L276" s="17">
        <f>IF(OR($A276="",$E276=""),"",IFERROR(E276*INDEX(CONTRATOS!$Z$2:$Z$601,MATCH($A276,CONTRATOS!$A$2:$A$601,0)),""))</f>
        <v/>
      </c>
      <c r="M276" s="13">
        <f>IF(OR($A276="",$E276=""),"",IFERROR(E276*INDEX(CONTRATOS!$AA$2:$AA$601,MATCH($A276,CONTRATOS!$A$2:$A$601,0)),""))</f>
        <v/>
      </c>
      <c r="N276" s="19">
        <f>IF($A276="","",SUMIFS($E$2:$E$601,$A$2:$A$601,$A276))</f>
        <v/>
      </c>
      <c r="O276" s="12">
        <f>IF($A276="","",IFERROR(INDEX(CONTRATOS!$F$2:$F$601,MATCH($A276,CONTRATOS!$A$2:$A$601,0)),""))</f>
        <v/>
      </c>
      <c r="P276" s="12">
        <f>IF($A276="","",IFERROR(INDEX(CONTRATOS!$M$2:$M$601,MATCH($A276,CONTRATOS!$A$2:$A$601,0)),""))</f>
        <v/>
      </c>
      <c r="Q276" s="12">
        <f>IF($A276="","",IF(COUNTIF(CONTRATOS!$A$2:$A$601,$A276)=0,"El contrato no existe en CONTRATOS; ","")&amp;IF($B276="","Falta sujeto; ",IF(COUNTIF(SUJETOS!$A$2:$A$601,$B276)=0,"El sujeto no existe en SUJETOS; ",""))&amp;IF($E276="","Falta porcentaje; ","")&amp;IF(N276&gt;1.0001,"Los porcentajes del contrato suman más de 100 %; ","")&amp;IF(AND($C276="Individual",$E276&lt;&gt;"",$E276&lt;&gt;1),"Individual debe ser 100 %; ","")&amp;IF(AND($C276&lt;&gt;"Individual",$C276&lt;&gt;"",$E276=1),"Consorcio o UT con 100 %: revise; ","")&amp;IF(COUNTIFS($A$2:$A$601,$A276,$B$2:$B$601,$B276)&gt;1,"Participación repetida; ","")&amp;IF(AND(IFERROR(INDEX(SUJETOS!$B$2:$B$601,MATCH($B276,SUJETOS!$A$2:$A$601,0)),"")="Persona natural",$G276=""),"Persona natural sin cargo; ",""))</f>
        <v/>
      </c>
      <c r="R276" s="12">
        <f>IF($A276="","",IFERROR(IF(LEN(INDEX(SUJETOS!$F$2:$F$601,MATCH($B276,SUJETOS!$A$2:$A$601,0)))&gt;0,INDEX(SUJETOS!$F$2:$F$601,MATCH($B276,SUJETOS!$A$2:$A$601,0)),$B276),$B276))</f>
        <v/>
      </c>
    </row>
    <row r="277">
      <c r="E277" s="18" t="n"/>
      <c r="K277" s="13">
        <f>IF(OR($A277="",$E277=""),"",IFERROR(E277*INDEX(CONTRATOS!$P$2:$P$601,MATCH($A277,CONTRATOS!$A$2:$A$601,0)),""))</f>
        <v/>
      </c>
      <c r="L277" s="17">
        <f>IF(OR($A277="",$E277=""),"",IFERROR(E277*INDEX(CONTRATOS!$Z$2:$Z$601,MATCH($A277,CONTRATOS!$A$2:$A$601,0)),""))</f>
        <v/>
      </c>
      <c r="M277" s="13">
        <f>IF(OR($A277="",$E277=""),"",IFERROR(E277*INDEX(CONTRATOS!$AA$2:$AA$601,MATCH($A277,CONTRATOS!$A$2:$A$601,0)),""))</f>
        <v/>
      </c>
      <c r="N277" s="19">
        <f>IF($A277="","",SUMIFS($E$2:$E$601,$A$2:$A$601,$A277))</f>
        <v/>
      </c>
      <c r="O277" s="12">
        <f>IF($A277="","",IFERROR(INDEX(CONTRATOS!$F$2:$F$601,MATCH($A277,CONTRATOS!$A$2:$A$601,0)),""))</f>
        <v/>
      </c>
      <c r="P277" s="12">
        <f>IF($A277="","",IFERROR(INDEX(CONTRATOS!$M$2:$M$601,MATCH($A277,CONTRATOS!$A$2:$A$601,0)),""))</f>
        <v/>
      </c>
      <c r="Q277" s="12">
        <f>IF($A277="","",IF(COUNTIF(CONTRATOS!$A$2:$A$601,$A277)=0,"El contrato no existe en CONTRATOS; ","")&amp;IF($B277="","Falta sujeto; ",IF(COUNTIF(SUJETOS!$A$2:$A$601,$B277)=0,"El sujeto no existe en SUJETOS; ",""))&amp;IF($E277="","Falta porcentaje; ","")&amp;IF(N277&gt;1.0001,"Los porcentajes del contrato suman más de 100 %; ","")&amp;IF(AND($C277="Individual",$E277&lt;&gt;"",$E277&lt;&gt;1),"Individual debe ser 100 %; ","")&amp;IF(AND($C277&lt;&gt;"Individual",$C277&lt;&gt;"",$E277=1),"Consorcio o UT con 100 %: revise; ","")&amp;IF(COUNTIFS($A$2:$A$601,$A277,$B$2:$B$601,$B277)&gt;1,"Participación repetida; ","")&amp;IF(AND(IFERROR(INDEX(SUJETOS!$B$2:$B$601,MATCH($B277,SUJETOS!$A$2:$A$601,0)),"")="Persona natural",$G277=""),"Persona natural sin cargo; ",""))</f>
        <v/>
      </c>
      <c r="R277" s="12">
        <f>IF($A277="","",IFERROR(IF(LEN(INDEX(SUJETOS!$F$2:$F$601,MATCH($B277,SUJETOS!$A$2:$A$601,0)))&gt;0,INDEX(SUJETOS!$F$2:$F$601,MATCH($B277,SUJETOS!$A$2:$A$601,0)),$B277),$B277))</f>
        <v/>
      </c>
    </row>
    <row r="278">
      <c r="E278" s="18" t="n"/>
      <c r="K278" s="13">
        <f>IF(OR($A278="",$E278=""),"",IFERROR(E278*INDEX(CONTRATOS!$P$2:$P$601,MATCH($A278,CONTRATOS!$A$2:$A$601,0)),""))</f>
        <v/>
      </c>
      <c r="L278" s="17">
        <f>IF(OR($A278="",$E278=""),"",IFERROR(E278*INDEX(CONTRATOS!$Z$2:$Z$601,MATCH($A278,CONTRATOS!$A$2:$A$601,0)),""))</f>
        <v/>
      </c>
      <c r="M278" s="13">
        <f>IF(OR($A278="",$E278=""),"",IFERROR(E278*INDEX(CONTRATOS!$AA$2:$AA$601,MATCH($A278,CONTRATOS!$A$2:$A$601,0)),""))</f>
        <v/>
      </c>
      <c r="N278" s="19">
        <f>IF($A278="","",SUMIFS($E$2:$E$601,$A$2:$A$601,$A278))</f>
        <v/>
      </c>
      <c r="O278" s="12">
        <f>IF($A278="","",IFERROR(INDEX(CONTRATOS!$F$2:$F$601,MATCH($A278,CONTRATOS!$A$2:$A$601,0)),""))</f>
        <v/>
      </c>
      <c r="P278" s="12">
        <f>IF($A278="","",IFERROR(INDEX(CONTRATOS!$M$2:$M$601,MATCH($A278,CONTRATOS!$A$2:$A$601,0)),""))</f>
        <v/>
      </c>
      <c r="Q278" s="12">
        <f>IF($A278="","",IF(COUNTIF(CONTRATOS!$A$2:$A$601,$A278)=0,"El contrato no existe en CONTRATOS; ","")&amp;IF($B278="","Falta sujeto; ",IF(COUNTIF(SUJETOS!$A$2:$A$601,$B278)=0,"El sujeto no existe en SUJETOS; ",""))&amp;IF($E278="","Falta porcentaje; ","")&amp;IF(N278&gt;1.0001,"Los porcentajes del contrato suman más de 100 %; ","")&amp;IF(AND($C278="Individual",$E278&lt;&gt;"",$E278&lt;&gt;1),"Individual debe ser 100 %; ","")&amp;IF(AND($C278&lt;&gt;"Individual",$C278&lt;&gt;"",$E278=1),"Consorcio o UT con 100 %: revise; ","")&amp;IF(COUNTIFS($A$2:$A$601,$A278,$B$2:$B$601,$B278)&gt;1,"Participación repetida; ","")&amp;IF(AND(IFERROR(INDEX(SUJETOS!$B$2:$B$601,MATCH($B278,SUJETOS!$A$2:$A$601,0)),"")="Persona natural",$G278=""),"Persona natural sin cargo; ",""))</f>
        <v/>
      </c>
      <c r="R278" s="12">
        <f>IF($A278="","",IFERROR(IF(LEN(INDEX(SUJETOS!$F$2:$F$601,MATCH($B278,SUJETOS!$A$2:$A$601,0)))&gt;0,INDEX(SUJETOS!$F$2:$F$601,MATCH($B278,SUJETOS!$A$2:$A$601,0)),$B278),$B278))</f>
        <v/>
      </c>
    </row>
    <row r="279">
      <c r="E279" s="18" t="n"/>
      <c r="K279" s="13">
        <f>IF(OR($A279="",$E279=""),"",IFERROR(E279*INDEX(CONTRATOS!$P$2:$P$601,MATCH($A279,CONTRATOS!$A$2:$A$601,0)),""))</f>
        <v/>
      </c>
      <c r="L279" s="17">
        <f>IF(OR($A279="",$E279=""),"",IFERROR(E279*INDEX(CONTRATOS!$Z$2:$Z$601,MATCH($A279,CONTRATOS!$A$2:$A$601,0)),""))</f>
        <v/>
      </c>
      <c r="M279" s="13">
        <f>IF(OR($A279="",$E279=""),"",IFERROR(E279*INDEX(CONTRATOS!$AA$2:$AA$601,MATCH($A279,CONTRATOS!$A$2:$A$601,0)),""))</f>
        <v/>
      </c>
      <c r="N279" s="19">
        <f>IF($A279="","",SUMIFS($E$2:$E$601,$A$2:$A$601,$A279))</f>
        <v/>
      </c>
      <c r="O279" s="12">
        <f>IF($A279="","",IFERROR(INDEX(CONTRATOS!$F$2:$F$601,MATCH($A279,CONTRATOS!$A$2:$A$601,0)),""))</f>
        <v/>
      </c>
      <c r="P279" s="12">
        <f>IF($A279="","",IFERROR(INDEX(CONTRATOS!$M$2:$M$601,MATCH($A279,CONTRATOS!$A$2:$A$601,0)),""))</f>
        <v/>
      </c>
      <c r="Q279" s="12">
        <f>IF($A279="","",IF(COUNTIF(CONTRATOS!$A$2:$A$601,$A279)=0,"El contrato no existe en CONTRATOS; ","")&amp;IF($B279="","Falta sujeto; ",IF(COUNTIF(SUJETOS!$A$2:$A$601,$B279)=0,"El sujeto no existe en SUJETOS; ",""))&amp;IF($E279="","Falta porcentaje; ","")&amp;IF(N279&gt;1.0001,"Los porcentajes del contrato suman más de 100 %; ","")&amp;IF(AND($C279="Individual",$E279&lt;&gt;"",$E279&lt;&gt;1),"Individual debe ser 100 %; ","")&amp;IF(AND($C279&lt;&gt;"Individual",$C279&lt;&gt;"",$E279=1),"Consorcio o UT con 100 %: revise; ","")&amp;IF(COUNTIFS($A$2:$A$601,$A279,$B$2:$B$601,$B279)&gt;1,"Participación repetida; ","")&amp;IF(AND(IFERROR(INDEX(SUJETOS!$B$2:$B$601,MATCH($B279,SUJETOS!$A$2:$A$601,0)),"")="Persona natural",$G279=""),"Persona natural sin cargo; ",""))</f>
        <v/>
      </c>
      <c r="R279" s="12">
        <f>IF($A279="","",IFERROR(IF(LEN(INDEX(SUJETOS!$F$2:$F$601,MATCH($B279,SUJETOS!$A$2:$A$601,0)))&gt;0,INDEX(SUJETOS!$F$2:$F$601,MATCH($B279,SUJETOS!$A$2:$A$601,0)),$B279),$B279))</f>
        <v/>
      </c>
    </row>
    <row r="280">
      <c r="E280" s="18" t="n"/>
      <c r="K280" s="13">
        <f>IF(OR($A280="",$E280=""),"",IFERROR(E280*INDEX(CONTRATOS!$P$2:$P$601,MATCH($A280,CONTRATOS!$A$2:$A$601,0)),""))</f>
        <v/>
      </c>
      <c r="L280" s="17">
        <f>IF(OR($A280="",$E280=""),"",IFERROR(E280*INDEX(CONTRATOS!$Z$2:$Z$601,MATCH($A280,CONTRATOS!$A$2:$A$601,0)),""))</f>
        <v/>
      </c>
      <c r="M280" s="13">
        <f>IF(OR($A280="",$E280=""),"",IFERROR(E280*INDEX(CONTRATOS!$AA$2:$AA$601,MATCH($A280,CONTRATOS!$A$2:$A$601,0)),""))</f>
        <v/>
      </c>
      <c r="N280" s="19">
        <f>IF($A280="","",SUMIFS($E$2:$E$601,$A$2:$A$601,$A280))</f>
        <v/>
      </c>
      <c r="O280" s="12">
        <f>IF($A280="","",IFERROR(INDEX(CONTRATOS!$F$2:$F$601,MATCH($A280,CONTRATOS!$A$2:$A$601,0)),""))</f>
        <v/>
      </c>
      <c r="P280" s="12">
        <f>IF($A280="","",IFERROR(INDEX(CONTRATOS!$M$2:$M$601,MATCH($A280,CONTRATOS!$A$2:$A$601,0)),""))</f>
        <v/>
      </c>
      <c r="Q280" s="12">
        <f>IF($A280="","",IF(COUNTIF(CONTRATOS!$A$2:$A$601,$A280)=0,"El contrato no existe en CONTRATOS; ","")&amp;IF($B280="","Falta sujeto; ",IF(COUNTIF(SUJETOS!$A$2:$A$601,$B280)=0,"El sujeto no existe en SUJETOS; ",""))&amp;IF($E280="","Falta porcentaje; ","")&amp;IF(N280&gt;1.0001,"Los porcentajes del contrato suman más de 100 %; ","")&amp;IF(AND($C280="Individual",$E280&lt;&gt;"",$E280&lt;&gt;1),"Individual debe ser 100 %; ","")&amp;IF(AND($C280&lt;&gt;"Individual",$C280&lt;&gt;"",$E280=1),"Consorcio o UT con 100 %: revise; ","")&amp;IF(COUNTIFS($A$2:$A$601,$A280,$B$2:$B$601,$B280)&gt;1,"Participación repetida; ","")&amp;IF(AND(IFERROR(INDEX(SUJETOS!$B$2:$B$601,MATCH($B280,SUJETOS!$A$2:$A$601,0)),"")="Persona natural",$G280=""),"Persona natural sin cargo; ",""))</f>
        <v/>
      </c>
      <c r="R280" s="12">
        <f>IF($A280="","",IFERROR(IF(LEN(INDEX(SUJETOS!$F$2:$F$601,MATCH($B280,SUJETOS!$A$2:$A$601,0)))&gt;0,INDEX(SUJETOS!$F$2:$F$601,MATCH($B280,SUJETOS!$A$2:$A$601,0)),$B280),$B280))</f>
        <v/>
      </c>
    </row>
    <row r="281">
      <c r="E281" s="18" t="n"/>
      <c r="K281" s="13">
        <f>IF(OR($A281="",$E281=""),"",IFERROR(E281*INDEX(CONTRATOS!$P$2:$P$601,MATCH($A281,CONTRATOS!$A$2:$A$601,0)),""))</f>
        <v/>
      </c>
      <c r="L281" s="17">
        <f>IF(OR($A281="",$E281=""),"",IFERROR(E281*INDEX(CONTRATOS!$Z$2:$Z$601,MATCH($A281,CONTRATOS!$A$2:$A$601,0)),""))</f>
        <v/>
      </c>
      <c r="M281" s="13">
        <f>IF(OR($A281="",$E281=""),"",IFERROR(E281*INDEX(CONTRATOS!$AA$2:$AA$601,MATCH($A281,CONTRATOS!$A$2:$A$601,0)),""))</f>
        <v/>
      </c>
      <c r="N281" s="19">
        <f>IF($A281="","",SUMIFS($E$2:$E$601,$A$2:$A$601,$A281))</f>
        <v/>
      </c>
      <c r="O281" s="12">
        <f>IF($A281="","",IFERROR(INDEX(CONTRATOS!$F$2:$F$601,MATCH($A281,CONTRATOS!$A$2:$A$601,0)),""))</f>
        <v/>
      </c>
      <c r="P281" s="12">
        <f>IF($A281="","",IFERROR(INDEX(CONTRATOS!$M$2:$M$601,MATCH($A281,CONTRATOS!$A$2:$A$601,0)),""))</f>
        <v/>
      </c>
      <c r="Q281" s="12">
        <f>IF($A281="","",IF(COUNTIF(CONTRATOS!$A$2:$A$601,$A281)=0,"El contrato no existe en CONTRATOS; ","")&amp;IF($B281="","Falta sujeto; ",IF(COUNTIF(SUJETOS!$A$2:$A$601,$B281)=0,"El sujeto no existe en SUJETOS; ",""))&amp;IF($E281="","Falta porcentaje; ","")&amp;IF(N281&gt;1.0001,"Los porcentajes del contrato suman más de 100 %; ","")&amp;IF(AND($C281="Individual",$E281&lt;&gt;"",$E281&lt;&gt;1),"Individual debe ser 100 %; ","")&amp;IF(AND($C281&lt;&gt;"Individual",$C281&lt;&gt;"",$E281=1),"Consorcio o UT con 100 %: revise; ","")&amp;IF(COUNTIFS($A$2:$A$601,$A281,$B$2:$B$601,$B281)&gt;1,"Participación repetida; ","")&amp;IF(AND(IFERROR(INDEX(SUJETOS!$B$2:$B$601,MATCH($B281,SUJETOS!$A$2:$A$601,0)),"")="Persona natural",$G281=""),"Persona natural sin cargo; ",""))</f>
        <v/>
      </c>
      <c r="R281" s="12">
        <f>IF($A281="","",IFERROR(IF(LEN(INDEX(SUJETOS!$F$2:$F$601,MATCH($B281,SUJETOS!$A$2:$A$601,0)))&gt;0,INDEX(SUJETOS!$F$2:$F$601,MATCH($B281,SUJETOS!$A$2:$A$601,0)),$B281),$B281))</f>
        <v/>
      </c>
    </row>
    <row r="282">
      <c r="E282" s="18" t="n"/>
      <c r="K282" s="13">
        <f>IF(OR($A282="",$E282=""),"",IFERROR(E282*INDEX(CONTRATOS!$P$2:$P$601,MATCH($A282,CONTRATOS!$A$2:$A$601,0)),""))</f>
        <v/>
      </c>
      <c r="L282" s="17">
        <f>IF(OR($A282="",$E282=""),"",IFERROR(E282*INDEX(CONTRATOS!$Z$2:$Z$601,MATCH($A282,CONTRATOS!$A$2:$A$601,0)),""))</f>
        <v/>
      </c>
      <c r="M282" s="13">
        <f>IF(OR($A282="",$E282=""),"",IFERROR(E282*INDEX(CONTRATOS!$AA$2:$AA$601,MATCH($A282,CONTRATOS!$A$2:$A$601,0)),""))</f>
        <v/>
      </c>
      <c r="N282" s="19">
        <f>IF($A282="","",SUMIFS($E$2:$E$601,$A$2:$A$601,$A282))</f>
        <v/>
      </c>
      <c r="O282" s="12">
        <f>IF($A282="","",IFERROR(INDEX(CONTRATOS!$F$2:$F$601,MATCH($A282,CONTRATOS!$A$2:$A$601,0)),""))</f>
        <v/>
      </c>
      <c r="P282" s="12">
        <f>IF($A282="","",IFERROR(INDEX(CONTRATOS!$M$2:$M$601,MATCH($A282,CONTRATOS!$A$2:$A$601,0)),""))</f>
        <v/>
      </c>
      <c r="Q282" s="12">
        <f>IF($A282="","",IF(COUNTIF(CONTRATOS!$A$2:$A$601,$A282)=0,"El contrato no existe en CONTRATOS; ","")&amp;IF($B282="","Falta sujeto; ",IF(COUNTIF(SUJETOS!$A$2:$A$601,$B282)=0,"El sujeto no existe en SUJETOS; ",""))&amp;IF($E282="","Falta porcentaje; ","")&amp;IF(N282&gt;1.0001,"Los porcentajes del contrato suman más de 100 %; ","")&amp;IF(AND($C282="Individual",$E282&lt;&gt;"",$E282&lt;&gt;1),"Individual debe ser 100 %; ","")&amp;IF(AND($C282&lt;&gt;"Individual",$C282&lt;&gt;"",$E282=1),"Consorcio o UT con 100 %: revise; ","")&amp;IF(COUNTIFS($A$2:$A$601,$A282,$B$2:$B$601,$B282)&gt;1,"Participación repetida; ","")&amp;IF(AND(IFERROR(INDEX(SUJETOS!$B$2:$B$601,MATCH($B282,SUJETOS!$A$2:$A$601,0)),"")="Persona natural",$G282=""),"Persona natural sin cargo; ",""))</f>
        <v/>
      </c>
      <c r="R282" s="12">
        <f>IF($A282="","",IFERROR(IF(LEN(INDEX(SUJETOS!$F$2:$F$601,MATCH($B282,SUJETOS!$A$2:$A$601,0)))&gt;0,INDEX(SUJETOS!$F$2:$F$601,MATCH($B282,SUJETOS!$A$2:$A$601,0)),$B282),$B282))</f>
        <v/>
      </c>
    </row>
    <row r="283">
      <c r="E283" s="18" t="n"/>
      <c r="K283" s="13">
        <f>IF(OR($A283="",$E283=""),"",IFERROR(E283*INDEX(CONTRATOS!$P$2:$P$601,MATCH($A283,CONTRATOS!$A$2:$A$601,0)),""))</f>
        <v/>
      </c>
      <c r="L283" s="17">
        <f>IF(OR($A283="",$E283=""),"",IFERROR(E283*INDEX(CONTRATOS!$Z$2:$Z$601,MATCH($A283,CONTRATOS!$A$2:$A$601,0)),""))</f>
        <v/>
      </c>
      <c r="M283" s="13">
        <f>IF(OR($A283="",$E283=""),"",IFERROR(E283*INDEX(CONTRATOS!$AA$2:$AA$601,MATCH($A283,CONTRATOS!$A$2:$A$601,0)),""))</f>
        <v/>
      </c>
      <c r="N283" s="19">
        <f>IF($A283="","",SUMIFS($E$2:$E$601,$A$2:$A$601,$A283))</f>
        <v/>
      </c>
      <c r="O283" s="12">
        <f>IF($A283="","",IFERROR(INDEX(CONTRATOS!$F$2:$F$601,MATCH($A283,CONTRATOS!$A$2:$A$601,0)),""))</f>
        <v/>
      </c>
      <c r="P283" s="12">
        <f>IF($A283="","",IFERROR(INDEX(CONTRATOS!$M$2:$M$601,MATCH($A283,CONTRATOS!$A$2:$A$601,0)),""))</f>
        <v/>
      </c>
      <c r="Q283" s="12">
        <f>IF($A283="","",IF(COUNTIF(CONTRATOS!$A$2:$A$601,$A283)=0,"El contrato no existe en CONTRATOS; ","")&amp;IF($B283="","Falta sujeto; ",IF(COUNTIF(SUJETOS!$A$2:$A$601,$B283)=0,"El sujeto no existe en SUJETOS; ",""))&amp;IF($E283="","Falta porcentaje; ","")&amp;IF(N283&gt;1.0001,"Los porcentajes del contrato suman más de 100 %; ","")&amp;IF(AND($C283="Individual",$E283&lt;&gt;"",$E283&lt;&gt;1),"Individual debe ser 100 %; ","")&amp;IF(AND($C283&lt;&gt;"Individual",$C283&lt;&gt;"",$E283=1),"Consorcio o UT con 100 %: revise; ","")&amp;IF(COUNTIFS($A$2:$A$601,$A283,$B$2:$B$601,$B283)&gt;1,"Participación repetida; ","")&amp;IF(AND(IFERROR(INDEX(SUJETOS!$B$2:$B$601,MATCH($B283,SUJETOS!$A$2:$A$601,0)),"")="Persona natural",$G283=""),"Persona natural sin cargo; ",""))</f>
        <v/>
      </c>
      <c r="R283" s="12">
        <f>IF($A283="","",IFERROR(IF(LEN(INDEX(SUJETOS!$F$2:$F$601,MATCH($B283,SUJETOS!$A$2:$A$601,0)))&gt;0,INDEX(SUJETOS!$F$2:$F$601,MATCH($B283,SUJETOS!$A$2:$A$601,0)),$B283),$B283))</f>
        <v/>
      </c>
    </row>
    <row r="284">
      <c r="E284" s="18" t="n"/>
      <c r="K284" s="13">
        <f>IF(OR($A284="",$E284=""),"",IFERROR(E284*INDEX(CONTRATOS!$P$2:$P$601,MATCH($A284,CONTRATOS!$A$2:$A$601,0)),""))</f>
        <v/>
      </c>
      <c r="L284" s="17">
        <f>IF(OR($A284="",$E284=""),"",IFERROR(E284*INDEX(CONTRATOS!$Z$2:$Z$601,MATCH($A284,CONTRATOS!$A$2:$A$601,0)),""))</f>
        <v/>
      </c>
      <c r="M284" s="13">
        <f>IF(OR($A284="",$E284=""),"",IFERROR(E284*INDEX(CONTRATOS!$AA$2:$AA$601,MATCH($A284,CONTRATOS!$A$2:$A$601,0)),""))</f>
        <v/>
      </c>
      <c r="N284" s="19">
        <f>IF($A284="","",SUMIFS($E$2:$E$601,$A$2:$A$601,$A284))</f>
        <v/>
      </c>
      <c r="O284" s="12">
        <f>IF($A284="","",IFERROR(INDEX(CONTRATOS!$F$2:$F$601,MATCH($A284,CONTRATOS!$A$2:$A$601,0)),""))</f>
        <v/>
      </c>
      <c r="P284" s="12">
        <f>IF($A284="","",IFERROR(INDEX(CONTRATOS!$M$2:$M$601,MATCH($A284,CONTRATOS!$A$2:$A$601,0)),""))</f>
        <v/>
      </c>
      <c r="Q284" s="12">
        <f>IF($A284="","",IF(COUNTIF(CONTRATOS!$A$2:$A$601,$A284)=0,"El contrato no existe en CONTRATOS; ","")&amp;IF($B284="","Falta sujeto; ",IF(COUNTIF(SUJETOS!$A$2:$A$601,$B284)=0,"El sujeto no existe en SUJETOS; ",""))&amp;IF($E284="","Falta porcentaje; ","")&amp;IF(N284&gt;1.0001,"Los porcentajes del contrato suman más de 100 %; ","")&amp;IF(AND($C284="Individual",$E284&lt;&gt;"",$E284&lt;&gt;1),"Individual debe ser 100 %; ","")&amp;IF(AND($C284&lt;&gt;"Individual",$C284&lt;&gt;"",$E284=1),"Consorcio o UT con 100 %: revise; ","")&amp;IF(COUNTIFS($A$2:$A$601,$A284,$B$2:$B$601,$B284)&gt;1,"Participación repetida; ","")&amp;IF(AND(IFERROR(INDEX(SUJETOS!$B$2:$B$601,MATCH($B284,SUJETOS!$A$2:$A$601,0)),"")="Persona natural",$G284=""),"Persona natural sin cargo; ",""))</f>
        <v/>
      </c>
      <c r="R284" s="12">
        <f>IF($A284="","",IFERROR(IF(LEN(INDEX(SUJETOS!$F$2:$F$601,MATCH($B284,SUJETOS!$A$2:$A$601,0)))&gt;0,INDEX(SUJETOS!$F$2:$F$601,MATCH($B284,SUJETOS!$A$2:$A$601,0)),$B284),$B284))</f>
        <v/>
      </c>
    </row>
    <row r="285">
      <c r="E285" s="18" t="n"/>
      <c r="K285" s="13">
        <f>IF(OR($A285="",$E285=""),"",IFERROR(E285*INDEX(CONTRATOS!$P$2:$P$601,MATCH($A285,CONTRATOS!$A$2:$A$601,0)),""))</f>
        <v/>
      </c>
      <c r="L285" s="17">
        <f>IF(OR($A285="",$E285=""),"",IFERROR(E285*INDEX(CONTRATOS!$Z$2:$Z$601,MATCH($A285,CONTRATOS!$A$2:$A$601,0)),""))</f>
        <v/>
      </c>
      <c r="M285" s="13">
        <f>IF(OR($A285="",$E285=""),"",IFERROR(E285*INDEX(CONTRATOS!$AA$2:$AA$601,MATCH($A285,CONTRATOS!$A$2:$A$601,0)),""))</f>
        <v/>
      </c>
      <c r="N285" s="19">
        <f>IF($A285="","",SUMIFS($E$2:$E$601,$A$2:$A$601,$A285))</f>
        <v/>
      </c>
      <c r="O285" s="12">
        <f>IF($A285="","",IFERROR(INDEX(CONTRATOS!$F$2:$F$601,MATCH($A285,CONTRATOS!$A$2:$A$601,0)),""))</f>
        <v/>
      </c>
      <c r="P285" s="12">
        <f>IF($A285="","",IFERROR(INDEX(CONTRATOS!$M$2:$M$601,MATCH($A285,CONTRATOS!$A$2:$A$601,0)),""))</f>
        <v/>
      </c>
      <c r="Q285" s="12">
        <f>IF($A285="","",IF(COUNTIF(CONTRATOS!$A$2:$A$601,$A285)=0,"El contrato no existe en CONTRATOS; ","")&amp;IF($B285="","Falta sujeto; ",IF(COUNTIF(SUJETOS!$A$2:$A$601,$B285)=0,"El sujeto no existe en SUJETOS; ",""))&amp;IF($E285="","Falta porcentaje; ","")&amp;IF(N285&gt;1.0001,"Los porcentajes del contrato suman más de 100 %; ","")&amp;IF(AND($C285="Individual",$E285&lt;&gt;"",$E285&lt;&gt;1),"Individual debe ser 100 %; ","")&amp;IF(AND($C285&lt;&gt;"Individual",$C285&lt;&gt;"",$E285=1),"Consorcio o UT con 100 %: revise; ","")&amp;IF(COUNTIFS($A$2:$A$601,$A285,$B$2:$B$601,$B285)&gt;1,"Participación repetida; ","")&amp;IF(AND(IFERROR(INDEX(SUJETOS!$B$2:$B$601,MATCH($B285,SUJETOS!$A$2:$A$601,0)),"")="Persona natural",$G285=""),"Persona natural sin cargo; ",""))</f>
        <v/>
      </c>
      <c r="R285" s="12">
        <f>IF($A285="","",IFERROR(IF(LEN(INDEX(SUJETOS!$F$2:$F$601,MATCH($B285,SUJETOS!$A$2:$A$601,0)))&gt;0,INDEX(SUJETOS!$F$2:$F$601,MATCH($B285,SUJETOS!$A$2:$A$601,0)),$B285),$B285))</f>
        <v/>
      </c>
    </row>
    <row r="286">
      <c r="E286" s="18" t="n"/>
      <c r="K286" s="13">
        <f>IF(OR($A286="",$E286=""),"",IFERROR(E286*INDEX(CONTRATOS!$P$2:$P$601,MATCH($A286,CONTRATOS!$A$2:$A$601,0)),""))</f>
        <v/>
      </c>
      <c r="L286" s="17">
        <f>IF(OR($A286="",$E286=""),"",IFERROR(E286*INDEX(CONTRATOS!$Z$2:$Z$601,MATCH($A286,CONTRATOS!$A$2:$A$601,0)),""))</f>
        <v/>
      </c>
      <c r="M286" s="13">
        <f>IF(OR($A286="",$E286=""),"",IFERROR(E286*INDEX(CONTRATOS!$AA$2:$AA$601,MATCH($A286,CONTRATOS!$A$2:$A$601,0)),""))</f>
        <v/>
      </c>
      <c r="N286" s="19">
        <f>IF($A286="","",SUMIFS($E$2:$E$601,$A$2:$A$601,$A286))</f>
        <v/>
      </c>
      <c r="O286" s="12">
        <f>IF($A286="","",IFERROR(INDEX(CONTRATOS!$F$2:$F$601,MATCH($A286,CONTRATOS!$A$2:$A$601,0)),""))</f>
        <v/>
      </c>
      <c r="P286" s="12">
        <f>IF($A286="","",IFERROR(INDEX(CONTRATOS!$M$2:$M$601,MATCH($A286,CONTRATOS!$A$2:$A$601,0)),""))</f>
        <v/>
      </c>
      <c r="Q286" s="12">
        <f>IF($A286="","",IF(COUNTIF(CONTRATOS!$A$2:$A$601,$A286)=0,"El contrato no existe en CONTRATOS; ","")&amp;IF($B286="","Falta sujeto; ",IF(COUNTIF(SUJETOS!$A$2:$A$601,$B286)=0,"El sujeto no existe en SUJETOS; ",""))&amp;IF($E286="","Falta porcentaje; ","")&amp;IF(N286&gt;1.0001,"Los porcentajes del contrato suman más de 100 %; ","")&amp;IF(AND($C286="Individual",$E286&lt;&gt;"",$E286&lt;&gt;1),"Individual debe ser 100 %; ","")&amp;IF(AND($C286&lt;&gt;"Individual",$C286&lt;&gt;"",$E286=1),"Consorcio o UT con 100 %: revise; ","")&amp;IF(COUNTIFS($A$2:$A$601,$A286,$B$2:$B$601,$B286)&gt;1,"Participación repetida; ","")&amp;IF(AND(IFERROR(INDEX(SUJETOS!$B$2:$B$601,MATCH($B286,SUJETOS!$A$2:$A$601,0)),"")="Persona natural",$G286=""),"Persona natural sin cargo; ",""))</f>
        <v/>
      </c>
      <c r="R286" s="12">
        <f>IF($A286="","",IFERROR(IF(LEN(INDEX(SUJETOS!$F$2:$F$601,MATCH($B286,SUJETOS!$A$2:$A$601,0)))&gt;0,INDEX(SUJETOS!$F$2:$F$601,MATCH($B286,SUJETOS!$A$2:$A$601,0)),$B286),$B286))</f>
        <v/>
      </c>
    </row>
    <row r="287">
      <c r="E287" s="18" t="n"/>
      <c r="K287" s="13">
        <f>IF(OR($A287="",$E287=""),"",IFERROR(E287*INDEX(CONTRATOS!$P$2:$P$601,MATCH($A287,CONTRATOS!$A$2:$A$601,0)),""))</f>
        <v/>
      </c>
      <c r="L287" s="17">
        <f>IF(OR($A287="",$E287=""),"",IFERROR(E287*INDEX(CONTRATOS!$Z$2:$Z$601,MATCH($A287,CONTRATOS!$A$2:$A$601,0)),""))</f>
        <v/>
      </c>
      <c r="M287" s="13">
        <f>IF(OR($A287="",$E287=""),"",IFERROR(E287*INDEX(CONTRATOS!$AA$2:$AA$601,MATCH($A287,CONTRATOS!$A$2:$A$601,0)),""))</f>
        <v/>
      </c>
      <c r="N287" s="19">
        <f>IF($A287="","",SUMIFS($E$2:$E$601,$A$2:$A$601,$A287))</f>
        <v/>
      </c>
      <c r="O287" s="12">
        <f>IF($A287="","",IFERROR(INDEX(CONTRATOS!$F$2:$F$601,MATCH($A287,CONTRATOS!$A$2:$A$601,0)),""))</f>
        <v/>
      </c>
      <c r="P287" s="12">
        <f>IF($A287="","",IFERROR(INDEX(CONTRATOS!$M$2:$M$601,MATCH($A287,CONTRATOS!$A$2:$A$601,0)),""))</f>
        <v/>
      </c>
      <c r="Q287" s="12">
        <f>IF($A287="","",IF(COUNTIF(CONTRATOS!$A$2:$A$601,$A287)=0,"El contrato no existe en CONTRATOS; ","")&amp;IF($B287="","Falta sujeto; ",IF(COUNTIF(SUJETOS!$A$2:$A$601,$B287)=0,"El sujeto no existe en SUJETOS; ",""))&amp;IF($E287="","Falta porcentaje; ","")&amp;IF(N287&gt;1.0001,"Los porcentajes del contrato suman más de 100 %; ","")&amp;IF(AND($C287="Individual",$E287&lt;&gt;"",$E287&lt;&gt;1),"Individual debe ser 100 %; ","")&amp;IF(AND($C287&lt;&gt;"Individual",$C287&lt;&gt;"",$E287=1),"Consorcio o UT con 100 %: revise; ","")&amp;IF(COUNTIFS($A$2:$A$601,$A287,$B$2:$B$601,$B287)&gt;1,"Participación repetida; ","")&amp;IF(AND(IFERROR(INDEX(SUJETOS!$B$2:$B$601,MATCH($B287,SUJETOS!$A$2:$A$601,0)),"")="Persona natural",$G287=""),"Persona natural sin cargo; ",""))</f>
        <v/>
      </c>
      <c r="R287" s="12">
        <f>IF($A287="","",IFERROR(IF(LEN(INDEX(SUJETOS!$F$2:$F$601,MATCH($B287,SUJETOS!$A$2:$A$601,0)))&gt;0,INDEX(SUJETOS!$F$2:$F$601,MATCH($B287,SUJETOS!$A$2:$A$601,0)),$B287),$B287))</f>
        <v/>
      </c>
    </row>
    <row r="288">
      <c r="E288" s="18" t="n"/>
      <c r="K288" s="13">
        <f>IF(OR($A288="",$E288=""),"",IFERROR(E288*INDEX(CONTRATOS!$P$2:$P$601,MATCH($A288,CONTRATOS!$A$2:$A$601,0)),""))</f>
        <v/>
      </c>
      <c r="L288" s="17">
        <f>IF(OR($A288="",$E288=""),"",IFERROR(E288*INDEX(CONTRATOS!$Z$2:$Z$601,MATCH($A288,CONTRATOS!$A$2:$A$601,0)),""))</f>
        <v/>
      </c>
      <c r="M288" s="13">
        <f>IF(OR($A288="",$E288=""),"",IFERROR(E288*INDEX(CONTRATOS!$AA$2:$AA$601,MATCH($A288,CONTRATOS!$A$2:$A$601,0)),""))</f>
        <v/>
      </c>
      <c r="N288" s="19">
        <f>IF($A288="","",SUMIFS($E$2:$E$601,$A$2:$A$601,$A288))</f>
        <v/>
      </c>
      <c r="O288" s="12">
        <f>IF($A288="","",IFERROR(INDEX(CONTRATOS!$F$2:$F$601,MATCH($A288,CONTRATOS!$A$2:$A$601,0)),""))</f>
        <v/>
      </c>
      <c r="P288" s="12">
        <f>IF($A288="","",IFERROR(INDEX(CONTRATOS!$M$2:$M$601,MATCH($A288,CONTRATOS!$A$2:$A$601,0)),""))</f>
        <v/>
      </c>
      <c r="Q288" s="12">
        <f>IF($A288="","",IF(COUNTIF(CONTRATOS!$A$2:$A$601,$A288)=0,"El contrato no existe en CONTRATOS; ","")&amp;IF($B288="","Falta sujeto; ",IF(COUNTIF(SUJETOS!$A$2:$A$601,$B288)=0,"El sujeto no existe en SUJETOS; ",""))&amp;IF($E288="","Falta porcentaje; ","")&amp;IF(N288&gt;1.0001,"Los porcentajes del contrato suman más de 100 %; ","")&amp;IF(AND($C288="Individual",$E288&lt;&gt;"",$E288&lt;&gt;1),"Individual debe ser 100 %; ","")&amp;IF(AND($C288&lt;&gt;"Individual",$C288&lt;&gt;"",$E288=1),"Consorcio o UT con 100 %: revise; ","")&amp;IF(COUNTIFS($A$2:$A$601,$A288,$B$2:$B$601,$B288)&gt;1,"Participación repetida; ","")&amp;IF(AND(IFERROR(INDEX(SUJETOS!$B$2:$B$601,MATCH($B288,SUJETOS!$A$2:$A$601,0)),"")="Persona natural",$G288=""),"Persona natural sin cargo; ",""))</f>
        <v/>
      </c>
      <c r="R288" s="12">
        <f>IF($A288="","",IFERROR(IF(LEN(INDEX(SUJETOS!$F$2:$F$601,MATCH($B288,SUJETOS!$A$2:$A$601,0)))&gt;0,INDEX(SUJETOS!$F$2:$F$601,MATCH($B288,SUJETOS!$A$2:$A$601,0)),$B288),$B288))</f>
        <v/>
      </c>
    </row>
    <row r="289">
      <c r="E289" s="18" t="n"/>
      <c r="K289" s="13">
        <f>IF(OR($A289="",$E289=""),"",IFERROR(E289*INDEX(CONTRATOS!$P$2:$P$601,MATCH($A289,CONTRATOS!$A$2:$A$601,0)),""))</f>
        <v/>
      </c>
      <c r="L289" s="17">
        <f>IF(OR($A289="",$E289=""),"",IFERROR(E289*INDEX(CONTRATOS!$Z$2:$Z$601,MATCH($A289,CONTRATOS!$A$2:$A$601,0)),""))</f>
        <v/>
      </c>
      <c r="M289" s="13">
        <f>IF(OR($A289="",$E289=""),"",IFERROR(E289*INDEX(CONTRATOS!$AA$2:$AA$601,MATCH($A289,CONTRATOS!$A$2:$A$601,0)),""))</f>
        <v/>
      </c>
      <c r="N289" s="19">
        <f>IF($A289="","",SUMIFS($E$2:$E$601,$A$2:$A$601,$A289))</f>
        <v/>
      </c>
      <c r="O289" s="12">
        <f>IF($A289="","",IFERROR(INDEX(CONTRATOS!$F$2:$F$601,MATCH($A289,CONTRATOS!$A$2:$A$601,0)),""))</f>
        <v/>
      </c>
      <c r="P289" s="12">
        <f>IF($A289="","",IFERROR(INDEX(CONTRATOS!$M$2:$M$601,MATCH($A289,CONTRATOS!$A$2:$A$601,0)),""))</f>
        <v/>
      </c>
      <c r="Q289" s="12">
        <f>IF($A289="","",IF(COUNTIF(CONTRATOS!$A$2:$A$601,$A289)=0,"El contrato no existe en CONTRATOS; ","")&amp;IF($B289="","Falta sujeto; ",IF(COUNTIF(SUJETOS!$A$2:$A$601,$B289)=0,"El sujeto no existe en SUJETOS; ",""))&amp;IF($E289="","Falta porcentaje; ","")&amp;IF(N289&gt;1.0001,"Los porcentajes del contrato suman más de 100 %; ","")&amp;IF(AND($C289="Individual",$E289&lt;&gt;"",$E289&lt;&gt;1),"Individual debe ser 100 %; ","")&amp;IF(AND($C289&lt;&gt;"Individual",$C289&lt;&gt;"",$E289=1),"Consorcio o UT con 100 %: revise; ","")&amp;IF(COUNTIFS($A$2:$A$601,$A289,$B$2:$B$601,$B289)&gt;1,"Participación repetida; ","")&amp;IF(AND(IFERROR(INDEX(SUJETOS!$B$2:$B$601,MATCH($B289,SUJETOS!$A$2:$A$601,0)),"")="Persona natural",$G289=""),"Persona natural sin cargo; ",""))</f>
        <v/>
      </c>
      <c r="R289" s="12">
        <f>IF($A289="","",IFERROR(IF(LEN(INDEX(SUJETOS!$F$2:$F$601,MATCH($B289,SUJETOS!$A$2:$A$601,0)))&gt;0,INDEX(SUJETOS!$F$2:$F$601,MATCH($B289,SUJETOS!$A$2:$A$601,0)),$B289),$B289))</f>
        <v/>
      </c>
    </row>
    <row r="290">
      <c r="E290" s="18" t="n"/>
      <c r="K290" s="13">
        <f>IF(OR($A290="",$E290=""),"",IFERROR(E290*INDEX(CONTRATOS!$P$2:$P$601,MATCH($A290,CONTRATOS!$A$2:$A$601,0)),""))</f>
        <v/>
      </c>
      <c r="L290" s="17">
        <f>IF(OR($A290="",$E290=""),"",IFERROR(E290*INDEX(CONTRATOS!$Z$2:$Z$601,MATCH($A290,CONTRATOS!$A$2:$A$601,0)),""))</f>
        <v/>
      </c>
      <c r="M290" s="13">
        <f>IF(OR($A290="",$E290=""),"",IFERROR(E290*INDEX(CONTRATOS!$AA$2:$AA$601,MATCH($A290,CONTRATOS!$A$2:$A$601,0)),""))</f>
        <v/>
      </c>
      <c r="N290" s="19">
        <f>IF($A290="","",SUMIFS($E$2:$E$601,$A$2:$A$601,$A290))</f>
        <v/>
      </c>
      <c r="O290" s="12">
        <f>IF($A290="","",IFERROR(INDEX(CONTRATOS!$F$2:$F$601,MATCH($A290,CONTRATOS!$A$2:$A$601,0)),""))</f>
        <v/>
      </c>
      <c r="P290" s="12">
        <f>IF($A290="","",IFERROR(INDEX(CONTRATOS!$M$2:$M$601,MATCH($A290,CONTRATOS!$A$2:$A$601,0)),""))</f>
        <v/>
      </c>
      <c r="Q290" s="12">
        <f>IF($A290="","",IF(COUNTIF(CONTRATOS!$A$2:$A$601,$A290)=0,"El contrato no existe en CONTRATOS; ","")&amp;IF($B290="","Falta sujeto; ",IF(COUNTIF(SUJETOS!$A$2:$A$601,$B290)=0,"El sujeto no existe en SUJETOS; ",""))&amp;IF($E290="","Falta porcentaje; ","")&amp;IF(N290&gt;1.0001,"Los porcentajes del contrato suman más de 100 %; ","")&amp;IF(AND($C290="Individual",$E290&lt;&gt;"",$E290&lt;&gt;1),"Individual debe ser 100 %; ","")&amp;IF(AND($C290&lt;&gt;"Individual",$C290&lt;&gt;"",$E290=1),"Consorcio o UT con 100 %: revise; ","")&amp;IF(COUNTIFS($A$2:$A$601,$A290,$B$2:$B$601,$B290)&gt;1,"Participación repetida; ","")&amp;IF(AND(IFERROR(INDEX(SUJETOS!$B$2:$B$601,MATCH($B290,SUJETOS!$A$2:$A$601,0)),"")="Persona natural",$G290=""),"Persona natural sin cargo; ",""))</f>
        <v/>
      </c>
      <c r="R290" s="12">
        <f>IF($A290="","",IFERROR(IF(LEN(INDEX(SUJETOS!$F$2:$F$601,MATCH($B290,SUJETOS!$A$2:$A$601,0)))&gt;0,INDEX(SUJETOS!$F$2:$F$601,MATCH($B290,SUJETOS!$A$2:$A$601,0)),$B290),$B290))</f>
        <v/>
      </c>
    </row>
    <row r="291">
      <c r="E291" s="18" t="n"/>
      <c r="K291" s="13">
        <f>IF(OR($A291="",$E291=""),"",IFERROR(E291*INDEX(CONTRATOS!$P$2:$P$601,MATCH($A291,CONTRATOS!$A$2:$A$601,0)),""))</f>
        <v/>
      </c>
      <c r="L291" s="17">
        <f>IF(OR($A291="",$E291=""),"",IFERROR(E291*INDEX(CONTRATOS!$Z$2:$Z$601,MATCH($A291,CONTRATOS!$A$2:$A$601,0)),""))</f>
        <v/>
      </c>
      <c r="M291" s="13">
        <f>IF(OR($A291="",$E291=""),"",IFERROR(E291*INDEX(CONTRATOS!$AA$2:$AA$601,MATCH($A291,CONTRATOS!$A$2:$A$601,0)),""))</f>
        <v/>
      </c>
      <c r="N291" s="19">
        <f>IF($A291="","",SUMIFS($E$2:$E$601,$A$2:$A$601,$A291))</f>
        <v/>
      </c>
      <c r="O291" s="12">
        <f>IF($A291="","",IFERROR(INDEX(CONTRATOS!$F$2:$F$601,MATCH($A291,CONTRATOS!$A$2:$A$601,0)),""))</f>
        <v/>
      </c>
      <c r="P291" s="12">
        <f>IF($A291="","",IFERROR(INDEX(CONTRATOS!$M$2:$M$601,MATCH($A291,CONTRATOS!$A$2:$A$601,0)),""))</f>
        <v/>
      </c>
      <c r="Q291" s="12">
        <f>IF($A291="","",IF(COUNTIF(CONTRATOS!$A$2:$A$601,$A291)=0,"El contrato no existe en CONTRATOS; ","")&amp;IF($B291="","Falta sujeto; ",IF(COUNTIF(SUJETOS!$A$2:$A$601,$B291)=0,"El sujeto no existe en SUJETOS; ",""))&amp;IF($E291="","Falta porcentaje; ","")&amp;IF(N291&gt;1.0001,"Los porcentajes del contrato suman más de 100 %; ","")&amp;IF(AND($C291="Individual",$E291&lt;&gt;"",$E291&lt;&gt;1),"Individual debe ser 100 %; ","")&amp;IF(AND($C291&lt;&gt;"Individual",$C291&lt;&gt;"",$E291=1),"Consorcio o UT con 100 %: revise; ","")&amp;IF(COUNTIFS($A$2:$A$601,$A291,$B$2:$B$601,$B291)&gt;1,"Participación repetida; ","")&amp;IF(AND(IFERROR(INDEX(SUJETOS!$B$2:$B$601,MATCH($B291,SUJETOS!$A$2:$A$601,0)),"")="Persona natural",$G291=""),"Persona natural sin cargo; ",""))</f>
        <v/>
      </c>
      <c r="R291" s="12">
        <f>IF($A291="","",IFERROR(IF(LEN(INDEX(SUJETOS!$F$2:$F$601,MATCH($B291,SUJETOS!$A$2:$A$601,0)))&gt;0,INDEX(SUJETOS!$F$2:$F$601,MATCH($B291,SUJETOS!$A$2:$A$601,0)),$B291),$B291))</f>
        <v/>
      </c>
    </row>
    <row r="292">
      <c r="E292" s="18" t="n"/>
      <c r="K292" s="13">
        <f>IF(OR($A292="",$E292=""),"",IFERROR(E292*INDEX(CONTRATOS!$P$2:$P$601,MATCH($A292,CONTRATOS!$A$2:$A$601,0)),""))</f>
        <v/>
      </c>
      <c r="L292" s="17">
        <f>IF(OR($A292="",$E292=""),"",IFERROR(E292*INDEX(CONTRATOS!$Z$2:$Z$601,MATCH($A292,CONTRATOS!$A$2:$A$601,0)),""))</f>
        <v/>
      </c>
      <c r="M292" s="13">
        <f>IF(OR($A292="",$E292=""),"",IFERROR(E292*INDEX(CONTRATOS!$AA$2:$AA$601,MATCH($A292,CONTRATOS!$A$2:$A$601,0)),""))</f>
        <v/>
      </c>
      <c r="N292" s="19">
        <f>IF($A292="","",SUMIFS($E$2:$E$601,$A$2:$A$601,$A292))</f>
        <v/>
      </c>
      <c r="O292" s="12">
        <f>IF($A292="","",IFERROR(INDEX(CONTRATOS!$F$2:$F$601,MATCH($A292,CONTRATOS!$A$2:$A$601,0)),""))</f>
        <v/>
      </c>
      <c r="P292" s="12">
        <f>IF($A292="","",IFERROR(INDEX(CONTRATOS!$M$2:$M$601,MATCH($A292,CONTRATOS!$A$2:$A$601,0)),""))</f>
        <v/>
      </c>
      <c r="Q292" s="12">
        <f>IF($A292="","",IF(COUNTIF(CONTRATOS!$A$2:$A$601,$A292)=0,"El contrato no existe en CONTRATOS; ","")&amp;IF($B292="","Falta sujeto; ",IF(COUNTIF(SUJETOS!$A$2:$A$601,$B292)=0,"El sujeto no existe en SUJETOS; ",""))&amp;IF($E292="","Falta porcentaje; ","")&amp;IF(N292&gt;1.0001,"Los porcentajes del contrato suman más de 100 %; ","")&amp;IF(AND($C292="Individual",$E292&lt;&gt;"",$E292&lt;&gt;1),"Individual debe ser 100 %; ","")&amp;IF(AND($C292&lt;&gt;"Individual",$C292&lt;&gt;"",$E292=1),"Consorcio o UT con 100 %: revise; ","")&amp;IF(COUNTIFS($A$2:$A$601,$A292,$B$2:$B$601,$B292)&gt;1,"Participación repetida; ","")&amp;IF(AND(IFERROR(INDEX(SUJETOS!$B$2:$B$601,MATCH($B292,SUJETOS!$A$2:$A$601,0)),"")="Persona natural",$G292=""),"Persona natural sin cargo; ",""))</f>
        <v/>
      </c>
      <c r="R292" s="12">
        <f>IF($A292="","",IFERROR(IF(LEN(INDEX(SUJETOS!$F$2:$F$601,MATCH($B292,SUJETOS!$A$2:$A$601,0)))&gt;0,INDEX(SUJETOS!$F$2:$F$601,MATCH($B292,SUJETOS!$A$2:$A$601,0)),$B292),$B292))</f>
        <v/>
      </c>
    </row>
    <row r="293">
      <c r="E293" s="18" t="n"/>
      <c r="K293" s="13">
        <f>IF(OR($A293="",$E293=""),"",IFERROR(E293*INDEX(CONTRATOS!$P$2:$P$601,MATCH($A293,CONTRATOS!$A$2:$A$601,0)),""))</f>
        <v/>
      </c>
      <c r="L293" s="17">
        <f>IF(OR($A293="",$E293=""),"",IFERROR(E293*INDEX(CONTRATOS!$Z$2:$Z$601,MATCH($A293,CONTRATOS!$A$2:$A$601,0)),""))</f>
        <v/>
      </c>
      <c r="M293" s="13">
        <f>IF(OR($A293="",$E293=""),"",IFERROR(E293*INDEX(CONTRATOS!$AA$2:$AA$601,MATCH($A293,CONTRATOS!$A$2:$A$601,0)),""))</f>
        <v/>
      </c>
      <c r="N293" s="19">
        <f>IF($A293="","",SUMIFS($E$2:$E$601,$A$2:$A$601,$A293))</f>
        <v/>
      </c>
      <c r="O293" s="12">
        <f>IF($A293="","",IFERROR(INDEX(CONTRATOS!$F$2:$F$601,MATCH($A293,CONTRATOS!$A$2:$A$601,0)),""))</f>
        <v/>
      </c>
      <c r="P293" s="12">
        <f>IF($A293="","",IFERROR(INDEX(CONTRATOS!$M$2:$M$601,MATCH($A293,CONTRATOS!$A$2:$A$601,0)),""))</f>
        <v/>
      </c>
      <c r="Q293" s="12">
        <f>IF($A293="","",IF(COUNTIF(CONTRATOS!$A$2:$A$601,$A293)=0,"El contrato no existe en CONTRATOS; ","")&amp;IF($B293="","Falta sujeto; ",IF(COUNTIF(SUJETOS!$A$2:$A$601,$B293)=0,"El sujeto no existe en SUJETOS; ",""))&amp;IF($E293="","Falta porcentaje; ","")&amp;IF(N293&gt;1.0001,"Los porcentajes del contrato suman más de 100 %; ","")&amp;IF(AND($C293="Individual",$E293&lt;&gt;"",$E293&lt;&gt;1),"Individual debe ser 100 %; ","")&amp;IF(AND($C293&lt;&gt;"Individual",$C293&lt;&gt;"",$E293=1),"Consorcio o UT con 100 %: revise; ","")&amp;IF(COUNTIFS($A$2:$A$601,$A293,$B$2:$B$601,$B293)&gt;1,"Participación repetida; ","")&amp;IF(AND(IFERROR(INDEX(SUJETOS!$B$2:$B$601,MATCH($B293,SUJETOS!$A$2:$A$601,0)),"")="Persona natural",$G293=""),"Persona natural sin cargo; ",""))</f>
        <v/>
      </c>
      <c r="R293" s="12">
        <f>IF($A293="","",IFERROR(IF(LEN(INDEX(SUJETOS!$F$2:$F$601,MATCH($B293,SUJETOS!$A$2:$A$601,0)))&gt;0,INDEX(SUJETOS!$F$2:$F$601,MATCH($B293,SUJETOS!$A$2:$A$601,0)),$B293),$B293))</f>
        <v/>
      </c>
    </row>
    <row r="294">
      <c r="E294" s="18" t="n"/>
      <c r="K294" s="13">
        <f>IF(OR($A294="",$E294=""),"",IFERROR(E294*INDEX(CONTRATOS!$P$2:$P$601,MATCH($A294,CONTRATOS!$A$2:$A$601,0)),""))</f>
        <v/>
      </c>
      <c r="L294" s="17">
        <f>IF(OR($A294="",$E294=""),"",IFERROR(E294*INDEX(CONTRATOS!$Z$2:$Z$601,MATCH($A294,CONTRATOS!$A$2:$A$601,0)),""))</f>
        <v/>
      </c>
      <c r="M294" s="13">
        <f>IF(OR($A294="",$E294=""),"",IFERROR(E294*INDEX(CONTRATOS!$AA$2:$AA$601,MATCH($A294,CONTRATOS!$A$2:$A$601,0)),""))</f>
        <v/>
      </c>
      <c r="N294" s="19">
        <f>IF($A294="","",SUMIFS($E$2:$E$601,$A$2:$A$601,$A294))</f>
        <v/>
      </c>
      <c r="O294" s="12">
        <f>IF($A294="","",IFERROR(INDEX(CONTRATOS!$F$2:$F$601,MATCH($A294,CONTRATOS!$A$2:$A$601,0)),""))</f>
        <v/>
      </c>
      <c r="P294" s="12">
        <f>IF($A294="","",IFERROR(INDEX(CONTRATOS!$M$2:$M$601,MATCH($A294,CONTRATOS!$A$2:$A$601,0)),""))</f>
        <v/>
      </c>
      <c r="Q294" s="12">
        <f>IF($A294="","",IF(COUNTIF(CONTRATOS!$A$2:$A$601,$A294)=0,"El contrato no existe en CONTRATOS; ","")&amp;IF($B294="","Falta sujeto; ",IF(COUNTIF(SUJETOS!$A$2:$A$601,$B294)=0,"El sujeto no existe en SUJETOS; ",""))&amp;IF($E294="","Falta porcentaje; ","")&amp;IF(N294&gt;1.0001,"Los porcentajes del contrato suman más de 100 %; ","")&amp;IF(AND($C294="Individual",$E294&lt;&gt;"",$E294&lt;&gt;1),"Individual debe ser 100 %; ","")&amp;IF(AND($C294&lt;&gt;"Individual",$C294&lt;&gt;"",$E294=1),"Consorcio o UT con 100 %: revise; ","")&amp;IF(COUNTIFS($A$2:$A$601,$A294,$B$2:$B$601,$B294)&gt;1,"Participación repetida; ","")&amp;IF(AND(IFERROR(INDEX(SUJETOS!$B$2:$B$601,MATCH($B294,SUJETOS!$A$2:$A$601,0)),"")="Persona natural",$G294=""),"Persona natural sin cargo; ",""))</f>
        <v/>
      </c>
      <c r="R294" s="12">
        <f>IF($A294="","",IFERROR(IF(LEN(INDEX(SUJETOS!$F$2:$F$601,MATCH($B294,SUJETOS!$A$2:$A$601,0)))&gt;0,INDEX(SUJETOS!$F$2:$F$601,MATCH($B294,SUJETOS!$A$2:$A$601,0)),$B294),$B294))</f>
        <v/>
      </c>
    </row>
    <row r="295">
      <c r="E295" s="18" t="n"/>
      <c r="K295" s="13">
        <f>IF(OR($A295="",$E295=""),"",IFERROR(E295*INDEX(CONTRATOS!$P$2:$P$601,MATCH($A295,CONTRATOS!$A$2:$A$601,0)),""))</f>
        <v/>
      </c>
      <c r="L295" s="17">
        <f>IF(OR($A295="",$E295=""),"",IFERROR(E295*INDEX(CONTRATOS!$Z$2:$Z$601,MATCH($A295,CONTRATOS!$A$2:$A$601,0)),""))</f>
        <v/>
      </c>
      <c r="M295" s="13">
        <f>IF(OR($A295="",$E295=""),"",IFERROR(E295*INDEX(CONTRATOS!$AA$2:$AA$601,MATCH($A295,CONTRATOS!$A$2:$A$601,0)),""))</f>
        <v/>
      </c>
      <c r="N295" s="19">
        <f>IF($A295="","",SUMIFS($E$2:$E$601,$A$2:$A$601,$A295))</f>
        <v/>
      </c>
      <c r="O295" s="12">
        <f>IF($A295="","",IFERROR(INDEX(CONTRATOS!$F$2:$F$601,MATCH($A295,CONTRATOS!$A$2:$A$601,0)),""))</f>
        <v/>
      </c>
      <c r="P295" s="12">
        <f>IF($A295="","",IFERROR(INDEX(CONTRATOS!$M$2:$M$601,MATCH($A295,CONTRATOS!$A$2:$A$601,0)),""))</f>
        <v/>
      </c>
      <c r="Q295" s="12">
        <f>IF($A295="","",IF(COUNTIF(CONTRATOS!$A$2:$A$601,$A295)=0,"El contrato no existe en CONTRATOS; ","")&amp;IF($B295="","Falta sujeto; ",IF(COUNTIF(SUJETOS!$A$2:$A$601,$B295)=0,"El sujeto no existe en SUJETOS; ",""))&amp;IF($E295="","Falta porcentaje; ","")&amp;IF(N295&gt;1.0001,"Los porcentajes del contrato suman más de 100 %; ","")&amp;IF(AND($C295="Individual",$E295&lt;&gt;"",$E295&lt;&gt;1),"Individual debe ser 100 %; ","")&amp;IF(AND($C295&lt;&gt;"Individual",$C295&lt;&gt;"",$E295=1),"Consorcio o UT con 100 %: revise; ","")&amp;IF(COUNTIFS($A$2:$A$601,$A295,$B$2:$B$601,$B295)&gt;1,"Participación repetida; ","")&amp;IF(AND(IFERROR(INDEX(SUJETOS!$B$2:$B$601,MATCH($B295,SUJETOS!$A$2:$A$601,0)),"")="Persona natural",$G295=""),"Persona natural sin cargo; ",""))</f>
        <v/>
      </c>
      <c r="R295" s="12">
        <f>IF($A295="","",IFERROR(IF(LEN(INDEX(SUJETOS!$F$2:$F$601,MATCH($B295,SUJETOS!$A$2:$A$601,0)))&gt;0,INDEX(SUJETOS!$F$2:$F$601,MATCH($B295,SUJETOS!$A$2:$A$601,0)),$B295),$B295))</f>
        <v/>
      </c>
    </row>
    <row r="296">
      <c r="E296" s="18" t="n"/>
      <c r="K296" s="13">
        <f>IF(OR($A296="",$E296=""),"",IFERROR(E296*INDEX(CONTRATOS!$P$2:$P$601,MATCH($A296,CONTRATOS!$A$2:$A$601,0)),""))</f>
        <v/>
      </c>
      <c r="L296" s="17">
        <f>IF(OR($A296="",$E296=""),"",IFERROR(E296*INDEX(CONTRATOS!$Z$2:$Z$601,MATCH($A296,CONTRATOS!$A$2:$A$601,0)),""))</f>
        <v/>
      </c>
      <c r="M296" s="13">
        <f>IF(OR($A296="",$E296=""),"",IFERROR(E296*INDEX(CONTRATOS!$AA$2:$AA$601,MATCH($A296,CONTRATOS!$A$2:$A$601,0)),""))</f>
        <v/>
      </c>
      <c r="N296" s="19">
        <f>IF($A296="","",SUMIFS($E$2:$E$601,$A$2:$A$601,$A296))</f>
        <v/>
      </c>
      <c r="O296" s="12">
        <f>IF($A296="","",IFERROR(INDEX(CONTRATOS!$F$2:$F$601,MATCH($A296,CONTRATOS!$A$2:$A$601,0)),""))</f>
        <v/>
      </c>
      <c r="P296" s="12">
        <f>IF($A296="","",IFERROR(INDEX(CONTRATOS!$M$2:$M$601,MATCH($A296,CONTRATOS!$A$2:$A$601,0)),""))</f>
        <v/>
      </c>
      <c r="Q296" s="12">
        <f>IF($A296="","",IF(COUNTIF(CONTRATOS!$A$2:$A$601,$A296)=0,"El contrato no existe en CONTRATOS; ","")&amp;IF($B296="","Falta sujeto; ",IF(COUNTIF(SUJETOS!$A$2:$A$601,$B296)=0,"El sujeto no existe en SUJETOS; ",""))&amp;IF($E296="","Falta porcentaje; ","")&amp;IF(N296&gt;1.0001,"Los porcentajes del contrato suman más de 100 %; ","")&amp;IF(AND($C296="Individual",$E296&lt;&gt;"",$E296&lt;&gt;1),"Individual debe ser 100 %; ","")&amp;IF(AND($C296&lt;&gt;"Individual",$C296&lt;&gt;"",$E296=1),"Consorcio o UT con 100 %: revise; ","")&amp;IF(COUNTIFS($A$2:$A$601,$A296,$B$2:$B$601,$B296)&gt;1,"Participación repetida; ","")&amp;IF(AND(IFERROR(INDEX(SUJETOS!$B$2:$B$601,MATCH($B296,SUJETOS!$A$2:$A$601,0)),"")="Persona natural",$G296=""),"Persona natural sin cargo; ",""))</f>
        <v/>
      </c>
      <c r="R296" s="12">
        <f>IF($A296="","",IFERROR(IF(LEN(INDEX(SUJETOS!$F$2:$F$601,MATCH($B296,SUJETOS!$A$2:$A$601,0)))&gt;0,INDEX(SUJETOS!$F$2:$F$601,MATCH($B296,SUJETOS!$A$2:$A$601,0)),$B296),$B296))</f>
        <v/>
      </c>
    </row>
    <row r="297">
      <c r="E297" s="18" t="n"/>
      <c r="K297" s="13">
        <f>IF(OR($A297="",$E297=""),"",IFERROR(E297*INDEX(CONTRATOS!$P$2:$P$601,MATCH($A297,CONTRATOS!$A$2:$A$601,0)),""))</f>
        <v/>
      </c>
      <c r="L297" s="17">
        <f>IF(OR($A297="",$E297=""),"",IFERROR(E297*INDEX(CONTRATOS!$Z$2:$Z$601,MATCH($A297,CONTRATOS!$A$2:$A$601,0)),""))</f>
        <v/>
      </c>
      <c r="M297" s="13">
        <f>IF(OR($A297="",$E297=""),"",IFERROR(E297*INDEX(CONTRATOS!$AA$2:$AA$601,MATCH($A297,CONTRATOS!$A$2:$A$601,0)),""))</f>
        <v/>
      </c>
      <c r="N297" s="19">
        <f>IF($A297="","",SUMIFS($E$2:$E$601,$A$2:$A$601,$A297))</f>
        <v/>
      </c>
      <c r="O297" s="12">
        <f>IF($A297="","",IFERROR(INDEX(CONTRATOS!$F$2:$F$601,MATCH($A297,CONTRATOS!$A$2:$A$601,0)),""))</f>
        <v/>
      </c>
      <c r="P297" s="12">
        <f>IF($A297="","",IFERROR(INDEX(CONTRATOS!$M$2:$M$601,MATCH($A297,CONTRATOS!$A$2:$A$601,0)),""))</f>
        <v/>
      </c>
      <c r="Q297" s="12">
        <f>IF($A297="","",IF(COUNTIF(CONTRATOS!$A$2:$A$601,$A297)=0,"El contrato no existe en CONTRATOS; ","")&amp;IF($B297="","Falta sujeto; ",IF(COUNTIF(SUJETOS!$A$2:$A$601,$B297)=0,"El sujeto no existe en SUJETOS; ",""))&amp;IF($E297="","Falta porcentaje; ","")&amp;IF(N297&gt;1.0001,"Los porcentajes del contrato suman más de 100 %; ","")&amp;IF(AND($C297="Individual",$E297&lt;&gt;"",$E297&lt;&gt;1),"Individual debe ser 100 %; ","")&amp;IF(AND($C297&lt;&gt;"Individual",$C297&lt;&gt;"",$E297=1),"Consorcio o UT con 100 %: revise; ","")&amp;IF(COUNTIFS($A$2:$A$601,$A297,$B$2:$B$601,$B297)&gt;1,"Participación repetida; ","")&amp;IF(AND(IFERROR(INDEX(SUJETOS!$B$2:$B$601,MATCH($B297,SUJETOS!$A$2:$A$601,0)),"")="Persona natural",$G297=""),"Persona natural sin cargo; ",""))</f>
        <v/>
      </c>
      <c r="R297" s="12">
        <f>IF($A297="","",IFERROR(IF(LEN(INDEX(SUJETOS!$F$2:$F$601,MATCH($B297,SUJETOS!$A$2:$A$601,0)))&gt;0,INDEX(SUJETOS!$F$2:$F$601,MATCH($B297,SUJETOS!$A$2:$A$601,0)),$B297),$B297))</f>
        <v/>
      </c>
    </row>
    <row r="298">
      <c r="E298" s="18" t="n"/>
      <c r="K298" s="13">
        <f>IF(OR($A298="",$E298=""),"",IFERROR(E298*INDEX(CONTRATOS!$P$2:$P$601,MATCH($A298,CONTRATOS!$A$2:$A$601,0)),""))</f>
        <v/>
      </c>
      <c r="L298" s="17">
        <f>IF(OR($A298="",$E298=""),"",IFERROR(E298*INDEX(CONTRATOS!$Z$2:$Z$601,MATCH($A298,CONTRATOS!$A$2:$A$601,0)),""))</f>
        <v/>
      </c>
      <c r="M298" s="13">
        <f>IF(OR($A298="",$E298=""),"",IFERROR(E298*INDEX(CONTRATOS!$AA$2:$AA$601,MATCH($A298,CONTRATOS!$A$2:$A$601,0)),""))</f>
        <v/>
      </c>
      <c r="N298" s="19">
        <f>IF($A298="","",SUMIFS($E$2:$E$601,$A$2:$A$601,$A298))</f>
        <v/>
      </c>
      <c r="O298" s="12">
        <f>IF($A298="","",IFERROR(INDEX(CONTRATOS!$F$2:$F$601,MATCH($A298,CONTRATOS!$A$2:$A$601,0)),""))</f>
        <v/>
      </c>
      <c r="P298" s="12">
        <f>IF($A298="","",IFERROR(INDEX(CONTRATOS!$M$2:$M$601,MATCH($A298,CONTRATOS!$A$2:$A$601,0)),""))</f>
        <v/>
      </c>
      <c r="Q298" s="12">
        <f>IF($A298="","",IF(COUNTIF(CONTRATOS!$A$2:$A$601,$A298)=0,"El contrato no existe en CONTRATOS; ","")&amp;IF($B298="","Falta sujeto; ",IF(COUNTIF(SUJETOS!$A$2:$A$601,$B298)=0,"El sujeto no existe en SUJETOS; ",""))&amp;IF($E298="","Falta porcentaje; ","")&amp;IF(N298&gt;1.0001,"Los porcentajes del contrato suman más de 100 %; ","")&amp;IF(AND($C298="Individual",$E298&lt;&gt;"",$E298&lt;&gt;1),"Individual debe ser 100 %; ","")&amp;IF(AND($C298&lt;&gt;"Individual",$C298&lt;&gt;"",$E298=1),"Consorcio o UT con 100 %: revise; ","")&amp;IF(COUNTIFS($A$2:$A$601,$A298,$B$2:$B$601,$B298)&gt;1,"Participación repetida; ","")&amp;IF(AND(IFERROR(INDEX(SUJETOS!$B$2:$B$601,MATCH($B298,SUJETOS!$A$2:$A$601,0)),"")="Persona natural",$G298=""),"Persona natural sin cargo; ",""))</f>
        <v/>
      </c>
      <c r="R298" s="12">
        <f>IF($A298="","",IFERROR(IF(LEN(INDEX(SUJETOS!$F$2:$F$601,MATCH($B298,SUJETOS!$A$2:$A$601,0)))&gt;0,INDEX(SUJETOS!$F$2:$F$601,MATCH($B298,SUJETOS!$A$2:$A$601,0)),$B298),$B298))</f>
        <v/>
      </c>
    </row>
    <row r="299">
      <c r="E299" s="18" t="n"/>
      <c r="K299" s="13">
        <f>IF(OR($A299="",$E299=""),"",IFERROR(E299*INDEX(CONTRATOS!$P$2:$P$601,MATCH($A299,CONTRATOS!$A$2:$A$601,0)),""))</f>
        <v/>
      </c>
      <c r="L299" s="17">
        <f>IF(OR($A299="",$E299=""),"",IFERROR(E299*INDEX(CONTRATOS!$Z$2:$Z$601,MATCH($A299,CONTRATOS!$A$2:$A$601,0)),""))</f>
        <v/>
      </c>
      <c r="M299" s="13">
        <f>IF(OR($A299="",$E299=""),"",IFERROR(E299*INDEX(CONTRATOS!$AA$2:$AA$601,MATCH($A299,CONTRATOS!$A$2:$A$601,0)),""))</f>
        <v/>
      </c>
      <c r="N299" s="19">
        <f>IF($A299="","",SUMIFS($E$2:$E$601,$A$2:$A$601,$A299))</f>
        <v/>
      </c>
      <c r="O299" s="12">
        <f>IF($A299="","",IFERROR(INDEX(CONTRATOS!$F$2:$F$601,MATCH($A299,CONTRATOS!$A$2:$A$601,0)),""))</f>
        <v/>
      </c>
      <c r="P299" s="12">
        <f>IF($A299="","",IFERROR(INDEX(CONTRATOS!$M$2:$M$601,MATCH($A299,CONTRATOS!$A$2:$A$601,0)),""))</f>
        <v/>
      </c>
      <c r="Q299" s="12">
        <f>IF($A299="","",IF(COUNTIF(CONTRATOS!$A$2:$A$601,$A299)=0,"El contrato no existe en CONTRATOS; ","")&amp;IF($B299="","Falta sujeto; ",IF(COUNTIF(SUJETOS!$A$2:$A$601,$B299)=0,"El sujeto no existe en SUJETOS; ",""))&amp;IF($E299="","Falta porcentaje; ","")&amp;IF(N299&gt;1.0001,"Los porcentajes del contrato suman más de 100 %; ","")&amp;IF(AND($C299="Individual",$E299&lt;&gt;"",$E299&lt;&gt;1),"Individual debe ser 100 %; ","")&amp;IF(AND($C299&lt;&gt;"Individual",$C299&lt;&gt;"",$E299=1),"Consorcio o UT con 100 %: revise; ","")&amp;IF(COUNTIFS($A$2:$A$601,$A299,$B$2:$B$601,$B299)&gt;1,"Participación repetida; ","")&amp;IF(AND(IFERROR(INDEX(SUJETOS!$B$2:$B$601,MATCH($B299,SUJETOS!$A$2:$A$601,0)),"")="Persona natural",$G299=""),"Persona natural sin cargo; ",""))</f>
        <v/>
      </c>
      <c r="R299" s="12">
        <f>IF($A299="","",IFERROR(IF(LEN(INDEX(SUJETOS!$F$2:$F$601,MATCH($B299,SUJETOS!$A$2:$A$601,0)))&gt;0,INDEX(SUJETOS!$F$2:$F$601,MATCH($B299,SUJETOS!$A$2:$A$601,0)),$B299),$B299))</f>
        <v/>
      </c>
    </row>
    <row r="300">
      <c r="E300" s="18" t="n"/>
      <c r="K300" s="13">
        <f>IF(OR($A300="",$E300=""),"",IFERROR(E300*INDEX(CONTRATOS!$P$2:$P$601,MATCH($A300,CONTRATOS!$A$2:$A$601,0)),""))</f>
        <v/>
      </c>
      <c r="L300" s="17">
        <f>IF(OR($A300="",$E300=""),"",IFERROR(E300*INDEX(CONTRATOS!$Z$2:$Z$601,MATCH($A300,CONTRATOS!$A$2:$A$601,0)),""))</f>
        <v/>
      </c>
      <c r="M300" s="13">
        <f>IF(OR($A300="",$E300=""),"",IFERROR(E300*INDEX(CONTRATOS!$AA$2:$AA$601,MATCH($A300,CONTRATOS!$A$2:$A$601,0)),""))</f>
        <v/>
      </c>
      <c r="N300" s="19">
        <f>IF($A300="","",SUMIFS($E$2:$E$601,$A$2:$A$601,$A300))</f>
        <v/>
      </c>
      <c r="O300" s="12">
        <f>IF($A300="","",IFERROR(INDEX(CONTRATOS!$F$2:$F$601,MATCH($A300,CONTRATOS!$A$2:$A$601,0)),""))</f>
        <v/>
      </c>
      <c r="P300" s="12">
        <f>IF($A300="","",IFERROR(INDEX(CONTRATOS!$M$2:$M$601,MATCH($A300,CONTRATOS!$A$2:$A$601,0)),""))</f>
        <v/>
      </c>
      <c r="Q300" s="12">
        <f>IF($A300="","",IF(COUNTIF(CONTRATOS!$A$2:$A$601,$A300)=0,"El contrato no existe en CONTRATOS; ","")&amp;IF($B300="","Falta sujeto; ",IF(COUNTIF(SUJETOS!$A$2:$A$601,$B300)=0,"El sujeto no existe en SUJETOS; ",""))&amp;IF($E300="","Falta porcentaje; ","")&amp;IF(N300&gt;1.0001,"Los porcentajes del contrato suman más de 100 %; ","")&amp;IF(AND($C300="Individual",$E300&lt;&gt;"",$E300&lt;&gt;1),"Individual debe ser 100 %; ","")&amp;IF(AND($C300&lt;&gt;"Individual",$C300&lt;&gt;"",$E300=1),"Consorcio o UT con 100 %: revise; ","")&amp;IF(COUNTIFS($A$2:$A$601,$A300,$B$2:$B$601,$B300)&gt;1,"Participación repetida; ","")&amp;IF(AND(IFERROR(INDEX(SUJETOS!$B$2:$B$601,MATCH($B300,SUJETOS!$A$2:$A$601,0)),"")="Persona natural",$G300=""),"Persona natural sin cargo; ",""))</f>
        <v/>
      </c>
      <c r="R300" s="12">
        <f>IF($A300="","",IFERROR(IF(LEN(INDEX(SUJETOS!$F$2:$F$601,MATCH($B300,SUJETOS!$A$2:$A$601,0)))&gt;0,INDEX(SUJETOS!$F$2:$F$601,MATCH($B300,SUJETOS!$A$2:$A$601,0)),$B300),$B300))</f>
        <v/>
      </c>
    </row>
    <row r="301">
      <c r="E301" s="18" t="n"/>
      <c r="K301" s="13">
        <f>IF(OR($A301="",$E301=""),"",IFERROR(E301*INDEX(CONTRATOS!$P$2:$P$601,MATCH($A301,CONTRATOS!$A$2:$A$601,0)),""))</f>
        <v/>
      </c>
      <c r="L301" s="17">
        <f>IF(OR($A301="",$E301=""),"",IFERROR(E301*INDEX(CONTRATOS!$Z$2:$Z$601,MATCH($A301,CONTRATOS!$A$2:$A$601,0)),""))</f>
        <v/>
      </c>
      <c r="M301" s="13">
        <f>IF(OR($A301="",$E301=""),"",IFERROR(E301*INDEX(CONTRATOS!$AA$2:$AA$601,MATCH($A301,CONTRATOS!$A$2:$A$601,0)),""))</f>
        <v/>
      </c>
      <c r="N301" s="19">
        <f>IF($A301="","",SUMIFS($E$2:$E$601,$A$2:$A$601,$A301))</f>
        <v/>
      </c>
      <c r="O301" s="12">
        <f>IF($A301="","",IFERROR(INDEX(CONTRATOS!$F$2:$F$601,MATCH($A301,CONTRATOS!$A$2:$A$601,0)),""))</f>
        <v/>
      </c>
      <c r="P301" s="12">
        <f>IF($A301="","",IFERROR(INDEX(CONTRATOS!$M$2:$M$601,MATCH($A301,CONTRATOS!$A$2:$A$601,0)),""))</f>
        <v/>
      </c>
      <c r="Q301" s="12">
        <f>IF($A301="","",IF(COUNTIF(CONTRATOS!$A$2:$A$601,$A301)=0,"El contrato no existe en CONTRATOS; ","")&amp;IF($B301="","Falta sujeto; ",IF(COUNTIF(SUJETOS!$A$2:$A$601,$B301)=0,"El sujeto no existe en SUJETOS; ",""))&amp;IF($E301="","Falta porcentaje; ","")&amp;IF(N301&gt;1.0001,"Los porcentajes del contrato suman más de 100 %; ","")&amp;IF(AND($C301="Individual",$E301&lt;&gt;"",$E301&lt;&gt;1),"Individual debe ser 100 %; ","")&amp;IF(AND($C301&lt;&gt;"Individual",$C301&lt;&gt;"",$E301=1),"Consorcio o UT con 100 %: revise; ","")&amp;IF(COUNTIFS($A$2:$A$601,$A301,$B$2:$B$601,$B301)&gt;1,"Participación repetida; ","")&amp;IF(AND(IFERROR(INDEX(SUJETOS!$B$2:$B$601,MATCH($B301,SUJETOS!$A$2:$A$601,0)),"")="Persona natural",$G301=""),"Persona natural sin cargo; ",""))</f>
        <v/>
      </c>
      <c r="R301" s="12">
        <f>IF($A301="","",IFERROR(IF(LEN(INDEX(SUJETOS!$F$2:$F$601,MATCH($B301,SUJETOS!$A$2:$A$601,0)))&gt;0,INDEX(SUJETOS!$F$2:$F$601,MATCH($B301,SUJETOS!$A$2:$A$601,0)),$B301),$B301))</f>
        <v/>
      </c>
    </row>
    <row r="302">
      <c r="E302" s="18" t="n"/>
      <c r="K302" s="13">
        <f>IF(OR($A302="",$E302=""),"",IFERROR(E302*INDEX(CONTRATOS!$P$2:$P$601,MATCH($A302,CONTRATOS!$A$2:$A$601,0)),""))</f>
        <v/>
      </c>
      <c r="L302" s="17">
        <f>IF(OR($A302="",$E302=""),"",IFERROR(E302*INDEX(CONTRATOS!$Z$2:$Z$601,MATCH($A302,CONTRATOS!$A$2:$A$601,0)),""))</f>
        <v/>
      </c>
      <c r="M302" s="13">
        <f>IF(OR($A302="",$E302=""),"",IFERROR(E302*INDEX(CONTRATOS!$AA$2:$AA$601,MATCH($A302,CONTRATOS!$A$2:$A$601,0)),""))</f>
        <v/>
      </c>
      <c r="N302" s="19">
        <f>IF($A302="","",SUMIFS($E$2:$E$601,$A$2:$A$601,$A302))</f>
        <v/>
      </c>
      <c r="O302" s="12">
        <f>IF($A302="","",IFERROR(INDEX(CONTRATOS!$F$2:$F$601,MATCH($A302,CONTRATOS!$A$2:$A$601,0)),""))</f>
        <v/>
      </c>
      <c r="P302" s="12">
        <f>IF($A302="","",IFERROR(INDEX(CONTRATOS!$M$2:$M$601,MATCH($A302,CONTRATOS!$A$2:$A$601,0)),""))</f>
        <v/>
      </c>
      <c r="Q302" s="12">
        <f>IF($A302="","",IF(COUNTIF(CONTRATOS!$A$2:$A$601,$A302)=0,"El contrato no existe en CONTRATOS; ","")&amp;IF($B302="","Falta sujeto; ",IF(COUNTIF(SUJETOS!$A$2:$A$601,$B302)=0,"El sujeto no existe en SUJETOS; ",""))&amp;IF($E302="","Falta porcentaje; ","")&amp;IF(N302&gt;1.0001,"Los porcentajes del contrato suman más de 100 %; ","")&amp;IF(AND($C302="Individual",$E302&lt;&gt;"",$E302&lt;&gt;1),"Individual debe ser 100 %; ","")&amp;IF(AND($C302&lt;&gt;"Individual",$C302&lt;&gt;"",$E302=1),"Consorcio o UT con 100 %: revise; ","")&amp;IF(COUNTIFS($A$2:$A$601,$A302,$B$2:$B$601,$B302)&gt;1,"Participación repetida; ","")&amp;IF(AND(IFERROR(INDEX(SUJETOS!$B$2:$B$601,MATCH($B302,SUJETOS!$A$2:$A$601,0)),"")="Persona natural",$G302=""),"Persona natural sin cargo; ",""))</f>
        <v/>
      </c>
      <c r="R302" s="12">
        <f>IF($A302="","",IFERROR(IF(LEN(INDEX(SUJETOS!$F$2:$F$601,MATCH($B302,SUJETOS!$A$2:$A$601,0)))&gt;0,INDEX(SUJETOS!$F$2:$F$601,MATCH($B302,SUJETOS!$A$2:$A$601,0)),$B302),$B302))</f>
        <v/>
      </c>
    </row>
    <row r="303">
      <c r="E303" s="18" t="n"/>
      <c r="K303" s="13">
        <f>IF(OR($A303="",$E303=""),"",IFERROR(E303*INDEX(CONTRATOS!$P$2:$P$601,MATCH($A303,CONTRATOS!$A$2:$A$601,0)),""))</f>
        <v/>
      </c>
      <c r="L303" s="17">
        <f>IF(OR($A303="",$E303=""),"",IFERROR(E303*INDEX(CONTRATOS!$Z$2:$Z$601,MATCH($A303,CONTRATOS!$A$2:$A$601,0)),""))</f>
        <v/>
      </c>
      <c r="M303" s="13">
        <f>IF(OR($A303="",$E303=""),"",IFERROR(E303*INDEX(CONTRATOS!$AA$2:$AA$601,MATCH($A303,CONTRATOS!$A$2:$A$601,0)),""))</f>
        <v/>
      </c>
      <c r="N303" s="19">
        <f>IF($A303="","",SUMIFS($E$2:$E$601,$A$2:$A$601,$A303))</f>
        <v/>
      </c>
      <c r="O303" s="12">
        <f>IF($A303="","",IFERROR(INDEX(CONTRATOS!$F$2:$F$601,MATCH($A303,CONTRATOS!$A$2:$A$601,0)),""))</f>
        <v/>
      </c>
      <c r="P303" s="12">
        <f>IF($A303="","",IFERROR(INDEX(CONTRATOS!$M$2:$M$601,MATCH($A303,CONTRATOS!$A$2:$A$601,0)),""))</f>
        <v/>
      </c>
      <c r="Q303" s="12">
        <f>IF($A303="","",IF(COUNTIF(CONTRATOS!$A$2:$A$601,$A303)=0,"El contrato no existe en CONTRATOS; ","")&amp;IF($B303="","Falta sujeto; ",IF(COUNTIF(SUJETOS!$A$2:$A$601,$B303)=0,"El sujeto no existe en SUJETOS; ",""))&amp;IF($E303="","Falta porcentaje; ","")&amp;IF(N303&gt;1.0001,"Los porcentajes del contrato suman más de 100 %; ","")&amp;IF(AND($C303="Individual",$E303&lt;&gt;"",$E303&lt;&gt;1),"Individual debe ser 100 %; ","")&amp;IF(AND($C303&lt;&gt;"Individual",$C303&lt;&gt;"",$E303=1),"Consorcio o UT con 100 %: revise; ","")&amp;IF(COUNTIFS($A$2:$A$601,$A303,$B$2:$B$601,$B303)&gt;1,"Participación repetida; ","")&amp;IF(AND(IFERROR(INDEX(SUJETOS!$B$2:$B$601,MATCH($B303,SUJETOS!$A$2:$A$601,0)),"")="Persona natural",$G303=""),"Persona natural sin cargo; ",""))</f>
        <v/>
      </c>
      <c r="R303" s="12">
        <f>IF($A303="","",IFERROR(IF(LEN(INDEX(SUJETOS!$F$2:$F$601,MATCH($B303,SUJETOS!$A$2:$A$601,0)))&gt;0,INDEX(SUJETOS!$F$2:$F$601,MATCH($B303,SUJETOS!$A$2:$A$601,0)),$B303),$B303))</f>
        <v/>
      </c>
    </row>
    <row r="304">
      <c r="E304" s="18" t="n"/>
      <c r="K304" s="13">
        <f>IF(OR($A304="",$E304=""),"",IFERROR(E304*INDEX(CONTRATOS!$P$2:$P$601,MATCH($A304,CONTRATOS!$A$2:$A$601,0)),""))</f>
        <v/>
      </c>
      <c r="L304" s="17">
        <f>IF(OR($A304="",$E304=""),"",IFERROR(E304*INDEX(CONTRATOS!$Z$2:$Z$601,MATCH($A304,CONTRATOS!$A$2:$A$601,0)),""))</f>
        <v/>
      </c>
      <c r="M304" s="13">
        <f>IF(OR($A304="",$E304=""),"",IFERROR(E304*INDEX(CONTRATOS!$AA$2:$AA$601,MATCH($A304,CONTRATOS!$A$2:$A$601,0)),""))</f>
        <v/>
      </c>
      <c r="N304" s="19">
        <f>IF($A304="","",SUMIFS($E$2:$E$601,$A$2:$A$601,$A304))</f>
        <v/>
      </c>
      <c r="O304" s="12">
        <f>IF($A304="","",IFERROR(INDEX(CONTRATOS!$F$2:$F$601,MATCH($A304,CONTRATOS!$A$2:$A$601,0)),""))</f>
        <v/>
      </c>
      <c r="P304" s="12">
        <f>IF($A304="","",IFERROR(INDEX(CONTRATOS!$M$2:$M$601,MATCH($A304,CONTRATOS!$A$2:$A$601,0)),""))</f>
        <v/>
      </c>
      <c r="Q304" s="12">
        <f>IF($A304="","",IF(COUNTIF(CONTRATOS!$A$2:$A$601,$A304)=0,"El contrato no existe en CONTRATOS; ","")&amp;IF($B304="","Falta sujeto; ",IF(COUNTIF(SUJETOS!$A$2:$A$601,$B304)=0,"El sujeto no existe en SUJETOS; ",""))&amp;IF($E304="","Falta porcentaje; ","")&amp;IF(N304&gt;1.0001,"Los porcentajes del contrato suman más de 100 %; ","")&amp;IF(AND($C304="Individual",$E304&lt;&gt;"",$E304&lt;&gt;1),"Individual debe ser 100 %; ","")&amp;IF(AND($C304&lt;&gt;"Individual",$C304&lt;&gt;"",$E304=1),"Consorcio o UT con 100 %: revise; ","")&amp;IF(COUNTIFS($A$2:$A$601,$A304,$B$2:$B$601,$B304)&gt;1,"Participación repetida; ","")&amp;IF(AND(IFERROR(INDEX(SUJETOS!$B$2:$B$601,MATCH($B304,SUJETOS!$A$2:$A$601,0)),"")="Persona natural",$G304=""),"Persona natural sin cargo; ",""))</f>
        <v/>
      </c>
      <c r="R304" s="12">
        <f>IF($A304="","",IFERROR(IF(LEN(INDEX(SUJETOS!$F$2:$F$601,MATCH($B304,SUJETOS!$A$2:$A$601,0)))&gt;0,INDEX(SUJETOS!$F$2:$F$601,MATCH($B304,SUJETOS!$A$2:$A$601,0)),$B304),$B304))</f>
        <v/>
      </c>
    </row>
    <row r="305">
      <c r="E305" s="18" t="n"/>
      <c r="K305" s="13">
        <f>IF(OR($A305="",$E305=""),"",IFERROR(E305*INDEX(CONTRATOS!$P$2:$P$601,MATCH($A305,CONTRATOS!$A$2:$A$601,0)),""))</f>
        <v/>
      </c>
      <c r="L305" s="17">
        <f>IF(OR($A305="",$E305=""),"",IFERROR(E305*INDEX(CONTRATOS!$Z$2:$Z$601,MATCH($A305,CONTRATOS!$A$2:$A$601,0)),""))</f>
        <v/>
      </c>
      <c r="M305" s="13">
        <f>IF(OR($A305="",$E305=""),"",IFERROR(E305*INDEX(CONTRATOS!$AA$2:$AA$601,MATCH($A305,CONTRATOS!$A$2:$A$601,0)),""))</f>
        <v/>
      </c>
      <c r="N305" s="19">
        <f>IF($A305="","",SUMIFS($E$2:$E$601,$A$2:$A$601,$A305))</f>
        <v/>
      </c>
      <c r="O305" s="12">
        <f>IF($A305="","",IFERROR(INDEX(CONTRATOS!$F$2:$F$601,MATCH($A305,CONTRATOS!$A$2:$A$601,0)),""))</f>
        <v/>
      </c>
      <c r="P305" s="12">
        <f>IF($A305="","",IFERROR(INDEX(CONTRATOS!$M$2:$M$601,MATCH($A305,CONTRATOS!$A$2:$A$601,0)),""))</f>
        <v/>
      </c>
      <c r="Q305" s="12">
        <f>IF($A305="","",IF(COUNTIF(CONTRATOS!$A$2:$A$601,$A305)=0,"El contrato no existe en CONTRATOS; ","")&amp;IF($B305="","Falta sujeto; ",IF(COUNTIF(SUJETOS!$A$2:$A$601,$B305)=0,"El sujeto no existe en SUJETOS; ",""))&amp;IF($E305="","Falta porcentaje; ","")&amp;IF(N305&gt;1.0001,"Los porcentajes del contrato suman más de 100 %; ","")&amp;IF(AND($C305="Individual",$E305&lt;&gt;"",$E305&lt;&gt;1),"Individual debe ser 100 %; ","")&amp;IF(AND($C305&lt;&gt;"Individual",$C305&lt;&gt;"",$E305=1),"Consorcio o UT con 100 %: revise; ","")&amp;IF(COUNTIFS($A$2:$A$601,$A305,$B$2:$B$601,$B305)&gt;1,"Participación repetida; ","")&amp;IF(AND(IFERROR(INDEX(SUJETOS!$B$2:$B$601,MATCH($B305,SUJETOS!$A$2:$A$601,0)),"")="Persona natural",$G305=""),"Persona natural sin cargo; ",""))</f>
        <v/>
      </c>
      <c r="R305" s="12">
        <f>IF($A305="","",IFERROR(IF(LEN(INDEX(SUJETOS!$F$2:$F$601,MATCH($B305,SUJETOS!$A$2:$A$601,0)))&gt;0,INDEX(SUJETOS!$F$2:$F$601,MATCH($B305,SUJETOS!$A$2:$A$601,0)),$B305),$B305))</f>
        <v/>
      </c>
    </row>
    <row r="306">
      <c r="E306" s="18" t="n"/>
      <c r="K306" s="13">
        <f>IF(OR($A306="",$E306=""),"",IFERROR(E306*INDEX(CONTRATOS!$P$2:$P$601,MATCH($A306,CONTRATOS!$A$2:$A$601,0)),""))</f>
        <v/>
      </c>
      <c r="L306" s="17">
        <f>IF(OR($A306="",$E306=""),"",IFERROR(E306*INDEX(CONTRATOS!$Z$2:$Z$601,MATCH($A306,CONTRATOS!$A$2:$A$601,0)),""))</f>
        <v/>
      </c>
      <c r="M306" s="13">
        <f>IF(OR($A306="",$E306=""),"",IFERROR(E306*INDEX(CONTRATOS!$AA$2:$AA$601,MATCH($A306,CONTRATOS!$A$2:$A$601,0)),""))</f>
        <v/>
      </c>
      <c r="N306" s="19">
        <f>IF($A306="","",SUMIFS($E$2:$E$601,$A$2:$A$601,$A306))</f>
        <v/>
      </c>
      <c r="O306" s="12">
        <f>IF($A306="","",IFERROR(INDEX(CONTRATOS!$F$2:$F$601,MATCH($A306,CONTRATOS!$A$2:$A$601,0)),""))</f>
        <v/>
      </c>
      <c r="P306" s="12">
        <f>IF($A306="","",IFERROR(INDEX(CONTRATOS!$M$2:$M$601,MATCH($A306,CONTRATOS!$A$2:$A$601,0)),""))</f>
        <v/>
      </c>
      <c r="Q306" s="12">
        <f>IF($A306="","",IF(COUNTIF(CONTRATOS!$A$2:$A$601,$A306)=0,"El contrato no existe en CONTRATOS; ","")&amp;IF($B306="","Falta sujeto; ",IF(COUNTIF(SUJETOS!$A$2:$A$601,$B306)=0,"El sujeto no existe en SUJETOS; ",""))&amp;IF($E306="","Falta porcentaje; ","")&amp;IF(N306&gt;1.0001,"Los porcentajes del contrato suman más de 100 %; ","")&amp;IF(AND($C306="Individual",$E306&lt;&gt;"",$E306&lt;&gt;1),"Individual debe ser 100 %; ","")&amp;IF(AND($C306&lt;&gt;"Individual",$C306&lt;&gt;"",$E306=1),"Consorcio o UT con 100 %: revise; ","")&amp;IF(COUNTIFS($A$2:$A$601,$A306,$B$2:$B$601,$B306)&gt;1,"Participación repetida; ","")&amp;IF(AND(IFERROR(INDEX(SUJETOS!$B$2:$B$601,MATCH($B306,SUJETOS!$A$2:$A$601,0)),"")="Persona natural",$G306=""),"Persona natural sin cargo; ",""))</f>
        <v/>
      </c>
      <c r="R306" s="12">
        <f>IF($A306="","",IFERROR(IF(LEN(INDEX(SUJETOS!$F$2:$F$601,MATCH($B306,SUJETOS!$A$2:$A$601,0)))&gt;0,INDEX(SUJETOS!$F$2:$F$601,MATCH($B306,SUJETOS!$A$2:$A$601,0)),$B306),$B306))</f>
        <v/>
      </c>
    </row>
    <row r="307">
      <c r="E307" s="18" t="n"/>
      <c r="K307" s="13">
        <f>IF(OR($A307="",$E307=""),"",IFERROR(E307*INDEX(CONTRATOS!$P$2:$P$601,MATCH($A307,CONTRATOS!$A$2:$A$601,0)),""))</f>
        <v/>
      </c>
      <c r="L307" s="17">
        <f>IF(OR($A307="",$E307=""),"",IFERROR(E307*INDEX(CONTRATOS!$Z$2:$Z$601,MATCH($A307,CONTRATOS!$A$2:$A$601,0)),""))</f>
        <v/>
      </c>
      <c r="M307" s="13">
        <f>IF(OR($A307="",$E307=""),"",IFERROR(E307*INDEX(CONTRATOS!$AA$2:$AA$601,MATCH($A307,CONTRATOS!$A$2:$A$601,0)),""))</f>
        <v/>
      </c>
      <c r="N307" s="19">
        <f>IF($A307="","",SUMIFS($E$2:$E$601,$A$2:$A$601,$A307))</f>
        <v/>
      </c>
      <c r="O307" s="12">
        <f>IF($A307="","",IFERROR(INDEX(CONTRATOS!$F$2:$F$601,MATCH($A307,CONTRATOS!$A$2:$A$601,0)),""))</f>
        <v/>
      </c>
      <c r="P307" s="12">
        <f>IF($A307="","",IFERROR(INDEX(CONTRATOS!$M$2:$M$601,MATCH($A307,CONTRATOS!$A$2:$A$601,0)),""))</f>
        <v/>
      </c>
      <c r="Q307" s="12">
        <f>IF($A307="","",IF(COUNTIF(CONTRATOS!$A$2:$A$601,$A307)=0,"El contrato no existe en CONTRATOS; ","")&amp;IF($B307="","Falta sujeto; ",IF(COUNTIF(SUJETOS!$A$2:$A$601,$B307)=0,"El sujeto no existe en SUJETOS; ",""))&amp;IF($E307="","Falta porcentaje; ","")&amp;IF(N307&gt;1.0001,"Los porcentajes del contrato suman más de 100 %; ","")&amp;IF(AND($C307="Individual",$E307&lt;&gt;"",$E307&lt;&gt;1),"Individual debe ser 100 %; ","")&amp;IF(AND($C307&lt;&gt;"Individual",$C307&lt;&gt;"",$E307=1),"Consorcio o UT con 100 %: revise; ","")&amp;IF(COUNTIFS($A$2:$A$601,$A307,$B$2:$B$601,$B307)&gt;1,"Participación repetida; ","")&amp;IF(AND(IFERROR(INDEX(SUJETOS!$B$2:$B$601,MATCH($B307,SUJETOS!$A$2:$A$601,0)),"")="Persona natural",$G307=""),"Persona natural sin cargo; ",""))</f>
        <v/>
      </c>
      <c r="R307" s="12">
        <f>IF($A307="","",IFERROR(IF(LEN(INDEX(SUJETOS!$F$2:$F$601,MATCH($B307,SUJETOS!$A$2:$A$601,0)))&gt;0,INDEX(SUJETOS!$F$2:$F$601,MATCH($B307,SUJETOS!$A$2:$A$601,0)),$B307),$B307))</f>
        <v/>
      </c>
    </row>
    <row r="308">
      <c r="E308" s="18" t="n"/>
      <c r="K308" s="13">
        <f>IF(OR($A308="",$E308=""),"",IFERROR(E308*INDEX(CONTRATOS!$P$2:$P$601,MATCH($A308,CONTRATOS!$A$2:$A$601,0)),""))</f>
        <v/>
      </c>
      <c r="L308" s="17">
        <f>IF(OR($A308="",$E308=""),"",IFERROR(E308*INDEX(CONTRATOS!$Z$2:$Z$601,MATCH($A308,CONTRATOS!$A$2:$A$601,0)),""))</f>
        <v/>
      </c>
      <c r="M308" s="13">
        <f>IF(OR($A308="",$E308=""),"",IFERROR(E308*INDEX(CONTRATOS!$AA$2:$AA$601,MATCH($A308,CONTRATOS!$A$2:$A$601,0)),""))</f>
        <v/>
      </c>
      <c r="N308" s="19">
        <f>IF($A308="","",SUMIFS($E$2:$E$601,$A$2:$A$601,$A308))</f>
        <v/>
      </c>
      <c r="O308" s="12">
        <f>IF($A308="","",IFERROR(INDEX(CONTRATOS!$F$2:$F$601,MATCH($A308,CONTRATOS!$A$2:$A$601,0)),""))</f>
        <v/>
      </c>
      <c r="P308" s="12">
        <f>IF($A308="","",IFERROR(INDEX(CONTRATOS!$M$2:$M$601,MATCH($A308,CONTRATOS!$A$2:$A$601,0)),""))</f>
        <v/>
      </c>
      <c r="Q308" s="12">
        <f>IF($A308="","",IF(COUNTIF(CONTRATOS!$A$2:$A$601,$A308)=0,"El contrato no existe en CONTRATOS; ","")&amp;IF($B308="","Falta sujeto; ",IF(COUNTIF(SUJETOS!$A$2:$A$601,$B308)=0,"El sujeto no existe en SUJETOS; ",""))&amp;IF($E308="","Falta porcentaje; ","")&amp;IF(N308&gt;1.0001,"Los porcentajes del contrato suman más de 100 %; ","")&amp;IF(AND($C308="Individual",$E308&lt;&gt;"",$E308&lt;&gt;1),"Individual debe ser 100 %; ","")&amp;IF(AND($C308&lt;&gt;"Individual",$C308&lt;&gt;"",$E308=1),"Consorcio o UT con 100 %: revise; ","")&amp;IF(COUNTIFS($A$2:$A$601,$A308,$B$2:$B$601,$B308)&gt;1,"Participación repetida; ","")&amp;IF(AND(IFERROR(INDEX(SUJETOS!$B$2:$B$601,MATCH($B308,SUJETOS!$A$2:$A$601,0)),"")="Persona natural",$G308=""),"Persona natural sin cargo; ",""))</f>
        <v/>
      </c>
      <c r="R308" s="12">
        <f>IF($A308="","",IFERROR(IF(LEN(INDEX(SUJETOS!$F$2:$F$601,MATCH($B308,SUJETOS!$A$2:$A$601,0)))&gt;0,INDEX(SUJETOS!$F$2:$F$601,MATCH($B308,SUJETOS!$A$2:$A$601,0)),$B308),$B308))</f>
        <v/>
      </c>
    </row>
    <row r="309">
      <c r="E309" s="18" t="n"/>
      <c r="K309" s="13">
        <f>IF(OR($A309="",$E309=""),"",IFERROR(E309*INDEX(CONTRATOS!$P$2:$P$601,MATCH($A309,CONTRATOS!$A$2:$A$601,0)),""))</f>
        <v/>
      </c>
      <c r="L309" s="17">
        <f>IF(OR($A309="",$E309=""),"",IFERROR(E309*INDEX(CONTRATOS!$Z$2:$Z$601,MATCH($A309,CONTRATOS!$A$2:$A$601,0)),""))</f>
        <v/>
      </c>
      <c r="M309" s="13">
        <f>IF(OR($A309="",$E309=""),"",IFERROR(E309*INDEX(CONTRATOS!$AA$2:$AA$601,MATCH($A309,CONTRATOS!$A$2:$A$601,0)),""))</f>
        <v/>
      </c>
      <c r="N309" s="19">
        <f>IF($A309="","",SUMIFS($E$2:$E$601,$A$2:$A$601,$A309))</f>
        <v/>
      </c>
      <c r="O309" s="12">
        <f>IF($A309="","",IFERROR(INDEX(CONTRATOS!$F$2:$F$601,MATCH($A309,CONTRATOS!$A$2:$A$601,0)),""))</f>
        <v/>
      </c>
      <c r="P309" s="12">
        <f>IF($A309="","",IFERROR(INDEX(CONTRATOS!$M$2:$M$601,MATCH($A309,CONTRATOS!$A$2:$A$601,0)),""))</f>
        <v/>
      </c>
      <c r="Q309" s="12">
        <f>IF($A309="","",IF(COUNTIF(CONTRATOS!$A$2:$A$601,$A309)=0,"El contrato no existe en CONTRATOS; ","")&amp;IF($B309="","Falta sujeto; ",IF(COUNTIF(SUJETOS!$A$2:$A$601,$B309)=0,"El sujeto no existe en SUJETOS; ",""))&amp;IF($E309="","Falta porcentaje; ","")&amp;IF(N309&gt;1.0001,"Los porcentajes del contrato suman más de 100 %; ","")&amp;IF(AND($C309="Individual",$E309&lt;&gt;"",$E309&lt;&gt;1),"Individual debe ser 100 %; ","")&amp;IF(AND($C309&lt;&gt;"Individual",$C309&lt;&gt;"",$E309=1),"Consorcio o UT con 100 %: revise; ","")&amp;IF(COUNTIFS($A$2:$A$601,$A309,$B$2:$B$601,$B309)&gt;1,"Participación repetida; ","")&amp;IF(AND(IFERROR(INDEX(SUJETOS!$B$2:$B$601,MATCH($B309,SUJETOS!$A$2:$A$601,0)),"")="Persona natural",$G309=""),"Persona natural sin cargo; ",""))</f>
        <v/>
      </c>
      <c r="R309" s="12">
        <f>IF($A309="","",IFERROR(IF(LEN(INDEX(SUJETOS!$F$2:$F$601,MATCH($B309,SUJETOS!$A$2:$A$601,0)))&gt;0,INDEX(SUJETOS!$F$2:$F$601,MATCH($B309,SUJETOS!$A$2:$A$601,0)),$B309),$B309))</f>
        <v/>
      </c>
    </row>
    <row r="310">
      <c r="E310" s="18" t="n"/>
      <c r="K310" s="13">
        <f>IF(OR($A310="",$E310=""),"",IFERROR(E310*INDEX(CONTRATOS!$P$2:$P$601,MATCH($A310,CONTRATOS!$A$2:$A$601,0)),""))</f>
        <v/>
      </c>
      <c r="L310" s="17">
        <f>IF(OR($A310="",$E310=""),"",IFERROR(E310*INDEX(CONTRATOS!$Z$2:$Z$601,MATCH($A310,CONTRATOS!$A$2:$A$601,0)),""))</f>
        <v/>
      </c>
      <c r="M310" s="13">
        <f>IF(OR($A310="",$E310=""),"",IFERROR(E310*INDEX(CONTRATOS!$AA$2:$AA$601,MATCH($A310,CONTRATOS!$A$2:$A$601,0)),""))</f>
        <v/>
      </c>
      <c r="N310" s="19">
        <f>IF($A310="","",SUMIFS($E$2:$E$601,$A$2:$A$601,$A310))</f>
        <v/>
      </c>
      <c r="O310" s="12">
        <f>IF($A310="","",IFERROR(INDEX(CONTRATOS!$F$2:$F$601,MATCH($A310,CONTRATOS!$A$2:$A$601,0)),""))</f>
        <v/>
      </c>
      <c r="P310" s="12">
        <f>IF($A310="","",IFERROR(INDEX(CONTRATOS!$M$2:$M$601,MATCH($A310,CONTRATOS!$A$2:$A$601,0)),""))</f>
        <v/>
      </c>
      <c r="Q310" s="12">
        <f>IF($A310="","",IF(COUNTIF(CONTRATOS!$A$2:$A$601,$A310)=0,"El contrato no existe en CONTRATOS; ","")&amp;IF($B310="","Falta sujeto; ",IF(COUNTIF(SUJETOS!$A$2:$A$601,$B310)=0,"El sujeto no existe en SUJETOS; ",""))&amp;IF($E310="","Falta porcentaje; ","")&amp;IF(N310&gt;1.0001,"Los porcentajes del contrato suman más de 100 %; ","")&amp;IF(AND($C310="Individual",$E310&lt;&gt;"",$E310&lt;&gt;1),"Individual debe ser 100 %; ","")&amp;IF(AND($C310&lt;&gt;"Individual",$C310&lt;&gt;"",$E310=1),"Consorcio o UT con 100 %: revise; ","")&amp;IF(COUNTIFS($A$2:$A$601,$A310,$B$2:$B$601,$B310)&gt;1,"Participación repetida; ","")&amp;IF(AND(IFERROR(INDEX(SUJETOS!$B$2:$B$601,MATCH($B310,SUJETOS!$A$2:$A$601,0)),"")="Persona natural",$G310=""),"Persona natural sin cargo; ",""))</f>
        <v/>
      </c>
      <c r="R310" s="12">
        <f>IF($A310="","",IFERROR(IF(LEN(INDEX(SUJETOS!$F$2:$F$601,MATCH($B310,SUJETOS!$A$2:$A$601,0)))&gt;0,INDEX(SUJETOS!$F$2:$F$601,MATCH($B310,SUJETOS!$A$2:$A$601,0)),$B310),$B310))</f>
        <v/>
      </c>
    </row>
    <row r="311">
      <c r="E311" s="18" t="n"/>
      <c r="K311" s="13">
        <f>IF(OR($A311="",$E311=""),"",IFERROR(E311*INDEX(CONTRATOS!$P$2:$P$601,MATCH($A311,CONTRATOS!$A$2:$A$601,0)),""))</f>
        <v/>
      </c>
      <c r="L311" s="17">
        <f>IF(OR($A311="",$E311=""),"",IFERROR(E311*INDEX(CONTRATOS!$Z$2:$Z$601,MATCH($A311,CONTRATOS!$A$2:$A$601,0)),""))</f>
        <v/>
      </c>
      <c r="M311" s="13">
        <f>IF(OR($A311="",$E311=""),"",IFERROR(E311*INDEX(CONTRATOS!$AA$2:$AA$601,MATCH($A311,CONTRATOS!$A$2:$A$601,0)),""))</f>
        <v/>
      </c>
      <c r="N311" s="19">
        <f>IF($A311="","",SUMIFS($E$2:$E$601,$A$2:$A$601,$A311))</f>
        <v/>
      </c>
      <c r="O311" s="12">
        <f>IF($A311="","",IFERROR(INDEX(CONTRATOS!$F$2:$F$601,MATCH($A311,CONTRATOS!$A$2:$A$601,0)),""))</f>
        <v/>
      </c>
      <c r="P311" s="12">
        <f>IF($A311="","",IFERROR(INDEX(CONTRATOS!$M$2:$M$601,MATCH($A311,CONTRATOS!$A$2:$A$601,0)),""))</f>
        <v/>
      </c>
      <c r="Q311" s="12">
        <f>IF($A311="","",IF(COUNTIF(CONTRATOS!$A$2:$A$601,$A311)=0,"El contrato no existe en CONTRATOS; ","")&amp;IF($B311="","Falta sujeto; ",IF(COUNTIF(SUJETOS!$A$2:$A$601,$B311)=0,"El sujeto no existe en SUJETOS; ",""))&amp;IF($E311="","Falta porcentaje; ","")&amp;IF(N311&gt;1.0001,"Los porcentajes del contrato suman más de 100 %; ","")&amp;IF(AND($C311="Individual",$E311&lt;&gt;"",$E311&lt;&gt;1),"Individual debe ser 100 %; ","")&amp;IF(AND($C311&lt;&gt;"Individual",$C311&lt;&gt;"",$E311=1),"Consorcio o UT con 100 %: revise; ","")&amp;IF(COUNTIFS($A$2:$A$601,$A311,$B$2:$B$601,$B311)&gt;1,"Participación repetida; ","")&amp;IF(AND(IFERROR(INDEX(SUJETOS!$B$2:$B$601,MATCH($B311,SUJETOS!$A$2:$A$601,0)),"")="Persona natural",$G311=""),"Persona natural sin cargo; ",""))</f>
        <v/>
      </c>
      <c r="R311" s="12">
        <f>IF($A311="","",IFERROR(IF(LEN(INDEX(SUJETOS!$F$2:$F$601,MATCH($B311,SUJETOS!$A$2:$A$601,0)))&gt;0,INDEX(SUJETOS!$F$2:$F$601,MATCH($B311,SUJETOS!$A$2:$A$601,0)),$B311),$B311))</f>
        <v/>
      </c>
    </row>
    <row r="312">
      <c r="E312" s="18" t="n"/>
      <c r="K312" s="13">
        <f>IF(OR($A312="",$E312=""),"",IFERROR(E312*INDEX(CONTRATOS!$P$2:$P$601,MATCH($A312,CONTRATOS!$A$2:$A$601,0)),""))</f>
        <v/>
      </c>
      <c r="L312" s="17">
        <f>IF(OR($A312="",$E312=""),"",IFERROR(E312*INDEX(CONTRATOS!$Z$2:$Z$601,MATCH($A312,CONTRATOS!$A$2:$A$601,0)),""))</f>
        <v/>
      </c>
      <c r="M312" s="13">
        <f>IF(OR($A312="",$E312=""),"",IFERROR(E312*INDEX(CONTRATOS!$AA$2:$AA$601,MATCH($A312,CONTRATOS!$A$2:$A$601,0)),""))</f>
        <v/>
      </c>
      <c r="N312" s="19">
        <f>IF($A312="","",SUMIFS($E$2:$E$601,$A$2:$A$601,$A312))</f>
        <v/>
      </c>
      <c r="O312" s="12">
        <f>IF($A312="","",IFERROR(INDEX(CONTRATOS!$F$2:$F$601,MATCH($A312,CONTRATOS!$A$2:$A$601,0)),""))</f>
        <v/>
      </c>
      <c r="P312" s="12">
        <f>IF($A312="","",IFERROR(INDEX(CONTRATOS!$M$2:$M$601,MATCH($A312,CONTRATOS!$A$2:$A$601,0)),""))</f>
        <v/>
      </c>
      <c r="Q312" s="12">
        <f>IF($A312="","",IF(COUNTIF(CONTRATOS!$A$2:$A$601,$A312)=0,"El contrato no existe en CONTRATOS; ","")&amp;IF($B312="","Falta sujeto; ",IF(COUNTIF(SUJETOS!$A$2:$A$601,$B312)=0,"El sujeto no existe en SUJETOS; ",""))&amp;IF($E312="","Falta porcentaje; ","")&amp;IF(N312&gt;1.0001,"Los porcentajes del contrato suman más de 100 %; ","")&amp;IF(AND($C312="Individual",$E312&lt;&gt;"",$E312&lt;&gt;1),"Individual debe ser 100 %; ","")&amp;IF(AND($C312&lt;&gt;"Individual",$C312&lt;&gt;"",$E312=1),"Consorcio o UT con 100 %: revise; ","")&amp;IF(COUNTIFS($A$2:$A$601,$A312,$B$2:$B$601,$B312)&gt;1,"Participación repetida; ","")&amp;IF(AND(IFERROR(INDEX(SUJETOS!$B$2:$B$601,MATCH($B312,SUJETOS!$A$2:$A$601,0)),"")="Persona natural",$G312=""),"Persona natural sin cargo; ",""))</f>
        <v/>
      </c>
      <c r="R312" s="12">
        <f>IF($A312="","",IFERROR(IF(LEN(INDEX(SUJETOS!$F$2:$F$601,MATCH($B312,SUJETOS!$A$2:$A$601,0)))&gt;0,INDEX(SUJETOS!$F$2:$F$601,MATCH($B312,SUJETOS!$A$2:$A$601,0)),$B312),$B312))</f>
        <v/>
      </c>
    </row>
    <row r="313">
      <c r="E313" s="18" t="n"/>
      <c r="K313" s="13">
        <f>IF(OR($A313="",$E313=""),"",IFERROR(E313*INDEX(CONTRATOS!$P$2:$P$601,MATCH($A313,CONTRATOS!$A$2:$A$601,0)),""))</f>
        <v/>
      </c>
      <c r="L313" s="17">
        <f>IF(OR($A313="",$E313=""),"",IFERROR(E313*INDEX(CONTRATOS!$Z$2:$Z$601,MATCH($A313,CONTRATOS!$A$2:$A$601,0)),""))</f>
        <v/>
      </c>
      <c r="M313" s="13">
        <f>IF(OR($A313="",$E313=""),"",IFERROR(E313*INDEX(CONTRATOS!$AA$2:$AA$601,MATCH($A313,CONTRATOS!$A$2:$A$601,0)),""))</f>
        <v/>
      </c>
      <c r="N313" s="19">
        <f>IF($A313="","",SUMIFS($E$2:$E$601,$A$2:$A$601,$A313))</f>
        <v/>
      </c>
      <c r="O313" s="12">
        <f>IF($A313="","",IFERROR(INDEX(CONTRATOS!$F$2:$F$601,MATCH($A313,CONTRATOS!$A$2:$A$601,0)),""))</f>
        <v/>
      </c>
      <c r="P313" s="12">
        <f>IF($A313="","",IFERROR(INDEX(CONTRATOS!$M$2:$M$601,MATCH($A313,CONTRATOS!$A$2:$A$601,0)),""))</f>
        <v/>
      </c>
      <c r="Q313" s="12">
        <f>IF($A313="","",IF(COUNTIF(CONTRATOS!$A$2:$A$601,$A313)=0,"El contrato no existe en CONTRATOS; ","")&amp;IF($B313="","Falta sujeto; ",IF(COUNTIF(SUJETOS!$A$2:$A$601,$B313)=0,"El sujeto no existe en SUJETOS; ",""))&amp;IF($E313="","Falta porcentaje; ","")&amp;IF(N313&gt;1.0001,"Los porcentajes del contrato suman más de 100 %; ","")&amp;IF(AND($C313="Individual",$E313&lt;&gt;"",$E313&lt;&gt;1),"Individual debe ser 100 %; ","")&amp;IF(AND($C313&lt;&gt;"Individual",$C313&lt;&gt;"",$E313=1),"Consorcio o UT con 100 %: revise; ","")&amp;IF(COUNTIFS($A$2:$A$601,$A313,$B$2:$B$601,$B313)&gt;1,"Participación repetida; ","")&amp;IF(AND(IFERROR(INDEX(SUJETOS!$B$2:$B$601,MATCH($B313,SUJETOS!$A$2:$A$601,0)),"")="Persona natural",$G313=""),"Persona natural sin cargo; ",""))</f>
        <v/>
      </c>
      <c r="R313" s="12">
        <f>IF($A313="","",IFERROR(IF(LEN(INDEX(SUJETOS!$F$2:$F$601,MATCH($B313,SUJETOS!$A$2:$A$601,0)))&gt;0,INDEX(SUJETOS!$F$2:$F$601,MATCH($B313,SUJETOS!$A$2:$A$601,0)),$B313),$B313))</f>
        <v/>
      </c>
    </row>
    <row r="314">
      <c r="E314" s="18" t="n"/>
      <c r="K314" s="13">
        <f>IF(OR($A314="",$E314=""),"",IFERROR(E314*INDEX(CONTRATOS!$P$2:$P$601,MATCH($A314,CONTRATOS!$A$2:$A$601,0)),""))</f>
        <v/>
      </c>
      <c r="L314" s="17">
        <f>IF(OR($A314="",$E314=""),"",IFERROR(E314*INDEX(CONTRATOS!$Z$2:$Z$601,MATCH($A314,CONTRATOS!$A$2:$A$601,0)),""))</f>
        <v/>
      </c>
      <c r="M314" s="13">
        <f>IF(OR($A314="",$E314=""),"",IFERROR(E314*INDEX(CONTRATOS!$AA$2:$AA$601,MATCH($A314,CONTRATOS!$A$2:$A$601,0)),""))</f>
        <v/>
      </c>
      <c r="N314" s="19">
        <f>IF($A314="","",SUMIFS($E$2:$E$601,$A$2:$A$601,$A314))</f>
        <v/>
      </c>
      <c r="O314" s="12">
        <f>IF($A314="","",IFERROR(INDEX(CONTRATOS!$F$2:$F$601,MATCH($A314,CONTRATOS!$A$2:$A$601,0)),""))</f>
        <v/>
      </c>
      <c r="P314" s="12">
        <f>IF($A314="","",IFERROR(INDEX(CONTRATOS!$M$2:$M$601,MATCH($A314,CONTRATOS!$A$2:$A$601,0)),""))</f>
        <v/>
      </c>
      <c r="Q314" s="12">
        <f>IF($A314="","",IF(COUNTIF(CONTRATOS!$A$2:$A$601,$A314)=0,"El contrato no existe en CONTRATOS; ","")&amp;IF($B314="","Falta sujeto; ",IF(COUNTIF(SUJETOS!$A$2:$A$601,$B314)=0,"El sujeto no existe en SUJETOS; ",""))&amp;IF($E314="","Falta porcentaje; ","")&amp;IF(N314&gt;1.0001,"Los porcentajes del contrato suman más de 100 %; ","")&amp;IF(AND($C314="Individual",$E314&lt;&gt;"",$E314&lt;&gt;1),"Individual debe ser 100 %; ","")&amp;IF(AND($C314&lt;&gt;"Individual",$C314&lt;&gt;"",$E314=1),"Consorcio o UT con 100 %: revise; ","")&amp;IF(COUNTIFS($A$2:$A$601,$A314,$B$2:$B$601,$B314)&gt;1,"Participación repetida; ","")&amp;IF(AND(IFERROR(INDEX(SUJETOS!$B$2:$B$601,MATCH($B314,SUJETOS!$A$2:$A$601,0)),"")="Persona natural",$G314=""),"Persona natural sin cargo; ",""))</f>
        <v/>
      </c>
      <c r="R314" s="12">
        <f>IF($A314="","",IFERROR(IF(LEN(INDEX(SUJETOS!$F$2:$F$601,MATCH($B314,SUJETOS!$A$2:$A$601,0)))&gt;0,INDEX(SUJETOS!$F$2:$F$601,MATCH($B314,SUJETOS!$A$2:$A$601,0)),$B314),$B314))</f>
        <v/>
      </c>
    </row>
    <row r="315">
      <c r="E315" s="18" t="n"/>
      <c r="K315" s="13">
        <f>IF(OR($A315="",$E315=""),"",IFERROR(E315*INDEX(CONTRATOS!$P$2:$P$601,MATCH($A315,CONTRATOS!$A$2:$A$601,0)),""))</f>
        <v/>
      </c>
      <c r="L315" s="17">
        <f>IF(OR($A315="",$E315=""),"",IFERROR(E315*INDEX(CONTRATOS!$Z$2:$Z$601,MATCH($A315,CONTRATOS!$A$2:$A$601,0)),""))</f>
        <v/>
      </c>
      <c r="M315" s="13">
        <f>IF(OR($A315="",$E315=""),"",IFERROR(E315*INDEX(CONTRATOS!$AA$2:$AA$601,MATCH($A315,CONTRATOS!$A$2:$A$601,0)),""))</f>
        <v/>
      </c>
      <c r="N315" s="19">
        <f>IF($A315="","",SUMIFS($E$2:$E$601,$A$2:$A$601,$A315))</f>
        <v/>
      </c>
      <c r="O315" s="12">
        <f>IF($A315="","",IFERROR(INDEX(CONTRATOS!$F$2:$F$601,MATCH($A315,CONTRATOS!$A$2:$A$601,0)),""))</f>
        <v/>
      </c>
      <c r="P315" s="12">
        <f>IF($A315="","",IFERROR(INDEX(CONTRATOS!$M$2:$M$601,MATCH($A315,CONTRATOS!$A$2:$A$601,0)),""))</f>
        <v/>
      </c>
      <c r="Q315" s="12">
        <f>IF($A315="","",IF(COUNTIF(CONTRATOS!$A$2:$A$601,$A315)=0,"El contrato no existe en CONTRATOS; ","")&amp;IF($B315="","Falta sujeto; ",IF(COUNTIF(SUJETOS!$A$2:$A$601,$B315)=0,"El sujeto no existe en SUJETOS; ",""))&amp;IF($E315="","Falta porcentaje; ","")&amp;IF(N315&gt;1.0001,"Los porcentajes del contrato suman más de 100 %; ","")&amp;IF(AND($C315="Individual",$E315&lt;&gt;"",$E315&lt;&gt;1),"Individual debe ser 100 %; ","")&amp;IF(AND($C315&lt;&gt;"Individual",$C315&lt;&gt;"",$E315=1),"Consorcio o UT con 100 %: revise; ","")&amp;IF(COUNTIFS($A$2:$A$601,$A315,$B$2:$B$601,$B315)&gt;1,"Participación repetida; ","")&amp;IF(AND(IFERROR(INDEX(SUJETOS!$B$2:$B$601,MATCH($B315,SUJETOS!$A$2:$A$601,0)),"")="Persona natural",$G315=""),"Persona natural sin cargo; ",""))</f>
        <v/>
      </c>
      <c r="R315" s="12">
        <f>IF($A315="","",IFERROR(IF(LEN(INDEX(SUJETOS!$F$2:$F$601,MATCH($B315,SUJETOS!$A$2:$A$601,0)))&gt;0,INDEX(SUJETOS!$F$2:$F$601,MATCH($B315,SUJETOS!$A$2:$A$601,0)),$B315),$B315))</f>
        <v/>
      </c>
    </row>
    <row r="316">
      <c r="E316" s="18" t="n"/>
      <c r="K316" s="13">
        <f>IF(OR($A316="",$E316=""),"",IFERROR(E316*INDEX(CONTRATOS!$P$2:$P$601,MATCH($A316,CONTRATOS!$A$2:$A$601,0)),""))</f>
        <v/>
      </c>
      <c r="L316" s="17">
        <f>IF(OR($A316="",$E316=""),"",IFERROR(E316*INDEX(CONTRATOS!$Z$2:$Z$601,MATCH($A316,CONTRATOS!$A$2:$A$601,0)),""))</f>
        <v/>
      </c>
      <c r="M316" s="13">
        <f>IF(OR($A316="",$E316=""),"",IFERROR(E316*INDEX(CONTRATOS!$AA$2:$AA$601,MATCH($A316,CONTRATOS!$A$2:$A$601,0)),""))</f>
        <v/>
      </c>
      <c r="N316" s="19">
        <f>IF($A316="","",SUMIFS($E$2:$E$601,$A$2:$A$601,$A316))</f>
        <v/>
      </c>
      <c r="O316" s="12">
        <f>IF($A316="","",IFERROR(INDEX(CONTRATOS!$F$2:$F$601,MATCH($A316,CONTRATOS!$A$2:$A$601,0)),""))</f>
        <v/>
      </c>
      <c r="P316" s="12">
        <f>IF($A316="","",IFERROR(INDEX(CONTRATOS!$M$2:$M$601,MATCH($A316,CONTRATOS!$A$2:$A$601,0)),""))</f>
        <v/>
      </c>
      <c r="Q316" s="12">
        <f>IF($A316="","",IF(COUNTIF(CONTRATOS!$A$2:$A$601,$A316)=0,"El contrato no existe en CONTRATOS; ","")&amp;IF($B316="","Falta sujeto; ",IF(COUNTIF(SUJETOS!$A$2:$A$601,$B316)=0,"El sujeto no existe en SUJETOS; ",""))&amp;IF($E316="","Falta porcentaje; ","")&amp;IF(N316&gt;1.0001,"Los porcentajes del contrato suman más de 100 %; ","")&amp;IF(AND($C316="Individual",$E316&lt;&gt;"",$E316&lt;&gt;1),"Individual debe ser 100 %; ","")&amp;IF(AND($C316&lt;&gt;"Individual",$C316&lt;&gt;"",$E316=1),"Consorcio o UT con 100 %: revise; ","")&amp;IF(COUNTIFS($A$2:$A$601,$A316,$B$2:$B$601,$B316)&gt;1,"Participación repetida; ","")&amp;IF(AND(IFERROR(INDEX(SUJETOS!$B$2:$B$601,MATCH($B316,SUJETOS!$A$2:$A$601,0)),"")="Persona natural",$G316=""),"Persona natural sin cargo; ",""))</f>
        <v/>
      </c>
      <c r="R316" s="12">
        <f>IF($A316="","",IFERROR(IF(LEN(INDEX(SUJETOS!$F$2:$F$601,MATCH($B316,SUJETOS!$A$2:$A$601,0)))&gt;0,INDEX(SUJETOS!$F$2:$F$601,MATCH($B316,SUJETOS!$A$2:$A$601,0)),$B316),$B316))</f>
        <v/>
      </c>
    </row>
    <row r="317">
      <c r="E317" s="18" t="n"/>
      <c r="K317" s="13">
        <f>IF(OR($A317="",$E317=""),"",IFERROR(E317*INDEX(CONTRATOS!$P$2:$P$601,MATCH($A317,CONTRATOS!$A$2:$A$601,0)),""))</f>
        <v/>
      </c>
      <c r="L317" s="17">
        <f>IF(OR($A317="",$E317=""),"",IFERROR(E317*INDEX(CONTRATOS!$Z$2:$Z$601,MATCH($A317,CONTRATOS!$A$2:$A$601,0)),""))</f>
        <v/>
      </c>
      <c r="M317" s="13">
        <f>IF(OR($A317="",$E317=""),"",IFERROR(E317*INDEX(CONTRATOS!$AA$2:$AA$601,MATCH($A317,CONTRATOS!$A$2:$A$601,0)),""))</f>
        <v/>
      </c>
      <c r="N317" s="19">
        <f>IF($A317="","",SUMIFS($E$2:$E$601,$A$2:$A$601,$A317))</f>
        <v/>
      </c>
      <c r="O317" s="12">
        <f>IF($A317="","",IFERROR(INDEX(CONTRATOS!$F$2:$F$601,MATCH($A317,CONTRATOS!$A$2:$A$601,0)),""))</f>
        <v/>
      </c>
      <c r="P317" s="12">
        <f>IF($A317="","",IFERROR(INDEX(CONTRATOS!$M$2:$M$601,MATCH($A317,CONTRATOS!$A$2:$A$601,0)),""))</f>
        <v/>
      </c>
      <c r="Q317" s="12">
        <f>IF($A317="","",IF(COUNTIF(CONTRATOS!$A$2:$A$601,$A317)=0,"El contrato no existe en CONTRATOS; ","")&amp;IF($B317="","Falta sujeto; ",IF(COUNTIF(SUJETOS!$A$2:$A$601,$B317)=0,"El sujeto no existe en SUJETOS; ",""))&amp;IF($E317="","Falta porcentaje; ","")&amp;IF(N317&gt;1.0001,"Los porcentajes del contrato suman más de 100 %; ","")&amp;IF(AND($C317="Individual",$E317&lt;&gt;"",$E317&lt;&gt;1),"Individual debe ser 100 %; ","")&amp;IF(AND($C317&lt;&gt;"Individual",$C317&lt;&gt;"",$E317=1),"Consorcio o UT con 100 %: revise; ","")&amp;IF(COUNTIFS($A$2:$A$601,$A317,$B$2:$B$601,$B317)&gt;1,"Participación repetida; ","")&amp;IF(AND(IFERROR(INDEX(SUJETOS!$B$2:$B$601,MATCH($B317,SUJETOS!$A$2:$A$601,0)),"")="Persona natural",$G317=""),"Persona natural sin cargo; ",""))</f>
        <v/>
      </c>
      <c r="R317" s="12">
        <f>IF($A317="","",IFERROR(IF(LEN(INDEX(SUJETOS!$F$2:$F$601,MATCH($B317,SUJETOS!$A$2:$A$601,0)))&gt;0,INDEX(SUJETOS!$F$2:$F$601,MATCH($B317,SUJETOS!$A$2:$A$601,0)),$B317),$B317))</f>
        <v/>
      </c>
    </row>
    <row r="318">
      <c r="E318" s="18" t="n"/>
      <c r="K318" s="13">
        <f>IF(OR($A318="",$E318=""),"",IFERROR(E318*INDEX(CONTRATOS!$P$2:$P$601,MATCH($A318,CONTRATOS!$A$2:$A$601,0)),""))</f>
        <v/>
      </c>
      <c r="L318" s="17">
        <f>IF(OR($A318="",$E318=""),"",IFERROR(E318*INDEX(CONTRATOS!$Z$2:$Z$601,MATCH($A318,CONTRATOS!$A$2:$A$601,0)),""))</f>
        <v/>
      </c>
      <c r="M318" s="13">
        <f>IF(OR($A318="",$E318=""),"",IFERROR(E318*INDEX(CONTRATOS!$AA$2:$AA$601,MATCH($A318,CONTRATOS!$A$2:$A$601,0)),""))</f>
        <v/>
      </c>
      <c r="N318" s="19">
        <f>IF($A318="","",SUMIFS($E$2:$E$601,$A$2:$A$601,$A318))</f>
        <v/>
      </c>
      <c r="O318" s="12">
        <f>IF($A318="","",IFERROR(INDEX(CONTRATOS!$F$2:$F$601,MATCH($A318,CONTRATOS!$A$2:$A$601,0)),""))</f>
        <v/>
      </c>
      <c r="P318" s="12">
        <f>IF($A318="","",IFERROR(INDEX(CONTRATOS!$M$2:$M$601,MATCH($A318,CONTRATOS!$A$2:$A$601,0)),""))</f>
        <v/>
      </c>
      <c r="Q318" s="12">
        <f>IF($A318="","",IF(COUNTIF(CONTRATOS!$A$2:$A$601,$A318)=0,"El contrato no existe en CONTRATOS; ","")&amp;IF($B318="","Falta sujeto; ",IF(COUNTIF(SUJETOS!$A$2:$A$601,$B318)=0,"El sujeto no existe en SUJETOS; ",""))&amp;IF($E318="","Falta porcentaje; ","")&amp;IF(N318&gt;1.0001,"Los porcentajes del contrato suman más de 100 %; ","")&amp;IF(AND($C318="Individual",$E318&lt;&gt;"",$E318&lt;&gt;1),"Individual debe ser 100 %; ","")&amp;IF(AND($C318&lt;&gt;"Individual",$C318&lt;&gt;"",$E318=1),"Consorcio o UT con 100 %: revise; ","")&amp;IF(COUNTIFS($A$2:$A$601,$A318,$B$2:$B$601,$B318)&gt;1,"Participación repetida; ","")&amp;IF(AND(IFERROR(INDEX(SUJETOS!$B$2:$B$601,MATCH($B318,SUJETOS!$A$2:$A$601,0)),"")="Persona natural",$G318=""),"Persona natural sin cargo; ",""))</f>
        <v/>
      </c>
      <c r="R318" s="12">
        <f>IF($A318="","",IFERROR(IF(LEN(INDEX(SUJETOS!$F$2:$F$601,MATCH($B318,SUJETOS!$A$2:$A$601,0)))&gt;0,INDEX(SUJETOS!$F$2:$F$601,MATCH($B318,SUJETOS!$A$2:$A$601,0)),$B318),$B318))</f>
        <v/>
      </c>
    </row>
    <row r="319">
      <c r="E319" s="18" t="n"/>
      <c r="K319" s="13">
        <f>IF(OR($A319="",$E319=""),"",IFERROR(E319*INDEX(CONTRATOS!$P$2:$P$601,MATCH($A319,CONTRATOS!$A$2:$A$601,0)),""))</f>
        <v/>
      </c>
      <c r="L319" s="17">
        <f>IF(OR($A319="",$E319=""),"",IFERROR(E319*INDEX(CONTRATOS!$Z$2:$Z$601,MATCH($A319,CONTRATOS!$A$2:$A$601,0)),""))</f>
        <v/>
      </c>
      <c r="M319" s="13">
        <f>IF(OR($A319="",$E319=""),"",IFERROR(E319*INDEX(CONTRATOS!$AA$2:$AA$601,MATCH($A319,CONTRATOS!$A$2:$A$601,0)),""))</f>
        <v/>
      </c>
      <c r="N319" s="19">
        <f>IF($A319="","",SUMIFS($E$2:$E$601,$A$2:$A$601,$A319))</f>
        <v/>
      </c>
      <c r="O319" s="12">
        <f>IF($A319="","",IFERROR(INDEX(CONTRATOS!$F$2:$F$601,MATCH($A319,CONTRATOS!$A$2:$A$601,0)),""))</f>
        <v/>
      </c>
      <c r="P319" s="12">
        <f>IF($A319="","",IFERROR(INDEX(CONTRATOS!$M$2:$M$601,MATCH($A319,CONTRATOS!$A$2:$A$601,0)),""))</f>
        <v/>
      </c>
      <c r="Q319" s="12">
        <f>IF($A319="","",IF(COUNTIF(CONTRATOS!$A$2:$A$601,$A319)=0,"El contrato no existe en CONTRATOS; ","")&amp;IF($B319="","Falta sujeto; ",IF(COUNTIF(SUJETOS!$A$2:$A$601,$B319)=0,"El sujeto no existe en SUJETOS; ",""))&amp;IF($E319="","Falta porcentaje; ","")&amp;IF(N319&gt;1.0001,"Los porcentajes del contrato suman más de 100 %; ","")&amp;IF(AND($C319="Individual",$E319&lt;&gt;"",$E319&lt;&gt;1),"Individual debe ser 100 %; ","")&amp;IF(AND($C319&lt;&gt;"Individual",$C319&lt;&gt;"",$E319=1),"Consorcio o UT con 100 %: revise; ","")&amp;IF(COUNTIFS($A$2:$A$601,$A319,$B$2:$B$601,$B319)&gt;1,"Participación repetida; ","")&amp;IF(AND(IFERROR(INDEX(SUJETOS!$B$2:$B$601,MATCH($B319,SUJETOS!$A$2:$A$601,0)),"")="Persona natural",$G319=""),"Persona natural sin cargo; ",""))</f>
        <v/>
      </c>
      <c r="R319" s="12">
        <f>IF($A319="","",IFERROR(IF(LEN(INDEX(SUJETOS!$F$2:$F$601,MATCH($B319,SUJETOS!$A$2:$A$601,0)))&gt;0,INDEX(SUJETOS!$F$2:$F$601,MATCH($B319,SUJETOS!$A$2:$A$601,0)),$B319),$B319))</f>
        <v/>
      </c>
    </row>
    <row r="320">
      <c r="E320" s="18" t="n"/>
      <c r="K320" s="13">
        <f>IF(OR($A320="",$E320=""),"",IFERROR(E320*INDEX(CONTRATOS!$P$2:$P$601,MATCH($A320,CONTRATOS!$A$2:$A$601,0)),""))</f>
        <v/>
      </c>
      <c r="L320" s="17">
        <f>IF(OR($A320="",$E320=""),"",IFERROR(E320*INDEX(CONTRATOS!$Z$2:$Z$601,MATCH($A320,CONTRATOS!$A$2:$A$601,0)),""))</f>
        <v/>
      </c>
      <c r="M320" s="13">
        <f>IF(OR($A320="",$E320=""),"",IFERROR(E320*INDEX(CONTRATOS!$AA$2:$AA$601,MATCH($A320,CONTRATOS!$A$2:$A$601,0)),""))</f>
        <v/>
      </c>
      <c r="N320" s="19">
        <f>IF($A320="","",SUMIFS($E$2:$E$601,$A$2:$A$601,$A320))</f>
        <v/>
      </c>
      <c r="O320" s="12">
        <f>IF($A320="","",IFERROR(INDEX(CONTRATOS!$F$2:$F$601,MATCH($A320,CONTRATOS!$A$2:$A$601,0)),""))</f>
        <v/>
      </c>
      <c r="P320" s="12">
        <f>IF($A320="","",IFERROR(INDEX(CONTRATOS!$M$2:$M$601,MATCH($A320,CONTRATOS!$A$2:$A$601,0)),""))</f>
        <v/>
      </c>
      <c r="Q320" s="12">
        <f>IF($A320="","",IF(COUNTIF(CONTRATOS!$A$2:$A$601,$A320)=0,"El contrato no existe en CONTRATOS; ","")&amp;IF($B320="","Falta sujeto; ",IF(COUNTIF(SUJETOS!$A$2:$A$601,$B320)=0,"El sujeto no existe en SUJETOS; ",""))&amp;IF($E320="","Falta porcentaje; ","")&amp;IF(N320&gt;1.0001,"Los porcentajes del contrato suman más de 100 %; ","")&amp;IF(AND($C320="Individual",$E320&lt;&gt;"",$E320&lt;&gt;1),"Individual debe ser 100 %; ","")&amp;IF(AND($C320&lt;&gt;"Individual",$C320&lt;&gt;"",$E320=1),"Consorcio o UT con 100 %: revise; ","")&amp;IF(COUNTIFS($A$2:$A$601,$A320,$B$2:$B$601,$B320)&gt;1,"Participación repetida; ","")&amp;IF(AND(IFERROR(INDEX(SUJETOS!$B$2:$B$601,MATCH($B320,SUJETOS!$A$2:$A$601,0)),"")="Persona natural",$G320=""),"Persona natural sin cargo; ",""))</f>
        <v/>
      </c>
      <c r="R320" s="12">
        <f>IF($A320="","",IFERROR(IF(LEN(INDEX(SUJETOS!$F$2:$F$601,MATCH($B320,SUJETOS!$A$2:$A$601,0)))&gt;0,INDEX(SUJETOS!$F$2:$F$601,MATCH($B320,SUJETOS!$A$2:$A$601,0)),$B320),$B320))</f>
        <v/>
      </c>
    </row>
    <row r="321">
      <c r="E321" s="18" t="n"/>
      <c r="K321" s="13">
        <f>IF(OR($A321="",$E321=""),"",IFERROR(E321*INDEX(CONTRATOS!$P$2:$P$601,MATCH($A321,CONTRATOS!$A$2:$A$601,0)),""))</f>
        <v/>
      </c>
      <c r="L321" s="17">
        <f>IF(OR($A321="",$E321=""),"",IFERROR(E321*INDEX(CONTRATOS!$Z$2:$Z$601,MATCH($A321,CONTRATOS!$A$2:$A$601,0)),""))</f>
        <v/>
      </c>
      <c r="M321" s="13">
        <f>IF(OR($A321="",$E321=""),"",IFERROR(E321*INDEX(CONTRATOS!$AA$2:$AA$601,MATCH($A321,CONTRATOS!$A$2:$A$601,0)),""))</f>
        <v/>
      </c>
      <c r="N321" s="19">
        <f>IF($A321="","",SUMIFS($E$2:$E$601,$A$2:$A$601,$A321))</f>
        <v/>
      </c>
      <c r="O321" s="12">
        <f>IF($A321="","",IFERROR(INDEX(CONTRATOS!$F$2:$F$601,MATCH($A321,CONTRATOS!$A$2:$A$601,0)),""))</f>
        <v/>
      </c>
      <c r="P321" s="12">
        <f>IF($A321="","",IFERROR(INDEX(CONTRATOS!$M$2:$M$601,MATCH($A321,CONTRATOS!$A$2:$A$601,0)),""))</f>
        <v/>
      </c>
      <c r="Q321" s="12">
        <f>IF($A321="","",IF(COUNTIF(CONTRATOS!$A$2:$A$601,$A321)=0,"El contrato no existe en CONTRATOS; ","")&amp;IF($B321="","Falta sujeto; ",IF(COUNTIF(SUJETOS!$A$2:$A$601,$B321)=0,"El sujeto no existe en SUJETOS; ",""))&amp;IF($E321="","Falta porcentaje; ","")&amp;IF(N321&gt;1.0001,"Los porcentajes del contrato suman más de 100 %; ","")&amp;IF(AND($C321="Individual",$E321&lt;&gt;"",$E321&lt;&gt;1),"Individual debe ser 100 %; ","")&amp;IF(AND($C321&lt;&gt;"Individual",$C321&lt;&gt;"",$E321=1),"Consorcio o UT con 100 %: revise; ","")&amp;IF(COUNTIFS($A$2:$A$601,$A321,$B$2:$B$601,$B321)&gt;1,"Participación repetida; ","")&amp;IF(AND(IFERROR(INDEX(SUJETOS!$B$2:$B$601,MATCH($B321,SUJETOS!$A$2:$A$601,0)),"")="Persona natural",$G321=""),"Persona natural sin cargo; ",""))</f>
        <v/>
      </c>
      <c r="R321" s="12">
        <f>IF($A321="","",IFERROR(IF(LEN(INDEX(SUJETOS!$F$2:$F$601,MATCH($B321,SUJETOS!$A$2:$A$601,0)))&gt;0,INDEX(SUJETOS!$F$2:$F$601,MATCH($B321,SUJETOS!$A$2:$A$601,0)),$B321),$B321))</f>
        <v/>
      </c>
    </row>
    <row r="322">
      <c r="E322" s="18" t="n"/>
      <c r="K322" s="13">
        <f>IF(OR($A322="",$E322=""),"",IFERROR(E322*INDEX(CONTRATOS!$P$2:$P$601,MATCH($A322,CONTRATOS!$A$2:$A$601,0)),""))</f>
        <v/>
      </c>
      <c r="L322" s="17">
        <f>IF(OR($A322="",$E322=""),"",IFERROR(E322*INDEX(CONTRATOS!$Z$2:$Z$601,MATCH($A322,CONTRATOS!$A$2:$A$601,0)),""))</f>
        <v/>
      </c>
      <c r="M322" s="13">
        <f>IF(OR($A322="",$E322=""),"",IFERROR(E322*INDEX(CONTRATOS!$AA$2:$AA$601,MATCH($A322,CONTRATOS!$A$2:$A$601,0)),""))</f>
        <v/>
      </c>
      <c r="N322" s="19">
        <f>IF($A322="","",SUMIFS($E$2:$E$601,$A$2:$A$601,$A322))</f>
        <v/>
      </c>
      <c r="O322" s="12">
        <f>IF($A322="","",IFERROR(INDEX(CONTRATOS!$F$2:$F$601,MATCH($A322,CONTRATOS!$A$2:$A$601,0)),""))</f>
        <v/>
      </c>
      <c r="P322" s="12">
        <f>IF($A322="","",IFERROR(INDEX(CONTRATOS!$M$2:$M$601,MATCH($A322,CONTRATOS!$A$2:$A$601,0)),""))</f>
        <v/>
      </c>
      <c r="Q322" s="12">
        <f>IF($A322="","",IF(COUNTIF(CONTRATOS!$A$2:$A$601,$A322)=0,"El contrato no existe en CONTRATOS; ","")&amp;IF($B322="","Falta sujeto; ",IF(COUNTIF(SUJETOS!$A$2:$A$601,$B322)=0,"El sujeto no existe en SUJETOS; ",""))&amp;IF($E322="","Falta porcentaje; ","")&amp;IF(N322&gt;1.0001,"Los porcentajes del contrato suman más de 100 %; ","")&amp;IF(AND($C322="Individual",$E322&lt;&gt;"",$E322&lt;&gt;1),"Individual debe ser 100 %; ","")&amp;IF(AND($C322&lt;&gt;"Individual",$C322&lt;&gt;"",$E322=1),"Consorcio o UT con 100 %: revise; ","")&amp;IF(COUNTIFS($A$2:$A$601,$A322,$B$2:$B$601,$B322)&gt;1,"Participación repetida; ","")&amp;IF(AND(IFERROR(INDEX(SUJETOS!$B$2:$B$601,MATCH($B322,SUJETOS!$A$2:$A$601,0)),"")="Persona natural",$G322=""),"Persona natural sin cargo; ",""))</f>
        <v/>
      </c>
      <c r="R322" s="12">
        <f>IF($A322="","",IFERROR(IF(LEN(INDEX(SUJETOS!$F$2:$F$601,MATCH($B322,SUJETOS!$A$2:$A$601,0)))&gt;0,INDEX(SUJETOS!$F$2:$F$601,MATCH($B322,SUJETOS!$A$2:$A$601,0)),$B322),$B322))</f>
        <v/>
      </c>
    </row>
    <row r="323">
      <c r="E323" s="18" t="n"/>
      <c r="K323" s="13">
        <f>IF(OR($A323="",$E323=""),"",IFERROR(E323*INDEX(CONTRATOS!$P$2:$P$601,MATCH($A323,CONTRATOS!$A$2:$A$601,0)),""))</f>
        <v/>
      </c>
      <c r="L323" s="17">
        <f>IF(OR($A323="",$E323=""),"",IFERROR(E323*INDEX(CONTRATOS!$Z$2:$Z$601,MATCH($A323,CONTRATOS!$A$2:$A$601,0)),""))</f>
        <v/>
      </c>
      <c r="M323" s="13">
        <f>IF(OR($A323="",$E323=""),"",IFERROR(E323*INDEX(CONTRATOS!$AA$2:$AA$601,MATCH($A323,CONTRATOS!$A$2:$A$601,0)),""))</f>
        <v/>
      </c>
      <c r="N323" s="19">
        <f>IF($A323="","",SUMIFS($E$2:$E$601,$A$2:$A$601,$A323))</f>
        <v/>
      </c>
      <c r="O323" s="12">
        <f>IF($A323="","",IFERROR(INDEX(CONTRATOS!$F$2:$F$601,MATCH($A323,CONTRATOS!$A$2:$A$601,0)),""))</f>
        <v/>
      </c>
      <c r="P323" s="12">
        <f>IF($A323="","",IFERROR(INDEX(CONTRATOS!$M$2:$M$601,MATCH($A323,CONTRATOS!$A$2:$A$601,0)),""))</f>
        <v/>
      </c>
      <c r="Q323" s="12">
        <f>IF($A323="","",IF(COUNTIF(CONTRATOS!$A$2:$A$601,$A323)=0,"El contrato no existe en CONTRATOS; ","")&amp;IF($B323="","Falta sujeto; ",IF(COUNTIF(SUJETOS!$A$2:$A$601,$B323)=0,"El sujeto no existe en SUJETOS; ",""))&amp;IF($E323="","Falta porcentaje; ","")&amp;IF(N323&gt;1.0001,"Los porcentajes del contrato suman más de 100 %; ","")&amp;IF(AND($C323="Individual",$E323&lt;&gt;"",$E323&lt;&gt;1),"Individual debe ser 100 %; ","")&amp;IF(AND($C323&lt;&gt;"Individual",$C323&lt;&gt;"",$E323=1),"Consorcio o UT con 100 %: revise; ","")&amp;IF(COUNTIFS($A$2:$A$601,$A323,$B$2:$B$601,$B323)&gt;1,"Participación repetida; ","")&amp;IF(AND(IFERROR(INDEX(SUJETOS!$B$2:$B$601,MATCH($B323,SUJETOS!$A$2:$A$601,0)),"")="Persona natural",$G323=""),"Persona natural sin cargo; ",""))</f>
        <v/>
      </c>
      <c r="R323" s="12">
        <f>IF($A323="","",IFERROR(IF(LEN(INDEX(SUJETOS!$F$2:$F$601,MATCH($B323,SUJETOS!$A$2:$A$601,0)))&gt;0,INDEX(SUJETOS!$F$2:$F$601,MATCH($B323,SUJETOS!$A$2:$A$601,0)),$B323),$B323))</f>
        <v/>
      </c>
    </row>
    <row r="324">
      <c r="E324" s="18" t="n"/>
      <c r="K324" s="13">
        <f>IF(OR($A324="",$E324=""),"",IFERROR(E324*INDEX(CONTRATOS!$P$2:$P$601,MATCH($A324,CONTRATOS!$A$2:$A$601,0)),""))</f>
        <v/>
      </c>
      <c r="L324" s="17">
        <f>IF(OR($A324="",$E324=""),"",IFERROR(E324*INDEX(CONTRATOS!$Z$2:$Z$601,MATCH($A324,CONTRATOS!$A$2:$A$601,0)),""))</f>
        <v/>
      </c>
      <c r="M324" s="13">
        <f>IF(OR($A324="",$E324=""),"",IFERROR(E324*INDEX(CONTRATOS!$AA$2:$AA$601,MATCH($A324,CONTRATOS!$A$2:$A$601,0)),""))</f>
        <v/>
      </c>
      <c r="N324" s="19">
        <f>IF($A324="","",SUMIFS($E$2:$E$601,$A$2:$A$601,$A324))</f>
        <v/>
      </c>
      <c r="O324" s="12">
        <f>IF($A324="","",IFERROR(INDEX(CONTRATOS!$F$2:$F$601,MATCH($A324,CONTRATOS!$A$2:$A$601,0)),""))</f>
        <v/>
      </c>
      <c r="P324" s="12">
        <f>IF($A324="","",IFERROR(INDEX(CONTRATOS!$M$2:$M$601,MATCH($A324,CONTRATOS!$A$2:$A$601,0)),""))</f>
        <v/>
      </c>
      <c r="Q324" s="12">
        <f>IF($A324="","",IF(COUNTIF(CONTRATOS!$A$2:$A$601,$A324)=0,"El contrato no existe en CONTRATOS; ","")&amp;IF($B324="","Falta sujeto; ",IF(COUNTIF(SUJETOS!$A$2:$A$601,$B324)=0,"El sujeto no existe en SUJETOS; ",""))&amp;IF($E324="","Falta porcentaje; ","")&amp;IF(N324&gt;1.0001,"Los porcentajes del contrato suman más de 100 %; ","")&amp;IF(AND($C324="Individual",$E324&lt;&gt;"",$E324&lt;&gt;1),"Individual debe ser 100 %; ","")&amp;IF(AND($C324&lt;&gt;"Individual",$C324&lt;&gt;"",$E324=1),"Consorcio o UT con 100 %: revise; ","")&amp;IF(COUNTIFS($A$2:$A$601,$A324,$B$2:$B$601,$B324)&gt;1,"Participación repetida; ","")&amp;IF(AND(IFERROR(INDEX(SUJETOS!$B$2:$B$601,MATCH($B324,SUJETOS!$A$2:$A$601,0)),"")="Persona natural",$G324=""),"Persona natural sin cargo; ",""))</f>
        <v/>
      </c>
      <c r="R324" s="12">
        <f>IF($A324="","",IFERROR(IF(LEN(INDEX(SUJETOS!$F$2:$F$601,MATCH($B324,SUJETOS!$A$2:$A$601,0)))&gt;0,INDEX(SUJETOS!$F$2:$F$601,MATCH($B324,SUJETOS!$A$2:$A$601,0)),$B324),$B324))</f>
        <v/>
      </c>
    </row>
    <row r="325">
      <c r="E325" s="18" t="n"/>
      <c r="K325" s="13">
        <f>IF(OR($A325="",$E325=""),"",IFERROR(E325*INDEX(CONTRATOS!$P$2:$P$601,MATCH($A325,CONTRATOS!$A$2:$A$601,0)),""))</f>
        <v/>
      </c>
      <c r="L325" s="17">
        <f>IF(OR($A325="",$E325=""),"",IFERROR(E325*INDEX(CONTRATOS!$Z$2:$Z$601,MATCH($A325,CONTRATOS!$A$2:$A$601,0)),""))</f>
        <v/>
      </c>
      <c r="M325" s="13">
        <f>IF(OR($A325="",$E325=""),"",IFERROR(E325*INDEX(CONTRATOS!$AA$2:$AA$601,MATCH($A325,CONTRATOS!$A$2:$A$601,0)),""))</f>
        <v/>
      </c>
      <c r="N325" s="19">
        <f>IF($A325="","",SUMIFS($E$2:$E$601,$A$2:$A$601,$A325))</f>
        <v/>
      </c>
      <c r="O325" s="12">
        <f>IF($A325="","",IFERROR(INDEX(CONTRATOS!$F$2:$F$601,MATCH($A325,CONTRATOS!$A$2:$A$601,0)),""))</f>
        <v/>
      </c>
      <c r="P325" s="12">
        <f>IF($A325="","",IFERROR(INDEX(CONTRATOS!$M$2:$M$601,MATCH($A325,CONTRATOS!$A$2:$A$601,0)),""))</f>
        <v/>
      </c>
      <c r="Q325" s="12">
        <f>IF($A325="","",IF(COUNTIF(CONTRATOS!$A$2:$A$601,$A325)=0,"El contrato no existe en CONTRATOS; ","")&amp;IF($B325="","Falta sujeto; ",IF(COUNTIF(SUJETOS!$A$2:$A$601,$B325)=0,"El sujeto no existe en SUJETOS; ",""))&amp;IF($E325="","Falta porcentaje; ","")&amp;IF(N325&gt;1.0001,"Los porcentajes del contrato suman más de 100 %; ","")&amp;IF(AND($C325="Individual",$E325&lt;&gt;"",$E325&lt;&gt;1),"Individual debe ser 100 %; ","")&amp;IF(AND($C325&lt;&gt;"Individual",$C325&lt;&gt;"",$E325=1),"Consorcio o UT con 100 %: revise; ","")&amp;IF(COUNTIFS($A$2:$A$601,$A325,$B$2:$B$601,$B325)&gt;1,"Participación repetida; ","")&amp;IF(AND(IFERROR(INDEX(SUJETOS!$B$2:$B$601,MATCH($B325,SUJETOS!$A$2:$A$601,0)),"")="Persona natural",$G325=""),"Persona natural sin cargo; ",""))</f>
        <v/>
      </c>
      <c r="R325" s="12">
        <f>IF($A325="","",IFERROR(IF(LEN(INDEX(SUJETOS!$F$2:$F$601,MATCH($B325,SUJETOS!$A$2:$A$601,0)))&gt;0,INDEX(SUJETOS!$F$2:$F$601,MATCH($B325,SUJETOS!$A$2:$A$601,0)),$B325),$B325))</f>
        <v/>
      </c>
    </row>
    <row r="326">
      <c r="E326" s="18" t="n"/>
      <c r="K326" s="13">
        <f>IF(OR($A326="",$E326=""),"",IFERROR(E326*INDEX(CONTRATOS!$P$2:$P$601,MATCH($A326,CONTRATOS!$A$2:$A$601,0)),""))</f>
        <v/>
      </c>
      <c r="L326" s="17">
        <f>IF(OR($A326="",$E326=""),"",IFERROR(E326*INDEX(CONTRATOS!$Z$2:$Z$601,MATCH($A326,CONTRATOS!$A$2:$A$601,0)),""))</f>
        <v/>
      </c>
      <c r="M326" s="13">
        <f>IF(OR($A326="",$E326=""),"",IFERROR(E326*INDEX(CONTRATOS!$AA$2:$AA$601,MATCH($A326,CONTRATOS!$A$2:$A$601,0)),""))</f>
        <v/>
      </c>
      <c r="N326" s="19">
        <f>IF($A326="","",SUMIFS($E$2:$E$601,$A$2:$A$601,$A326))</f>
        <v/>
      </c>
      <c r="O326" s="12">
        <f>IF($A326="","",IFERROR(INDEX(CONTRATOS!$F$2:$F$601,MATCH($A326,CONTRATOS!$A$2:$A$601,0)),""))</f>
        <v/>
      </c>
      <c r="P326" s="12">
        <f>IF($A326="","",IFERROR(INDEX(CONTRATOS!$M$2:$M$601,MATCH($A326,CONTRATOS!$A$2:$A$601,0)),""))</f>
        <v/>
      </c>
      <c r="Q326" s="12">
        <f>IF($A326="","",IF(COUNTIF(CONTRATOS!$A$2:$A$601,$A326)=0,"El contrato no existe en CONTRATOS; ","")&amp;IF($B326="","Falta sujeto; ",IF(COUNTIF(SUJETOS!$A$2:$A$601,$B326)=0,"El sujeto no existe en SUJETOS; ",""))&amp;IF($E326="","Falta porcentaje; ","")&amp;IF(N326&gt;1.0001,"Los porcentajes del contrato suman más de 100 %; ","")&amp;IF(AND($C326="Individual",$E326&lt;&gt;"",$E326&lt;&gt;1),"Individual debe ser 100 %; ","")&amp;IF(AND($C326&lt;&gt;"Individual",$C326&lt;&gt;"",$E326=1),"Consorcio o UT con 100 %: revise; ","")&amp;IF(COUNTIFS($A$2:$A$601,$A326,$B$2:$B$601,$B326)&gt;1,"Participación repetida; ","")&amp;IF(AND(IFERROR(INDEX(SUJETOS!$B$2:$B$601,MATCH($B326,SUJETOS!$A$2:$A$601,0)),"")="Persona natural",$G326=""),"Persona natural sin cargo; ",""))</f>
        <v/>
      </c>
      <c r="R326" s="12">
        <f>IF($A326="","",IFERROR(IF(LEN(INDEX(SUJETOS!$F$2:$F$601,MATCH($B326,SUJETOS!$A$2:$A$601,0)))&gt;0,INDEX(SUJETOS!$F$2:$F$601,MATCH($B326,SUJETOS!$A$2:$A$601,0)),$B326),$B326))</f>
        <v/>
      </c>
    </row>
    <row r="327">
      <c r="E327" s="18" t="n"/>
      <c r="K327" s="13">
        <f>IF(OR($A327="",$E327=""),"",IFERROR(E327*INDEX(CONTRATOS!$P$2:$P$601,MATCH($A327,CONTRATOS!$A$2:$A$601,0)),""))</f>
        <v/>
      </c>
      <c r="L327" s="17">
        <f>IF(OR($A327="",$E327=""),"",IFERROR(E327*INDEX(CONTRATOS!$Z$2:$Z$601,MATCH($A327,CONTRATOS!$A$2:$A$601,0)),""))</f>
        <v/>
      </c>
      <c r="M327" s="13">
        <f>IF(OR($A327="",$E327=""),"",IFERROR(E327*INDEX(CONTRATOS!$AA$2:$AA$601,MATCH($A327,CONTRATOS!$A$2:$A$601,0)),""))</f>
        <v/>
      </c>
      <c r="N327" s="19">
        <f>IF($A327="","",SUMIFS($E$2:$E$601,$A$2:$A$601,$A327))</f>
        <v/>
      </c>
      <c r="O327" s="12">
        <f>IF($A327="","",IFERROR(INDEX(CONTRATOS!$F$2:$F$601,MATCH($A327,CONTRATOS!$A$2:$A$601,0)),""))</f>
        <v/>
      </c>
      <c r="P327" s="12">
        <f>IF($A327="","",IFERROR(INDEX(CONTRATOS!$M$2:$M$601,MATCH($A327,CONTRATOS!$A$2:$A$601,0)),""))</f>
        <v/>
      </c>
      <c r="Q327" s="12">
        <f>IF($A327="","",IF(COUNTIF(CONTRATOS!$A$2:$A$601,$A327)=0,"El contrato no existe en CONTRATOS; ","")&amp;IF($B327="","Falta sujeto; ",IF(COUNTIF(SUJETOS!$A$2:$A$601,$B327)=0,"El sujeto no existe en SUJETOS; ",""))&amp;IF($E327="","Falta porcentaje; ","")&amp;IF(N327&gt;1.0001,"Los porcentajes del contrato suman más de 100 %; ","")&amp;IF(AND($C327="Individual",$E327&lt;&gt;"",$E327&lt;&gt;1),"Individual debe ser 100 %; ","")&amp;IF(AND($C327&lt;&gt;"Individual",$C327&lt;&gt;"",$E327=1),"Consorcio o UT con 100 %: revise; ","")&amp;IF(COUNTIFS($A$2:$A$601,$A327,$B$2:$B$601,$B327)&gt;1,"Participación repetida; ","")&amp;IF(AND(IFERROR(INDEX(SUJETOS!$B$2:$B$601,MATCH($B327,SUJETOS!$A$2:$A$601,0)),"")="Persona natural",$G327=""),"Persona natural sin cargo; ",""))</f>
        <v/>
      </c>
      <c r="R327" s="12">
        <f>IF($A327="","",IFERROR(IF(LEN(INDEX(SUJETOS!$F$2:$F$601,MATCH($B327,SUJETOS!$A$2:$A$601,0)))&gt;0,INDEX(SUJETOS!$F$2:$F$601,MATCH($B327,SUJETOS!$A$2:$A$601,0)),$B327),$B327))</f>
        <v/>
      </c>
    </row>
    <row r="328">
      <c r="E328" s="18" t="n"/>
      <c r="K328" s="13">
        <f>IF(OR($A328="",$E328=""),"",IFERROR(E328*INDEX(CONTRATOS!$P$2:$P$601,MATCH($A328,CONTRATOS!$A$2:$A$601,0)),""))</f>
        <v/>
      </c>
      <c r="L328" s="17">
        <f>IF(OR($A328="",$E328=""),"",IFERROR(E328*INDEX(CONTRATOS!$Z$2:$Z$601,MATCH($A328,CONTRATOS!$A$2:$A$601,0)),""))</f>
        <v/>
      </c>
      <c r="M328" s="13">
        <f>IF(OR($A328="",$E328=""),"",IFERROR(E328*INDEX(CONTRATOS!$AA$2:$AA$601,MATCH($A328,CONTRATOS!$A$2:$A$601,0)),""))</f>
        <v/>
      </c>
      <c r="N328" s="19">
        <f>IF($A328="","",SUMIFS($E$2:$E$601,$A$2:$A$601,$A328))</f>
        <v/>
      </c>
      <c r="O328" s="12">
        <f>IF($A328="","",IFERROR(INDEX(CONTRATOS!$F$2:$F$601,MATCH($A328,CONTRATOS!$A$2:$A$601,0)),""))</f>
        <v/>
      </c>
      <c r="P328" s="12">
        <f>IF($A328="","",IFERROR(INDEX(CONTRATOS!$M$2:$M$601,MATCH($A328,CONTRATOS!$A$2:$A$601,0)),""))</f>
        <v/>
      </c>
      <c r="Q328" s="12">
        <f>IF($A328="","",IF(COUNTIF(CONTRATOS!$A$2:$A$601,$A328)=0,"El contrato no existe en CONTRATOS; ","")&amp;IF($B328="","Falta sujeto; ",IF(COUNTIF(SUJETOS!$A$2:$A$601,$B328)=0,"El sujeto no existe en SUJETOS; ",""))&amp;IF($E328="","Falta porcentaje; ","")&amp;IF(N328&gt;1.0001,"Los porcentajes del contrato suman más de 100 %; ","")&amp;IF(AND($C328="Individual",$E328&lt;&gt;"",$E328&lt;&gt;1),"Individual debe ser 100 %; ","")&amp;IF(AND($C328&lt;&gt;"Individual",$C328&lt;&gt;"",$E328=1),"Consorcio o UT con 100 %: revise; ","")&amp;IF(COUNTIFS($A$2:$A$601,$A328,$B$2:$B$601,$B328)&gt;1,"Participación repetida; ","")&amp;IF(AND(IFERROR(INDEX(SUJETOS!$B$2:$B$601,MATCH($B328,SUJETOS!$A$2:$A$601,0)),"")="Persona natural",$G328=""),"Persona natural sin cargo; ",""))</f>
        <v/>
      </c>
      <c r="R328" s="12">
        <f>IF($A328="","",IFERROR(IF(LEN(INDEX(SUJETOS!$F$2:$F$601,MATCH($B328,SUJETOS!$A$2:$A$601,0)))&gt;0,INDEX(SUJETOS!$F$2:$F$601,MATCH($B328,SUJETOS!$A$2:$A$601,0)),$B328),$B328))</f>
        <v/>
      </c>
    </row>
    <row r="329">
      <c r="E329" s="18" t="n"/>
      <c r="K329" s="13">
        <f>IF(OR($A329="",$E329=""),"",IFERROR(E329*INDEX(CONTRATOS!$P$2:$P$601,MATCH($A329,CONTRATOS!$A$2:$A$601,0)),""))</f>
        <v/>
      </c>
      <c r="L329" s="17">
        <f>IF(OR($A329="",$E329=""),"",IFERROR(E329*INDEX(CONTRATOS!$Z$2:$Z$601,MATCH($A329,CONTRATOS!$A$2:$A$601,0)),""))</f>
        <v/>
      </c>
      <c r="M329" s="13">
        <f>IF(OR($A329="",$E329=""),"",IFERROR(E329*INDEX(CONTRATOS!$AA$2:$AA$601,MATCH($A329,CONTRATOS!$A$2:$A$601,0)),""))</f>
        <v/>
      </c>
      <c r="N329" s="19">
        <f>IF($A329="","",SUMIFS($E$2:$E$601,$A$2:$A$601,$A329))</f>
        <v/>
      </c>
      <c r="O329" s="12">
        <f>IF($A329="","",IFERROR(INDEX(CONTRATOS!$F$2:$F$601,MATCH($A329,CONTRATOS!$A$2:$A$601,0)),""))</f>
        <v/>
      </c>
      <c r="P329" s="12">
        <f>IF($A329="","",IFERROR(INDEX(CONTRATOS!$M$2:$M$601,MATCH($A329,CONTRATOS!$A$2:$A$601,0)),""))</f>
        <v/>
      </c>
      <c r="Q329" s="12">
        <f>IF($A329="","",IF(COUNTIF(CONTRATOS!$A$2:$A$601,$A329)=0,"El contrato no existe en CONTRATOS; ","")&amp;IF($B329="","Falta sujeto; ",IF(COUNTIF(SUJETOS!$A$2:$A$601,$B329)=0,"El sujeto no existe en SUJETOS; ",""))&amp;IF($E329="","Falta porcentaje; ","")&amp;IF(N329&gt;1.0001,"Los porcentajes del contrato suman más de 100 %; ","")&amp;IF(AND($C329="Individual",$E329&lt;&gt;"",$E329&lt;&gt;1),"Individual debe ser 100 %; ","")&amp;IF(AND($C329&lt;&gt;"Individual",$C329&lt;&gt;"",$E329=1),"Consorcio o UT con 100 %: revise; ","")&amp;IF(COUNTIFS($A$2:$A$601,$A329,$B$2:$B$601,$B329)&gt;1,"Participación repetida; ","")&amp;IF(AND(IFERROR(INDEX(SUJETOS!$B$2:$B$601,MATCH($B329,SUJETOS!$A$2:$A$601,0)),"")="Persona natural",$G329=""),"Persona natural sin cargo; ",""))</f>
        <v/>
      </c>
      <c r="R329" s="12">
        <f>IF($A329="","",IFERROR(IF(LEN(INDEX(SUJETOS!$F$2:$F$601,MATCH($B329,SUJETOS!$A$2:$A$601,0)))&gt;0,INDEX(SUJETOS!$F$2:$F$601,MATCH($B329,SUJETOS!$A$2:$A$601,0)),$B329),$B329))</f>
        <v/>
      </c>
    </row>
    <row r="330">
      <c r="E330" s="18" t="n"/>
      <c r="K330" s="13">
        <f>IF(OR($A330="",$E330=""),"",IFERROR(E330*INDEX(CONTRATOS!$P$2:$P$601,MATCH($A330,CONTRATOS!$A$2:$A$601,0)),""))</f>
        <v/>
      </c>
      <c r="L330" s="17">
        <f>IF(OR($A330="",$E330=""),"",IFERROR(E330*INDEX(CONTRATOS!$Z$2:$Z$601,MATCH($A330,CONTRATOS!$A$2:$A$601,0)),""))</f>
        <v/>
      </c>
      <c r="M330" s="13">
        <f>IF(OR($A330="",$E330=""),"",IFERROR(E330*INDEX(CONTRATOS!$AA$2:$AA$601,MATCH($A330,CONTRATOS!$A$2:$A$601,0)),""))</f>
        <v/>
      </c>
      <c r="N330" s="19">
        <f>IF($A330="","",SUMIFS($E$2:$E$601,$A$2:$A$601,$A330))</f>
        <v/>
      </c>
      <c r="O330" s="12">
        <f>IF($A330="","",IFERROR(INDEX(CONTRATOS!$F$2:$F$601,MATCH($A330,CONTRATOS!$A$2:$A$601,0)),""))</f>
        <v/>
      </c>
      <c r="P330" s="12">
        <f>IF($A330="","",IFERROR(INDEX(CONTRATOS!$M$2:$M$601,MATCH($A330,CONTRATOS!$A$2:$A$601,0)),""))</f>
        <v/>
      </c>
      <c r="Q330" s="12">
        <f>IF($A330="","",IF(COUNTIF(CONTRATOS!$A$2:$A$601,$A330)=0,"El contrato no existe en CONTRATOS; ","")&amp;IF($B330="","Falta sujeto; ",IF(COUNTIF(SUJETOS!$A$2:$A$601,$B330)=0,"El sujeto no existe en SUJETOS; ",""))&amp;IF($E330="","Falta porcentaje; ","")&amp;IF(N330&gt;1.0001,"Los porcentajes del contrato suman más de 100 %; ","")&amp;IF(AND($C330="Individual",$E330&lt;&gt;"",$E330&lt;&gt;1),"Individual debe ser 100 %; ","")&amp;IF(AND($C330&lt;&gt;"Individual",$C330&lt;&gt;"",$E330=1),"Consorcio o UT con 100 %: revise; ","")&amp;IF(COUNTIFS($A$2:$A$601,$A330,$B$2:$B$601,$B330)&gt;1,"Participación repetida; ","")&amp;IF(AND(IFERROR(INDEX(SUJETOS!$B$2:$B$601,MATCH($B330,SUJETOS!$A$2:$A$601,0)),"")="Persona natural",$G330=""),"Persona natural sin cargo; ",""))</f>
        <v/>
      </c>
      <c r="R330" s="12">
        <f>IF($A330="","",IFERROR(IF(LEN(INDEX(SUJETOS!$F$2:$F$601,MATCH($B330,SUJETOS!$A$2:$A$601,0)))&gt;0,INDEX(SUJETOS!$F$2:$F$601,MATCH($B330,SUJETOS!$A$2:$A$601,0)),$B330),$B330))</f>
        <v/>
      </c>
    </row>
    <row r="331">
      <c r="E331" s="18" t="n"/>
      <c r="K331" s="13">
        <f>IF(OR($A331="",$E331=""),"",IFERROR(E331*INDEX(CONTRATOS!$P$2:$P$601,MATCH($A331,CONTRATOS!$A$2:$A$601,0)),""))</f>
        <v/>
      </c>
      <c r="L331" s="17">
        <f>IF(OR($A331="",$E331=""),"",IFERROR(E331*INDEX(CONTRATOS!$Z$2:$Z$601,MATCH($A331,CONTRATOS!$A$2:$A$601,0)),""))</f>
        <v/>
      </c>
      <c r="M331" s="13">
        <f>IF(OR($A331="",$E331=""),"",IFERROR(E331*INDEX(CONTRATOS!$AA$2:$AA$601,MATCH($A331,CONTRATOS!$A$2:$A$601,0)),""))</f>
        <v/>
      </c>
      <c r="N331" s="19">
        <f>IF($A331="","",SUMIFS($E$2:$E$601,$A$2:$A$601,$A331))</f>
        <v/>
      </c>
      <c r="O331" s="12">
        <f>IF($A331="","",IFERROR(INDEX(CONTRATOS!$F$2:$F$601,MATCH($A331,CONTRATOS!$A$2:$A$601,0)),""))</f>
        <v/>
      </c>
      <c r="P331" s="12">
        <f>IF($A331="","",IFERROR(INDEX(CONTRATOS!$M$2:$M$601,MATCH($A331,CONTRATOS!$A$2:$A$601,0)),""))</f>
        <v/>
      </c>
      <c r="Q331" s="12">
        <f>IF($A331="","",IF(COUNTIF(CONTRATOS!$A$2:$A$601,$A331)=0,"El contrato no existe en CONTRATOS; ","")&amp;IF($B331="","Falta sujeto; ",IF(COUNTIF(SUJETOS!$A$2:$A$601,$B331)=0,"El sujeto no existe en SUJETOS; ",""))&amp;IF($E331="","Falta porcentaje; ","")&amp;IF(N331&gt;1.0001,"Los porcentajes del contrato suman más de 100 %; ","")&amp;IF(AND($C331="Individual",$E331&lt;&gt;"",$E331&lt;&gt;1),"Individual debe ser 100 %; ","")&amp;IF(AND($C331&lt;&gt;"Individual",$C331&lt;&gt;"",$E331=1),"Consorcio o UT con 100 %: revise; ","")&amp;IF(COUNTIFS($A$2:$A$601,$A331,$B$2:$B$601,$B331)&gt;1,"Participación repetida; ","")&amp;IF(AND(IFERROR(INDEX(SUJETOS!$B$2:$B$601,MATCH($B331,SUJETOS!$A$2:$A$601,0)),"")="Persona natural",$G331=""),"Persona natural sin cargo; ",""))</f>
        <v/>
      </c>
      <c r="R331" s="12">
        <f>IF($A331="","",IFERROR(IF(LEN(INDEX(SUJETOS!$F$2:$F$601,MATCH($B331,SUJETOS!$A$2:$A$601,0)))&gt;0,INDEX(SUJETOS!$F$2:$F$601,MATCH($B331,SUJETOS!$A$2:$A$601,0)),$B331),$B331))</f>
        <v/>
      </c>
    </row>
    <row r="332">
      <c r="E332" s="18" t="n"/>
      <c r="K332" s="13">
        <f>IF(OR($A332="",$E332=""),"",IFERROR(E332*INDEX(CONTRATOS!$P$2:$P$601,MATCH($A332,CONTRATOS!$A$2:$A$601,0)),""))</f>
        <v/>
      </c>
      <c r="L332" s="17">
        <f>IF(OR($A332="",$E332=""),"",IFERROR(E332*INDEX(CONTRATOS!$Z$2:$Z$601,MATCH($A332,CONTRATOS!$A$2:$A$601,0)),""))</f>
        <v/>
      </c>
      <c r="M332" s="13">
        <f>IF(OR($A332="",$E332=""),"",IFERROR(E332*INDEX(CONTRATOS!$AA$2:$AA$601,MATCH($A332,CONTRATOS!$A$2:$A$601,0)),""))</f>
        <v/>
      </c>
      <c r="N332" s="19">
        <f>IF($A332="","",SUMIFS($E$2:$E$601,$A$2:$A$601,$A332))</f>
        <v/>
      </c>
      <c r="O332" s="12">
        <f>IF($A332="","",IFERROR(INDEX(CONTRATOS!$F$2:$F$601,MATCH($A332,CONTRATOS!$A$2:$A$601,0)),""))</f>
        <v/>
      </c>
      <c r="P332" s="12">
        <f>IF($A332="","",IFERROR(INDEX(CONTRATOS!$M$2:$M$601,MATCH($A332,CONTRATOS!$A$2:$A$601,0)),""))</f>
        <v/>
      </c>
      <c r="Q332" s="12">
        <f>IF($A332="","",IF(COUNTIF(CONTRATOS!$A$2:$A$601,$A332)=0,"El contrato no existe en CONTRATOS; ","")&amp;IF($B332="","Falta sujeto; ",IF(COUNTIF(SUJETOS!$A$2:$A$601,$B332)=0,"El sujeto no existe en SUJETOS; ",""))&amp;IF($E332="","Falta porcentaje; ","")&amp;IF(N332&gt;1.0001,"Los porcentajes del contrato suman más de 100 %; ","")&amp;IF(AND($C332="Individual",$E332&lt;&gt;"",$E332&lt;&gt;1),"Individual debe ser 100 %; ","")&amp;IF(AND($C332&lt;&gt;"Individual",$C332&lt;&gt;"",$E332=1),"Consorcio o UT con 100 %: revise; ","")&amp;IF(COUNTIFS($A$2:$A$601,$A332,$B$2:$B$601,$B332)&gt;1,"Participación repetida; ","")&amp;IF(AND(IFERROR(INDEX(SUJETOS!$B$2:$B$601,MATCH($B332,SUJETOS!$A$2:$A$601,0)),"")="Persona natural",$G332=""),"Persona natural sin cargo; ",""))</f>
        <v/>
      </c>
      <c r="R332" s="12">
        <f>IF($A332="","",IFERROR(IF(LEN(INDEX(SUJETOS!$F$2:$F$601,MATCH($B332,SUJETOS!$A$2:$A$601,0)))&gt;0,INDEX(SUJETOS!$F$2:$F$601,MATCH($B332,SUJETOS!$A$2:$A$601,0)),$B332),$B332))</f>
        <v/>
      </c>
    </row>
    <row r="333">
      <c r="E333" s="18" t="n"/>
      <c r="K333" s="13">
        <f>IF(OR($A333="",$E333=""),"",IFERROR(E333*INDEX(CONTRATOS!$P$2:$P$601,MATCH($A333,CONTRATOS!$A$2:$A$601,0)),""))</f>
        <v/>
      </c>
      <c r="L333" s="17">
        <f>IF(OR($A333="",$E333=""),"",IFERROR(E333*INDEX(CONTRATOS!$Z$2:$Z$601,MATCH($A333,CONTRATOS!$A$2:$A$601,0)),""))</f>
        <v/>
      </c>
      <c r="M333" s="13">
        <f>IF(OR($A333="",$E333=""),"",IFERROR(E333*INDEX(CONTRATOS!$AA$2:$AA$601,MATCH($A333,CONTRATOS!$A$2:$A$601,0)),""))</f>
        <v/>
      </c>
      <c r="N333" s="19">
        <f>IF($A333="","",SUMIFS($E$2:$E$601,$A$2:$A$601,$A333))</f>
        <v/>
      </c>
      <c r="O333" s="12">
        <f>IF($A333="","",IFERROR(INDEX(CONTRATOS!$F$2:$F$601,MATCH($A333,CONTRATOS!$A$2:$A$601,0)),""))</f>
        <v/>
      </c>
      <c r="P333" s="12">
        <f>IF($A333="","",IFERROR(INDEX(CONTRATOS!$M$2:$M$601,MATCH($A333,CONTRATOS!$A$2:$A$601,0)),""))</f>
        <v/>
      </c>
      <c r="Q333" s="12">
        <f>IF($A333="","",IF(COUNTIF(CONTRATOS!$A$2:$A$601,$A333)=0,"El contrato no existe en CONTRATOS; ","")&amp;IF($B333="","Falta sujeto; ",IF(COUNTIF(SUJETOS!$A$2:$A$601,$B333)=0,"El sujeto no existe en SUJETOS; ",""))&amp;IF($E333="","Falta porcentaje; ","")&amp;IF(N333&gt;1.0001,"Los porcentajes del contrato suman más de 100 %; ","")&amp;IF(AND($C333="Individual",$E333&lt;&gt;"",$E333&lt;&gt;1),"Individual debe ser 100 %; ","")&amp;IF(AND($C333&lt;&gt;"Individual",$C333&lt;&gt;"",$E333=1),"Consorcio o UT con 100 %: revise; ","")&amp;IF(COUNTIFS($A$2:$A$601,$A333,$B$2:$B$601,$B333)&gt;1,"Participación repetida; ","")&amp;IF(AND(IFERROR(INDEX(SUJETOS!$B$2:$B$601,MATCH($B333,SUJETOS!$A$2:$A$601,0)),"")="Persona natural",$G333=""),"Persona natural sin cargo; ",""))</f>
        <v/>
      </c>
      <c r="R333" s="12">
        <f>IF($A333="","",IFERROR(IF(LEN(INDEX(SUJETOS!$F$2:$F$601,MATCH($B333,SUJETOS!$A$2:$A$601,0)))&gt;0,INDEX(SUJETOS!$F$2:$F$601,MATCH($B333,SUJETOS!$A$2:$A$601,0)),$B333),$B333))</f>
        <v/>
      </c>
    </row>
    <row r="334">
      <c r="E334" s="18" t="n"/>
      <c r="K334" s="13">
        <f>IF(OR($A334="",$E334=""),"",IFERROR(E334*INDEX(CONTRATOS!$P$2:$P$601,MATCH($A334,CONTRATOS!$A$2:$A$601,0)),""))</f>
        <v/>
      </c>
      <c r="L334" s="17">
        <f>IF(OR($A334="",$E334=""),"",IFERROR(E334*INDEX(CONTRATOS!$Z$2:$Z$601,MATCH($A334,CONTRATOS!$A$2:$A$601,0)),""))</f>
        <v/>
      </c>
      <c r="M334" s="13">
        <f>IF(OR($A334="",$E334=""),"",IFERROR(E334*INDEX(CONTRATOS!$AA$2:$AA$601,MATCH($A334,CONTRATOS!$A$2:$A$601,0)),""))</f>
        <v/>
      </c>
      <c r="N334" s="19">
        <f>IF($A334="","",SUMIFS($E$2:$E$601,$A$2:$A$601,$A334))</f>
        <v/>
      </c>
      <c r="O334" s="12">
        <f>IF($A334="","",IFERROR(INDEX(CONTRATOS!$F$2:$F$601,MATCH($A334,CONTRATOS!$A$2:$A$601,0)),""))</f>
        <v/>
      </c>
      <c r="P334" s="12">
        <f>IF($A334="","",IFERROR(INDEX(CONTRATOS!$M$2:$M$601,MATCH($A334,CONTRATOS!$A$2:$A$601,0)),""))</f>
        <v/>
      </c>
      <c r="Q334" s="12">
        <f>IF($A334="","",IF(COUNTIF(CONTRATOS!$A$2:$A$601,$A334)=0,"El contrato no existe en CONTRATOS; ","")&amp;IF($B334="","Falta sujeto; ",IF(COUNTIF(SUJETOS!$A$2:$A$601,$B334)=0,"El sujeto no existe en SUJETOS; ",""))&amp;IF($E334="","Falta porcentaje; ","")&amp;IF(N334&gt;1.0001,"Los porcentajes del contrato suman más de 100 %; ","")&amp;IF(AND($C334="Individual",$E334&lt;&gt;"",$E334&lt;&gt;1),"Individual debe ser 100 %; ","")&amp;IF(AND($C334&lt;&gt;"Individual",$C334&lt;&gt;"",$E334=1),"Consorcio o UT con 100 %: revise; ","")&amp;IF(COUNTIFS($A$2:$A$601,$A334,$B$2:$B$601,$B334)&gt;1,"Participación repetida; ","")&amp;IF(AND(IFERROR(INDEX(SUJETOS!$B$2:$B$601,MATCH($B334,SUJETOS!$A$2:$A$601,0)),"")="Persona natural",$G334=""),"Persona natural sin cargo; ",""))</f>
        <v/>
      </c>
      <c r="R334" s="12">
        <f>IF($A334="","",IFERROR(IF(LEN(INDEX(SUJETOS!$F$2:$F$601,MATCH($B334,SUJETOS!$A$2:$A$601,0)))&gt;0,INDEX(SUJETOS!$F$2:$F$601,MATCH($B334,SUJETOS!$A$2:$A$601,0)),$B334),$B334))</f>
        <v/>
      </c>
    </row>
    <row r="335">
      <c r="E335" s="18" t="n"/>
      <c r="K335" s="13">
        <f>IF(OR($A335="",$E335=""),"",IFERROR(E335*INDEX(CONTRATOS!$P$2:$P$601,MATCH($A335,CONTRATOS!$A$2:$A$601,0)),""))</f>
        <v/>
      </c>
      <c r="L335" s="17">
        <f>IF(OR($A335="",$E335=""),"",IFERROR(E335*INDEX(CONTRATOS!$Z$2:$Z$601,MATCH($A335,CONTRATOS!$A$2:$A$601,0)),""))</f>
        <v/>
      </c>
      <c r="M335" s="13">
        <f>IF(OR($A335="",$E335=""),"",IFERROR(E335*INDEX(CONTRATOS!$AA$2:$AA$601,MATCH($A335,CONTRATOS!$A$2:$A$601,0)),""))</f>
        <v/>
      </c>
      <c r="N335" s="19">
        <f>IF($A335="","",SUMIFS($E$2:$E$601,$A$2:$A$601,$A335))</f>
        <v/>
      </c>
      <c r="O335" s="12">
        <f>IF($A335="","",IFERROR(INDEX(CONTRATOS!$F$2:$F$601,MATCH($A335,CONTRATOS!$A$2:$A$601,0)),""))</f>
        <v/>
      </c>
      <c r="P335" s="12">
        <f>IF($A335="","",IFERROR(INDEX(CONTRATOS!$M$2:$M$601,MATCH($A335,CONTRATOS!$A$2:$A$601,0)),""))</f>
        <v/>
      </c>
      <c r="Q335" s="12">
        <f>IF($A335="","",IF(COUNTIF(CONTRATOS!$A$2:$A$601,$A335)=0,"El contrato no existe en CONTRATOS; ","")&amp;IF($B335="","Falta sujeto; ",IF(COUNTIF(SUJETOS!$A$2:$A$601,$B335)=0,"El sujeto no existe en SUJETOS; ",""))&amp;IF($E335="","Falta porcentaje; ","")&amp;IF(N335&gt;1.0001,"Los porcentajes del contrato suman más de 100 %; ","")&amp;IF(AND($C335="Individual",$E335&lt;&gt;"",$E335&lt;&gt;1),"Individual debe ser 100 %; ","")&amp;IF(AND($C335&lt;&gt;"Individual",$C335&lt;&gt;"",$E335=1),"Consorcio o UT con 100 %: revise; ","")&amp;IF(COUNTIFS($A$2:$A$601,$A335,$B$2:$B$601,$B335)&gt;1,"Participación repetida; ","")&amp;IF(AND(IFERROR(INDEX(SUJETOS!$B$2:$B$601,MATCH($B335,SUJETOS!$A$2:$A$601,0)),"")="Persona natural",$G335=""),"Persona natural sin cargo; ",""))</f>
        <v/>
      </c>
      <c r="R335" s="12">
        <f>IF($A335="","",IFERROR(IF(LEN(INDEX(SUJETOS!$F$2:$F$601,MATCH($B335,SUJETOS!$A$2:$A$601,0)))&gt;0,INDEX(SUJETOS!$F$2:$F$601,MATCH($B335,SUJETOS!$A$2:$A$601,0)),$B335),$B335))</f>
        <v/>
      </c>
    </row>
    <row r="336">
      <c r="E336" s="18" t="n"/>
      <c r="K336" s="13">
        <f>IF(OR($A336="",$E336=""),"",IFERROR(E336*INDEX(CONTRATOS!$P$2:$P$601,MATCH($A336,CONTRATOS!$A$2:$A$601,0)),""))</f>
        <v/>
      </c>
      <c r="L336" s="17">
        <f>IF(OR($A336="",$E336=""),"",IFERROR(E336*INDEX(CONTRATOS!$Z$2:$Z$601,MATCH($A336,CONTRATOS!$A$2:$A$601,0)),""))</f>
        <v/>
      </c>
      <c r="M336" s="13">
        <f>IF(OR($A336="",$E336=""),"",IFERROR(E336*INDEX(CONTRATOS!$AA$2:$AA$601,MATCH($A336,CONTRATOS!$A$2:$A$601,0)),""))</f>
        <v/>
      </c>
      <c r="N336" s="19">
        <f>IF($A336="","",SUMIFS($E$2:$E$601,$A$2:$A$601,$A336))</f>
        <v/>
      </c>
      <c r="O336" s="12">
        <f>IF($A336="","",IFERROR(INDEX(CONTRATOS!$F$2:$F$601,MATCH($A336,CONTRATOS!$A$2:$A$601,0)),""))</f>
        <v/>
      </c>
      <c r="P336" s="12">
        <f>IF($A336="","",IFERROR(INDEX(CONTRATOS!$M$2:$M$601,MATCH($A336,CONTRATOS!$A$2:$A$601,0)),""))</f>
        <v/>
      </c>
      <c r="Q336" s="12">
        <f>IF($A336="","",IF(COUNTIF(CONTRATOS!$A$2:$A$601,$A336)=0,"El contrato no existe en CONTRATOS; ","")&amp;IF($B336="","Falta sujeto; ",IF(COUNTIF(SUJETOS!$A$2:$A$601,$B336)=0,"El sujeto no existe en SUJETOS; ",""))&amp;IF($E336="","Falta porcentaje; ","")&amp;IF(N336&gt;1.0001,"Los porcentajes del contrato suman más de 100 %; ","")&amp;IF(AND($C336="Individual",$E336&lt;&gt;"",$E336&lt;&gt;1),"Individual debe ser 100 %; ","")&amp;IF(AND($C336&lt;&gt;"Individual",$C336&lt;&gt;"",$E336=1),"Consorcio o UT con 100 %: revise; ","")&amp;IF(COUNTIFS($A$2:$A$601,$A336,$B$2:$B$601,$B336)&gt;1,"Participación repetida; ","")&amp;IF(AND(IFERROR(INDEX(SUJETOS!$B$2:$B$601,MATCH($B336,SUJETOS!$A$2:$A$601,0)),"")="Persona natural",$G336=""),"Persona natural sin cargo; ",""))</f>
        <v/>
      </c>
      <c r="R336" s="12">
        <f>IF($A336="","",IFERROR(IF(LEN(INDEX(SUJETOS!$F$2:$F$601,MATCH($B336,SUJETOS!$A$2:$A$601,0)))&gt;0,INDEX(SUJETOS!$F$2:$F$601,MATCH($B336,SUJETOS!$A$2:$A$601,0)),$B336),$B336))</f>
        <v/>
      </c>
    </row>
    <row r="337">
      <c r="E337" s="18" t="n"/>
      <c r="K337" s="13">
        <f>IF(OR($A337="",$E337=""),"",IFERROR(E337*INDEX(CONTRATOS!$P$2:$P$601,MATCH($A337,CONTRATOS!$A$2:$A$601,0)),""))</f>
        <v/>
      </c>
      <c r="L337" s="17">
        <f>IF(OR($A337="",$E337=""),"",IFERROR(E337*INDEX(CONTRATOS!$Z$2:$Z$601,MATCH($A337,CONTRATOS!$A$2:$A$601,0)),""))</f>
        <v/>
      </c>
      <c r="M337" s="13">
        <f>IF(OR($A337="",$E337=""),"",IFERROR(E337*INDEX(CONTRATOS!$AA$2:$AA$601,MATCH($A337,CONTRATOS!$A$2:$A$601,0)),""))</f>
        <v/>
      </c>
      <c r="N337" s="19">
        <f>IF($A337="","",SUMIFS($E$2:$E$601,$A$2:$A$601,$A337))</f>
        <v/>
      </c>
      <c r="O337" s="12">
        <f>IF($A337="","",IFERROR(INDEX(CONTRATOS!$F$2:$F$601,MATCH($A337,CONTRATOS!$A$2:$A$601,0)),""))</f>
        <v/>
      </c>
      <c r="P337" s="12">
        <f>IF($A337="","",IFERROR(INDEX(CONTRATOS!$M$2:$M$601,MATCH($A337,CONTRATOS!$A$2:$A$601,0)),""))</f>
        <v/>
      </c>
      <c r="Q337" s="12">
        <f>IF($A337="","",IF(COUNTIF(CONTRATOS!$A$2:$A$601,$A337)=0,"El contrato no existe en CONTRATOS; ","")&amp;IF($B337="","Falta sujeto; ",IF(COUNTIF(SUJETOS!$A$2:$A$601,$B337)=0,"El sujeto no existe en SUJETOS; ",""))&amp;IF($E337="","Falta porcentaje; ","")&amp;IF(N337&gt;1.0001,"Los porcentajes del contrato suman más de 100 %; ","")&amp;IF(AND($C337="Individual",$E337&lt;&gt;"",$E337&lt;&gt;1),"Individual debe ser 100 %; ","")&amp;IF(AND($C337&lt;&gt;"Individual",$C337&lt;&gt;"",$E337=1),"Consorcio o UT con 100 %: revise; ","")&amp;IF(COUNTIFS($A$2:$A$601,$A337,$B$2:$B$601,$B337)&gt;1,"Participación repetida; ","")&amp;IF(AND(IFERROR(INDEX(SUJETOS!$B$2:$B$601,MATCH($B337,SUJETOS!$A$2:$A$601,0)),"")="Persona natural",$G337=""),"Persona natural sin cargo; ",""))</f>
        <v/>
      </c>
      <c r="R337" s="12">
        <f>IF($A337="","",IFERROR(IF(LEN(INDEX(SUJETOS!$F$2:$F$601,MATCH($B337,SUJETOS!$A$2:$A$601,0)))&gt;0,INDEX(SUJETOS!$F$2:$F$601,MATCH($B337,SUJETOS!$A$2:$A$601,0)),$B337),$B337))</f>
        <v/>
      </c>
    </row>
    <row r="338">
      <c r="E338" s="18" t="n"/>
      <c r="K338" s="13">
        <f>IF(OR($A338="",$E338=""),"",IFERROR(E338*INDEX(CONTRATOS!$P$2:$P$601,MATCH($A338,CONTRATOS!$A$2:$A$601,0)),""))</f>
        <v/>
      </c>
      <c r="L338" s="17">
        <f>IF(OR($A338="",$E338=""),"",IFERROR(E338*INDEX(CONTRATOS!$Z$2:$Z$601,MATCH($A338,CONTRATOS!$A$2:$A$601,0)),""))</f>
        <v/>
      </c>
      <c r="M338" s="13">
        <f>IF(OR($A338="",$E338=""),"",IFERROR(E338*INDEX(CONTRATOS!$AA$2:$AA$601,MATCH($A338,CONTRATOS!$A$2:$A$601,0)),""))</f>
        <v/>
      </c>
      <c r="N338" s="19">
        <f>IF($A338="","",SUMIFS($E$2:$E$601,$A$2:$A$601,$A338))</f>
        <v/>
      </c>
      <c r="O338" s="12">
        <f>IF($A338="","",IFERROR(INDEX(CONTRATOS!$F$2:$F$601,MATCH($A338,CONTRATOS!$A$2:$A$601,0)),""))</f>
        <v/>
      </c>
      <c r="P338" s="12">
        <f>IF($A338="","",IFERROR(INDEX(CONTRATOS!$M$2:$M$601,MATCH($A338,CONTRATOS!$A$2:$A$601,0)),""))</f>
        <v/>
      </c>
      <c r="Q338" s="12">
        <f>IF($A338="","",IF(COUNTIF(CONTRATOS!$A$2:$A$601,$A338)=0,"El contrato no existe en CONTRATOS; ","")&amp;IF($B338="","Falta sujeto; ",IF(COUNTIF(SUJETOS!$A$2:$A$601,$B338)=0,"El sujeto no existe en SUJETOS; ",""))&amp;IF($E338="","Falta porcentaje; ","")&amp;IF(N338&gt;1.0001,"Los porcentajes del contrato suman más de 100 %; ","")&amp;IF(AND($C338="Individual",$E338&lt;&gt;"",$E338&lt;&gt;1),"Individual debe ser 100 %; ","")&amp;IF(AND($C338&lt;&gt;"Individual",$C338&lt;&gt;"",$E338=1),"Consorcio o UT con 100 %: revise; ","")&amp;IF(COUNTIFS($A$2:$A$601,$A338,$B$2:$B$601,$B338)&gt;1,"Participación repetida; ","")&amp;IF(AND(IFERROR(INDEX(SUJETOS!$B$2:$B$601,MATCH($B338,SUJETOS!$A$2:$A$601,0)),"")="Persona natural",$G338=""),"Persona natural sin cargo; ",""))</f>
        <v/>
      </c>
      <c r="R338" s="12">
        <f>IF($A338="","",IFERROR(IF(LEN(INDEX(SUJETOS!$F$2:$F$601,MATCH($B338,SUJETOS!$A$2:$A$601,0)))&gt;0,INDEX(SUJETOS!$F$2:$F$601,MATCH($B338,SUJETOS!$A$2:$A$601,0)),$B338),$B338))</f>
        <v/>
      </c>
    </row>
    <row r="339">
      <c r="E339" s="18" t="n"/>
      <c r="K339" s="13">
        <f>IF(OR($A339="",$E339=""),"",IFERROR(E339*INDEX(CONTRATOS!$P$2:$P$601,MATCH($A339,CONTRATOS!$A$2:$A$601,0)),""))</f>
        <v/>
      </c>
      <c r="L339" s="17">
        <f>IF(OR($A339="",$E339=""),"",IFERROR(E339*INDEX(CONTRATOS!$Z$2:$Z$601,MATCH($A339,CONTRATOS!$A$2:$A$601,0)),""))</f>
        <v/>
      </c>
      <c r="M339" s="13">
        <f>IF(OR($A339="",$E339=""),"",IFERROR(E339*INDEX(CONTRATOS!$AA$2:$AA$601,MATCH($A339,CONTRATOS!$A$2:$A$601,0)),""))</f>
        <v/>
      </c>
      <c r="N339" s="19">
        <f>IF($A339="","",SUMIFS($E$2:$E$601,$A$2:$A$601,$A339))</f>
        <v/>
      </c>
      <c r="O339" s="12">
        <f>IF($A339="","",IFERROR(INDEX(CONTRATOS!$F$2:$F$601,MATCH($A339,CONTRATOS!$A$2:$A$601,0)),""))</f>
        <v/>
      </c>
      <c r="P339" s="12">
        <f>IF($A339="","",IFERROR(INDEX(CONTRATOS!$M$2:$M$601,MATCH($A339,CONTRATOS!$A$2:$A$601,0)),""))</f>
        <v/>
      </c>
      <c r="Q339" s="12">
        <f>IF($A339="","",IF(COUNTIF(CONTRATOS!$A$2:$A$601,$A339)=0,"El contrato no existe en CONTRATOS; ","")&amp;IF($B339="","Falta sujeto; ",IF(COUNTIF(SUJETOS!$A$2:$A$601,$B339)=0,"El sujeto no existe en SUJETOS; ",""))&amp;IF($E339="","Falta porcentaje; ","")&amp;IF(N339&gt;1.0001,"Los porcentajes del contrato suman más de 100 %; ","")&amp;IF(AND($C339="Individual",$E339&lt;&gt;"",$E339&lt;&gt;1),"Individual debe ser 100 %; ","")&amp;IF(AND($C339&lt;&gt;"Individual",$C339&lt;&gt;"",$E339=1),"Consorcio o UT con 100 %: revise; ","")&amp;IF(COUNTIFS($A$2:$A$601,$A339,$B$2:$B$601,$B339)&gt;1,"Participación repetida; ","")&amp;IF(AND(IFERROR(INDEX(SUJETOS!$B$2:$B$601,MATCH($B339,SUJETOS!$A$2:$A$601,0)),"")="Persona natural",$G339=""),"Persona natural sin cargo; ",""))</f>
        <v/>
      </c>
      <c r="R339" s="12">
        <f>IF($A339="","",IFERROR(IF(LEN(INDEX(SUJETOS!$F$2:$F$601,MATCH($B339,SUJETOS!$A$2:$A$601,0)))&gt;0,INDEX(SUJETOS!$F$2:$F$601,MATCH($B339,SUJETOS!$A$2:$A$601,0)),$B339),$B339))</f>
        <v/>
      </c>
    </row>
    <row r="340">
      <c r="E340" s="18" t="n"/>
      <c r="K340" s="13">
        <f>IF(OR($A340="",$E340=""),"",IFERROR(E340*INDEX(CONTRATOS!$P$2:$P$601,MATCH($A340,CONTRATOS!$A$2:$A$601,0)),""))</f>
        <v/>
      </c>
      <c r="L340" s="17">
        <f>IF(OR($A340="",$E340=""),"",IFERROR(E340*INDEX(CONTRATOS!$Z$2:$Z$601,MATCH($A340,CONTRATOS!$A$2:$A$601,0)),""))</f>
        <v/>
      </c>
      <c r="M340" s="13">
        <f>IF(OR($A340="",$E340=""),"",IFERROR(E340*INDEX(CONTRATOS!$AA$2:$AA$601,MATCH($A340,CONTRATOS!$A$2:$A$601,0)),""))</f>
        <v/>
      </c>
      <c r="N340" s="19">
        <f>IF($A340="","",SUMIFS($E$2:$E$601,$A$2:$A$601,$A340))</f>
        <v/>
      </c>
      <c r="O340" s="12">
        <f>IF($A340="","",IFERROR(INDEX(CONTRATOS!$F$2:$F$601,MATCH($A340,CONTRATOS!$A$2:$A$601,0)),""))</f>
        <v/>
      </c>
      <c r="P340" s="12">
        <f>IF($A340="","",IFERROR(INDEX(CONTRATOS!$M$2:$M$601,MATCH($A340,CONTRATOS!$A$2:$A$601,0)),""))</f>
        <v/>
      </c>
      <c r="Q340" s="12">
        <f>IF($A340="","",IF(COUNTIF(CONTRATOS!$A$2:$A$601,$A340)=0,"El contrato no existe en CONTRATOS; ","")&amp;IF($B340="","Falta sujeto; ",IF(COUNTIF(SUJETOS!$A$2:$A$601,$B340)=0,"El sujeto no existe en SUJETOS; ",""))&amp;IF($E340="","Falta porcentaje; ","")&amp;IF(N340&gt;1.0001,"Los porcentajes del contrato suman más de 100 %; ","")&amp;IF(AND($C340="Individual",$E340&lt;&gt;"",$E340&lt;&gt;1),"Individual debe ser 100 %; ","")&amp;IF(AND($C340&lt;&gt;"Individual",$C340&lt;&gt;"",$E340=1),"Consorcio o UT con 100 %: revise; ","")&amp;IF(COUNTIFS($A$2:$A$601,$A340,$B$2:$B$601,$B340)&gt;1,"Participación repetida; ","")&amp;IF(AND(IFERROR(INDEX(SUJETOS!$B$2:$B$601,MATCH($B340,SUJETOS!$A$2:$A$601,0)),"")="Persona natural",$G340=""),"Persona natural sin cargo; ",""))</f>
        <v/>
      </c>
      <c r="R340" s="12">
        <f>IF($A340="","",IFERROR(IF(LEN(INDEX(SUJETOS!$F$2:$F$601,MATCH($B340,SUJETOS!$A$2:$A$601,0)))&gt;0,INDEX(SUJETOS!$F$2:$F$601,MATCH($B340,SUJETOS!$A$2:$A$601,0)),$B340),$B340))</f>
        <v/>
      </c>
    </row>
    <row r="341">
      <c r="E341" s="18" t="n"/>
      <c r="K341" s="13">
        <f>IF(OR($A341="",$E341=""),"",IFERROR(E341*INDEX(CONTRATOS!$P$2:$P$601,MATCH($A341,CONTRATOS!$A$2:$A$601,0)),""))</f>
        <v/>
      </c>
      <c r="L341" s="17">
        <f>IF(OR($A341="",$E341=""),"",IFERROR(E341*INDEX(CONTRATOS!$Z$2:$Z$601,MATCH($A341,CONTRATOS!$A$2:$A$601,0)),""))</f>
        <v/>
      </c>
      <c r="M341" s="13">
        <f>IF(OR($A341="",$E341=""),"",IFERROR(E341*INDEX(CONTRATOS!$AA$2:$AA$601,MATCH($A341,CONTRATOS!$A$2:$A$601,0)),""))</f>
        <v/>
      </c>
      <c r="N341" s="19">
        <f>IF($A341="","",SUMIFS($E$2:$E$601,$A$2:$A$601,$A341))</f>
        <v/>
      </c>
      <c r="O341" s="12">
        <f>IF($A341="","",IFERROR(INDEX(CONTRATOS!$F$2:$F$601,MATCH($A341,CONTRATOS!$A$2:$A$601,0)),""))</f>
        <v/>
      </c>
      <c r="P341" s="12">
        <f>IF($A341="","",IFERROR(INDEX(CONTRATOS!$M$2:$M$601,MATCH($A341,CONTRATOS!$A$2:$A$601,0)),""))</f>
        <v/>
      </c>
      <c r="Q341" s="12">
        <f>IF($A341="","",IF(COUNTIF(CONTRATOS!$A$2:$A$601,$A341)=0,"El contrato no existe en CONTRATOS; ","")&amp;IF($B341="","Falta sujeto; ",IF(COUNTIF(SUJETOS!$A$2:$A$601,$B341)=0,"El sujeto no existe en SUJETOS; ",""))&amp;IF($E341="","Falta porcentaje; ","")&amp;IF(N341&gt;1.0001,"Los porcentajes del contrato suman más de 100 %; ","")&amp;IF(AND($C341="Individual",$E341&lt;&gt;"",$E341&lt;&gt;1),"Individual debe ser 100 %; ","")&amp;IF(AND($C341&lt;&gt;"Individual",$C341&lt;&gt;"",$E341=1),"Consorcio o UT con 100 %: revise; ","")&amp;IF(COUNTIFS($A$2:$A$601,$A341,$B$2:$B$601,$B341)&gt;1,"Participación repetida; ","")&amp;IF(AND(IFERROR(INDEX(SUJETOS!$B$2:$B$601,MATCH($B341,SUJETOS!$A$2:$A$601,0)),"")="Persona natural",$G341=""),"Persona natural sin cargo; ",""))</f>
        <v/>
      </c>
      <c r="R341" s="12">
        <f>IF($A341="","",IFERROR(IF(LEN(INDEX(SUJETOS!$F$2:$F$601,MATCH($B341,SUJETOS!$A$2:$A$601,0)))&gt;0,INDEX(SUJETOS!$F$2:$F$601,MATCH($B341,SUJETOS!$A$2:$A$601,0)),$B341),$B341))</f>
        <v/>
      </c>
    </row>
    <row r="342">
      <c r="E342" s="18" t="n"/>
      <c r="K342" s="13">
        <f>IF(OR($A342="",$E342=""),"",IFERROR(E342*INDEX(CONTRATOS!$P$2:$P$601,MATCH($A342,CONTRATOS!$A$2:$A$601,0)),""))</f>
        <v/>
      </c>
      <c r="L342" s="17">
        <f>IF(OR($A342="",$E342=""),"",IFERROR(E342*INDEX(CONTRATOS!$Z$2:$Z$601,MATCH($A342,CONTRATOS!$A$2:$A$601,0)),""))</f>
        <v/>
      </c>
      <c r="M342" s="13">
        <f>IF(OR($A342="",$E342=""),"",IFERROR(E342*INDEX(CONTRATOS!$AA$2:$AA$601,MATCH($A342,CONTRATOS!$A$2:$A$601,0)),""))</f>
        <v/>
      </c>
      <c r="N342" s="19">
        <f>IF($A342="","",SUMIFS($E$2:$E$601,$A$2:$A$601,$A342))</f>
        <v/>
      </c>
      <c r="O342" s="12">
        <f>IF($A342="","",IFERROR(INDEX(CONTRATOS!$F$2:$F$601,MATCH($A342,CONTRATOS!$A$2:$A$601,0)),""))</f>
        <v/>
      </c>
      <c r="P342" s="12">
        <f>IF($A342="","",IFERROR(INDEX(CONTRATOS!$M$2:$M$601,MATCH($A342,CONTRATOS!$A$2:$A$601,0)),""))</f>
        <v/>
      </c>
      <c r="Q342" s="12">
        <f>IF($A342="","",IF(COUNTIF(CONTRATOS!$A$2:$A$601,$A342)=0,"El contrato no existe en CONTRATOS; ","")&amp;IF($B342="","Falta sujeto; ",IF(COUNTIF(SUJETOS!$A$2:$A$601,$B342)=0,"El sujeto no existe en SUJETOS; ",""))&amp;IF($E342="","Falta porcentaje; ","")&amp;IF(N342&gt;1.0001,"Los porcentajes del contrato suman más de 100 %; ","")&amp;IF(AND($C342="Individual",$E342&lt;&gt;"",$E342&lt;&gt;1),"Individual debe ser 100 %; ","")&amp;IF(AND($C342&lt;&gt;"Individual",$C342&lt;&gt;"",$E342=1),"Consorcio o UT con 100 %: revise; ","")&amp;IF(COUNTIFS($A$2:$A$601,$A342,$B$2:$B$601,$B342)&gt;1,"Participación repetida; ","")&amp;IF(AND(IFERROR(INDEX(SUJETOS!$B$2:$B$601,MATCH($B342,SUJETOS!$A$2:$A$601,0)),"")="Persona natural",$G342=""),"Persona natural sin cargo; ",""))</f>
        <v/>
      </c>
      <c r="R342" s="12">
        <f>IF($A342="","",IFERROR(IF(LEN(INDEX(SUJETOS!$F$2:$F$601,MATCH($B342,SUJETOS!$A$2:$A$601,0)))&gt;0,INDEX(SUJETOS!$F$2:$F$601,MATCH($B342,SUJETOS!$A$2:$A$601,0)),$B342),$B342))</f>
        <v/>
      </c>
    </row>
    <row r="343">
      <c r="E343" s="18" t="n"/>
      <c r="K343" s="13">
        <f>IF(OR($A343="",$E343=""),"",IFERROR(E343*INDEX(CONTRATOS!$P$2:$P$601,MATCH($A343,CONTRATOS!$A$2:$A$601,0)),""))</f>
        <v/>
      </c>
      <c r="L343" s="17">
        <f>IF(OR($A343="",$E343=""),"",IFERROR(E343*INDEX(CONTRATOS!$Z$2:$Z$601,MATCH($A343,CONTRATOS!$A$2:$A$601,0)),""))</f>
        <v/>
      </c>
      <c r="M343" s="13">
        <f>IF(OR($A343="",$E343=""),"",IFERROR(E343*INDEX(CONTRATOS!$AA$2:$AA$601,MATCH($A343,CONTRATOS!$A$2:$A$601,0)),""))</f>
        <v/>
      </c>
      <c r="N343" s="19">
        <f>IF($A343="","",SUMIFS($E$2:$E$601,$A$2:$A$601,$A343))</f>
        <v/>
      </c>
      <c r="O343" s="12">
        <f>IF($A343="","",IFERROR(INDEX(CONTRATOS!$F$2:$F$601,MATCH($A343,CONTRATOS!$A$2:$A$601,0)),""))</f>
        <v/>
      </c>
      <c r="P343" s="12">
        <f>IF($A343="","",IFERROR(INDEX(CONTRATOS!$M$2:$M$601,MATCH($A343,CONTRATOS!$A$2:$A$601,0)),""))</f>
        <v/>
      </c>
      <c r="Q343" s="12">
        <f>IF($A343="","",IF(COUNTIF(CONTRATOS!$A$2:$A$601,$A343)=0,"El contrato no existe en CONTRATOS; ","")&amp;IF($B343="","Falta sujeto; ",IF(COUNTIF(SUJETOS!$A$2:$A$601,$B343)=0,"El sujeto no existe en SUJETOS; ",""))&amp;IF($E343="","Falta porcentaje; ","")&amp;IF(N343&gt;1.0001,"Los porcentajes del contrato suman más de 100 %; ","")&amp;IF(AND($C343="Individual",$E343&lt;&gt;"",$E343&lt;&gt;1),"Individual debe ser 100 %; ","")&amp;IF(AND($C343&lt;&gt;"Individual",$C343&lt;&gt;"",$E343=1),"Consorcio o UT con 100 %: revise; ","")&amp;IF(COUNTIFS($A$2:$A$601,$A343,$B$2:$B$601,$B343)&gt;1,"Participación repetida; ","")&amp;IF(AND(IFERROR(INDEX(SUJETOS!$B$2:$B$601,MATCH($B343,SUJETOS!$A$2:$A$601,0)),"")="Persona natural",$G343=""),"Persona natural sin cargo; ",""))</f>
        <v/>
      </c>
      <c r="R343" s="12">
        <f>IF($A343="","",IFERROR(IF(LEN(INDEX(SUJETOS!$F$2:$F$601,MATCH($B343,SUJETOS!$A$2:$A$601,0)))&gt;0,INDEX(SUJETOS!$F$2:$F$601,MATCH($B343,SUJETOS!$A$2:$A$601,0)),$B343),$B343))</f>
        <v/>
      </c>
    </row>
    <row r="344">
      <c r="E344" s="18" t="n"/>
      <c r="K344" s="13">
        <f>IF(OR($A344="",$E344=""),"",IFERROR(E344*INDEX(CONTRATOS!$P$2:$P$601,MATCH($A344,CONTRATOS!$A$2:$A$601,0)),""))</f>
        <v/>
      </c>
      <c r="L344" s="17">
        <f>IF(OR($A344="",$E344=""),"",IFERROR(E344*INDEX(CONTRATOS!$Z$2:$Z$601,MATCH($A344,CONTRATOS!$A$2:$A$601,0)),""))</f>
        <v/>
      </c>
      <c r="M344" s="13">
        <f>IF(OR($A344="",$E344=""),"",IFERROR(E344*INDEX(CONTRATOS!$AA$2:$AA$601,MATCH($A344,CONTRATOS!$A$2:$A$601,0)),""))</f>
        <v/>
      </c>
      <c r="N344" s="19">
        <f>IF($A344="","",SUMIFS($E$2:$E$601,$A$2:$A$601,$A344))</f>
        <v/>
      </c>
      <c r="O344" s="12">
        <f>IF($A344="","",IFERROR(INDEX(CONTRATOS!$F$2:$F$601,MATCH($A344,CONTRATOS!$A$2:$A$601,0)),""))</f>
        <v/>
      </c>
      <c r="P344" s="12">
        <f>IF($A344="","",IFERROR(INDEX(CONTRATOS!$M$2:$M$601,MATCH($A344,CONTRATOS!$A$2:$A$601,0)),""))</f>
        <v/>
      </c>
      <c r="Q344" s="12">
        <f>IF($A344="","",IF(COUNTIF(CONTRATOS!$A$2:$A$601,$A344)=0,"El contrato no existe en CONTRATOS; ","")&amp;IF($B344="","Falta sujeto; ",IF(COUNTIF(SUJETOS!$A$2:$A$601,$B344)=0,"El sujeto no existe en SUJETOS; ",""))&amp;IF($E344="","Falta porcentaje; ","")&amp;IF(N344&gt;1.0001,"Los porcentajes del contrato suman más de 100 %; ","")&amp;IF(AND($C344="Individual",$E344&lt;&gt;"",$E344&lt;&gt;1),"Individual debe ser 100 %; ","")&amp;IF(AND($C344&lt;&gt;"Individual",$C344&lt;&gt;"",$E344=1),"Consorcio o UT con 100 %: revise; ","")&amp;IF(COUNTIFS($A$2:$A$601,$A344,$B$2:$B$601,$B344)&gt;1,"Participación repetida; ","")&amp;IF(AND(IFERROR(INDEX(SUJETOS!$B$2:$B$601,MATCH($B344,SUJETOS!$A$2:$A$601,0)),"")="Persona natural",$G344=""),"Persona natural sin cargo; ",""))</f>
        <v/>
      </c>
      <c r="R344" s="12">
        <f>IF($A344="","",IFERROR(IF(LEN(INDEX(SUJETOS!$F$2:$F$601,MATCH($B344,SUJETOS!$A$2:$A$601,0)))&gt;0,INDEX(SUJETOS!$F$2:$F$601,MATCH($B344,SUJETOS!$A$2:$A$601,0)),$B344),$B344))</f>
        <v/>
      </c>
    </row>
    <row r="345">
      <c r="E345" s="18" t="n"/>
      <c r="K345" s="13">
        <f>IF(OR($A345="",$E345=""),"",IFERROR(E345*INDEX(CONTRATOS!$P$2:$P$601,MATCH($A345,CONTRATOS!$A$2:$A$601,0)),""))</f>
        <v/>
      </c>
      <c r="L345" s="17">
        <f>IF(OR($A345="",$E345=""),"",IFERROR(E345*INDEX(CONTRATOS!$Z$2:$Z$601,MATCH($A345,CONTRATOS!$A$2:$A$601,0)),""))</f>
        <v/>
      </c>
      <c r="M345" s="13">
        <f>IF(OR($A345="",$E345=""),"",IFERROR(E345*INDEX(CONTRATOS!$AA$2:$AA$601,MATCH($A345,CONTRATOS!$A$2:$A$601,0)),""))</f>
        <v/>
      </c>
      <c r="N345" s="19">
        <f>IF($A345="","",SUMIFS($E$2:$E$601,$A$2:$A$601,$A345))</f>
        <v/>
      </c>
      <c r="O345" s="12">
        <f>IF($A345="","",IFERROR(INDEX(CONTRATOS!$F$2:$F$601,MATCH($A345,CONTRATOS!$A$2:$A$601,0)),""))</f>
        <v/>
      </c>
      <c r="P345" s="12">
        <f>IF($A345="","",IFERROR(INDEX(CONTRATOS!$M$2:$M$601,MATCH($A345,CONTRATOS!$A$2:$A$601,0)),""))</f>
        <v/>
      </c>
      <c r="Q345" s="12">
        <f>IF($A345="","",IF(COUNTIF(CONTRATOS!$A$2:$A$601,$A345)=0,"El contrato no existe en CONTRATOS; ","")&amp;IF($B345="","Falta sujeto; ",IF(COUNTIF(SUJETOS!$A$2:$A$601,$B345)=0,"El sujeto no existe en SUJETOS; ",""))&amp;IF($E345="","Falta porcentaje; ","")&amp;IF(N345&gt;1.0001,"Los porcentajes del contrato suman más de 100 %; ","")&amp;IF(AND($C345="Individual",$E345&lt;&gt;"",$E345&lt;&gt;1),"Individual debe ser 100 %; ","")&amp;IF(AND($C345&lt;&gt;"Individual",$C345&lt;&gt;"",$E345=1),"Consorcio o UT con 100 %: revise; ","")&amp;IF(COUNTIFS($A$2:$A$601,$A345,$B$2:$B$601,$B345)&gt;1,"Participación repetida; ","")&amp;IF(AND(IFERROR(INDEX(SUJETOS!$B$2:$B$601,MATCH($B345,SUJETOS!$A$2:$A$601,0)),"")="Persona natural",$G345=""),"Persona natural sin cargo; ",""))</f>
        <v/>
      </c>
      <c r="R345" s="12">
        <f>IF($A345="","",IFERROR(IF(LEN(INDEX(SUJETOS!$F$2:$F$601,MATCH($B345,SUJETOS!$A$2:$A$601,0)))&gt;0,INDEX(SUJETOS!$F$2:$F$601,MATCH($B345,SUJETOS!$A$2:$A$601,0)),$B345),$B345))</f>
        <v/>
      </c>
    </row>
    <row r="346">
      <c r="E346" s="18" t="n"/>
      <c r="K346" s="13">
        <f>IF(OR($A346="",$E346=""),"",IFERROR(E346*INDEX(CONTRATOS!$P$2:$P$601,MATCH($A346,CONTRATOS!$A$2:$A$601,0)),""))</f>
        <v/>
      </c>
      <c r="L346" s="17">
        <f>IF(OR($A346="",$E346=""),"",IFERROR(E346*INDEX(CONTRATOS!$Z$2:$Z$601,MATCH($A346,CONTRATOS!$A$2:$A$601,0)),""))</f>
        <v/>
      </c>
      <c r="M346" s="13">
        <f>IF(OR($A346="",$E346=""),"",IFERROR(E346*INDEX(CONTRATOS!$AA$2:$AA$601,MATCH($A346,CONTRATOS!$A$2:$A$601,0)),""))</f>
        <v/>
      </c>
      <c r="N346" s="19">
        <f>IF($A346="","",SUMIFS($E$2:$E$601,$A$2:$A$601,$A346))</f>
        <v/>
      </c>
      <c r="O346" s="12">
        <f>IF($A346="","",IFERROR(INDEX(CONTRATOS!$F$2:$F$601,MATCH($A346,CONTRATOS!$A$2:$A$601,0)),""))</f>
        <v/>
      </c>
      <c r="P346" s="12">
        <f>IF($A346="","",IFERROR(INDEX(CONTRATOS!$M$2:$M$601,MATCH($A346,CONTRATOS!$A$2:$A$601,0)),""))</f>
        <v/>
      </c>
      <c r="Q346" s="12">
        <f>IF($A346="","",IF(COUNTIF(CONTRATOS!$A$2:$A$601,$A346)=0,"El contrato no existe en CONTRATOS; ","")&amp;IF($B346="","Falta sujeto; ",IF(COUNTIF(SUJETOS!$A$2:$A$601,$B346)=0,"El sujeto no existe en SUJETOS; ",""))&amp;IF($E346="","Falta porcentaje; ","")&amp;IF(N346&gt;1.0001,"Los porcentajes del contrato suman más de 100 %; ","")&amp;IF(AND($C346="Individual",$E346&lt;&gt;"",$E346&lt;&gt;1),"Individual debe ser 100 %; ","")&amp;IF(AND($C346&lt;&gt;"Individual",$C346&lt;&gt;"",$E346=1),"Consorcio o UT con 100 %: revise; ","")&amp;IF(COUNTIFS($A$2:$A$601,$A346,$B$2:$B$601,$B346)&gt;1,"Participación repetida; ","")&amp;IF(AND(IFERROR(INDEX(SUJETOS!$B$2:$B$601,MATCH($B346,SUJETOS!$A$2:$A$601,0)),"")="Persona natural",$G346=""),"Persona natural sin cargo; ",""))</f>
        <v/>
      </c>
      <c r="R346" s="12">
        <f>IF($A346="","",IFERROR(IF(LEN(INDEX(SUJETOS!$F$2:$F$601,MATCH($B346,SUJETOS!$A$2:$A$601,0)))&gt;0,INDEX(SUJETOS!$F$2:$F$601,MATCH($B346,SUJETOS!$A$2:$A$601,0)),$B346),$B346))</f>
        <v/>
      </c>
    </row>
    <row r="347">
      <c r="E347" s="18" t="n"/>
      <c r="K347" s="13">
        <f>IF(OR($A347="",$E347=""),"",IFERROR(E347*INDEX(CONTRATOS!$P$2:$P$601,MATCH($A347,CONTRATOS!$A$2:$A$601,0)),""))</f>
        <v/>
      </c>
      <c r="L347" s="17">
        <f>IF(OR($A347="",$E347=""),"",IFERROR(E347*INDEX(CONTRATOS!$Z$2:$Z$601,MATCH($A347,CONTRATOS!$A$2:$A$601,0)),""))</f>
        <v/>
      </c>
      <c r="M347" s="13">
        <f>IF(OR($A347="",$E347=""),"",IFERROR(E347*INDEX(CONTRATOS!$AA$2:$AA$601,MATCH($A347,CONTRATOS!$A$2:$A$601,0)),""))</f>
        <v/>
      </c>
      <c r="N347" s="19">
        <f>IF($A347="","",SUMIFS($E$2:$E$601,$A$2:$A$601,$A347))</f>
        <v/>
      </c>
      <c r="O347" s="12">
        <f>IF($A347="","",IFERROR(INDEX(CONTRATOS!$F$2:$F$601,MATCH($A347,CONTRATOS!$A$2:$A$601,0)),""))</f>
        <v/>
      </c>
      <c r="P347" s="12">
        <f>IF($A347="","",IFERROR(INDEX(CONTRATOS!$M$2:$M$601,MATCH($A347,CONTRATOS!$A$2:$A$601,0)),""))</f>
        <v/>
      </c>
      <c r="Q347" s="12">
        <f>IF($A347="","",IF(COUNTIF(CONTRATOS!$A$2:$A$601,$A347)=0,"El contrato no existe en CONTRATOS; ","")&amp;IF($B347="","Falta sujeto; ",IF(COUNTIF(SUJETOS!$A$2:$A$601,$B347)=0,"El sujeto no existe en SUJETOS; ",""))&amp;IF($E347="","Falta porcentaje; ","")&amp;IF(N347&gt;1.0001,"Los porcentajes del contrato suman más de 100 %; ","")&amp;IF(AND($C347="Individual",$E347&lt;&gt;"",$E347&lt;&gt;1),"Individual debe ser 100 %; ","")&amp;IF(AND($C347&lt;&gt;"Individual",$C347&lt;&gt;"",$E347=1),"Consorcio o UT con 100 %: revise; ","")&amp;IF(COUNTIFS($A$2:$A$601,$A347,$B$2:$B$601,$B347)&gt;1,"Participación repetida; ","")&amp;IF(AND(IFERROR(INDEX(SUJETOS!$B$2:$B$601,MATCH($B347,SUJETOS!$A$2:$A$601,0)),"")="Persona natural",$G347=""),"Persona natural sin cargo; ",""))</f>
        <v/>
      </c>
      <c r="R347" s="12">
        <f>IF($A347="","",IFERROR(IF(LEN(INDEX(SUJETOS!$F$2:$F$601,MATCH($B347,SUJETOS!$A$2:$A$601,0)))&gt;0,INDEX(SUJETOS!$F$2:$F$601,MATCH($B347,SUJETOS!$A$2:$A$601,0)),$B347),$B347))</f>
        <v/>
      </c>
    </row>
    <row r="348">
      <c r="E348" s="18" t="n"/>
      <c r="K348" s="13">
        <f>IF(OR($A348="",$E348=""),"",IFERROR(E348*INDEX(CONTRATOS!$P$2:$P$601,MATCH($A348,CONTRATOS!$A$2:$A$601,0)),""))</f>
        <v/>
      </c>
      <c r="L348" s="17">
        <f>IF(OR($A348="",$E348=""),"",IFERROR(E348*INDEX(CONTRATOS!$Z$2:$Z$601,MATCH($A348,CONTRATOS!$A$2:$A$601,0)),""))</f>
        <v/>
      </c>
      <c r="M348" s="13">
        <f>IF(OR($A348="",$E348=""),"",IFERROR(E348*INDEX(CONTRATOS!$AA$2:$AA$601,MATCH($A348,CONTRATOS!$A$2:$A$601,0)),""))</f>
        <v/>
      </c>
      <c r="N348" s="19">
        <f>IF($A348="","",SUMIFS($E$2:$E$601,$A$2:$A$601,$A348))</f>
        <v/>
      </c>
      <c r="O348" s="12">
        <f>IF($A348="","",IFERROR(INDEX(CONTRATOS!$F$2:$F$601,MATCH($A348,CONTRATOS!$A$2:$A$601,0)),""))</f>
        <v/>
      </c>
      <c r="P348" s="12">
        <f>IF($A348="","",IFERROR(INDEX(CONTRATOS!$M$2:$M$601,MATCH($A348,CONTRATOS!$A$2:$A$601,0)),""))</f>
        <v/>
      </c>
      <c r="Q348" s="12">
        <f>IF($A348="","",IF(COUNTIF(CONTRATOS!$A$2:$A$601,$A348)=0,"El contrato no existe en CONTRATOS; ","")&amp;IF($B348="","Falta sujeto; ",IF(COUNTIF(SUJETOS!$A$2:$A$601,$B348)=0,"El sujeto no existe en SUJETOS; ",""))&amp;IF($E348="","Falta porcentaje; ","")&amp;IF(N348&gt;1.0001,"Los porcentajes del contrato suman más de 100 %; ","")&amp;IF(AND($C348="Individual",$E348&lt;&gt;"",$E348&lt;&gt;1),"Individual debe ser 100 %; ","")&amp;IF(AND($C348&lt;&gt;"Individual",$C348&lt;&gt;"",$E348=1),"Consorcio o UT con 100 %: revise; ","")&amp;IF(COUNTIFS($A$2:$A$601,$A348,$B$2:$B$601,$B348)&gt;1,"Participación repetida; ","")&amp;IF(AND(IFERROR(INDEX(SUJETOS!$B$2:$B$601,MATCH($B348,SUJETOS!$A$2:$A$601,0)),"")="Persona natural",$G348=""),"Persona natural sin cargo; ",""))</f>
        <v/>
      </c>
      <c r="R348" s="12">
        <f>IF($A348="","",IFERROR(IF(LEN(INDEX(SUJETOS!$F$2:$F$601,MATCH($B348,SUJETOS!$A$2:$A$601,0)))&gt;0,INDEX(SUJETOS!$F$2:$F$601,MATCH($B348,SUJETOS!$A$2:$A$601,0)),$B348),$B348))</f>
        <v/>
      </c>
    </row>
    <row r="349">
      <c r="E349" s="18" t="n"/>
      <c r="K349" s="13">
        <f>IF(OR($A349="",$E349=""),"",IFERROR(E349*INDEX(CONTRATOS!$P$2:$P$601,MATCH($A349,CONTRATOS!$A$2:$A$601,0)),""))</f>
        <v/>
      </c>
      <c r="L349" s="17">
        <f>IF(OR($A349="",$E349=""),"",IFERROR(E349*INDEX(CONTRATOS!$Z$2:$Z$601,MATCH($A349,CONTRATOS!$A$2:$A$601,0)),""))</f>
        <v/>
      </c>
      <c r="M349" s="13">
        <f>IF(OR($A349="",$E349=""),"",IFERROR(E349*INDEX(CONTRATOS!$AA$2:$AA$601,MATCH($A349,CONTRATOS!$A$2:$A$601,0)),""))</f>
        <v/>
      </c>
      <c r="N349" s="19">
        <f>IF($A349="","",SUMIFS($E$2:$E$601,$A$2:$A$601,$A349))</f>
        <v/>
      </c>
      <c r="O349" s="12">
        <f>IF($A349="","",IFERROR(INDEX(CONTRATOS!$F$2:$F$601,MATCH($A349,CONTRATOS!$A$2:$A$601,0)),""))</f>
        <v/>
      </c>
      <c r="P349" s="12">
        <f>IF($A349="","",IFERROR(INDEX(CONTRATOS!$M$2:$M$601,MATCH($A349,CONTRATOS!$A$2:$A$601,0)),""))</f>
        <v/>
      </c>
      <c r="Q349" s="12">
        <f>IF($A349="","",IF(COUNTIF(CONTRATOS!$A$2:$A$601,$A349)=0,"El contrato no existe en CONTRATOS; ","")&amp;IF($B349="","Falta sujeto; ",IF(COUNTIF(SUJETOS!$A$2:$A$601,$B349)=0,"El sujeto no existe en SUJETOS; ",""))&amp;IF($E349="","Falta porcentaje; ","")&amp;IF(N349&gt;1.0001,"Los porcentajes del contrato suman más de 100 %; ","")&amp;IF(AND($C349="Individual",$E349&lt;&gt;"",$E349&lt;&gt;1),"Individual debe ser 100 %; ","")&amp;IF(AND($C349&lt;&gt;"Individual",$C349&lt;&gt;"",$E349=1),"Consorcio o UT con 100 %: revise; ","")&amp;IF(COUNTIFS($A$2:$A$601,$A349,$B$2:$B$601,$B349)&gt;1,"Participación repetida; ","")&amp;IF(AND(IFERROR(INDEX(SUJETOS!$B$2:$B$601,MATCH($B349,SUJETOS!$A$2:$A$601,0)),"")="Persona natural",$G349=""),"Persona natural sin cargo; ",""))</f>
        <v/>
      </c>
      <c r="R349" s="12">
        <f>IF($A349="","",IFERROR(IF(LEN(INDEX(SUJETOS!$F$2:$F$601,MATCH($B349,SUJETOS!$A$2:$A$601,0)))&gt;0,INDEX(SUJETOS!$F$2:$F$601,MATCH($B349,SUJETOS!$A$2:$A$601,0)),$B349),$B349))</f>
        <v/>
      </c>
    </row>
    <row r="350">
      <c r="E350" s="18" t="n"/>
      <c r="K350" s="13">
        <f>IF(OR($A350="",$E350=""),"",IFERROR(E350*INDEX(CONTRATOS!$P$2:$P$601,MATCH($A350,CONTRATOS!$A$2:$A$601,0)),""))</f>
        <v/>
      </c>
      <c r="L350" s="17">
        <f>IF(OR($A350="",$E350=""),"",IFERROR(E350*INDEX(CONTRATOS!$Z$2:$Z$601,MATCH($A350,CONTRATOS!$A$2:$A$601,0)),""))</f>
        <v/>
      </c>
      <c r="M350" s="13">
        <f>IF(OR($A350="",$E350=""),"",IFERROR(E350*INDEX(CONTRATOS!$AA$2:$AA$601,MATCH($A350,CONTRATOS!$A$2:$A$601,0)),""))</f>
        <v/>
      </c>
      <c r="N350" s="19">
        <f>IF($A350="","",SUMIFS($E$2:$E$601,$A$2:$A$601,$A350))</f>
        <v/>
      </c>
      <c r="O350" s="12">
        <f>IF($A350="","",IFERROR(INDEX(CONTRATOS!$F$2:$F$601,MATCH($A350,CONTRATOS!$A$2:$A$601,0)),""))</f>
        <v/>
      </c>
      <c r="P350" s="12">
        <f>IF($A350="","",IFERROR(INDEX(CONTRATOS!$M$2:$M$601,MATCH($A350,CONTRATOS!$A$2:$A$601,0)),""))</f>
        <v/>
      </c>
      <c r="Q350" s="12">
        <f>IF($A350="","",IF(COUNTIF(CONTRATOS!$A$2:$A$601,$A350)=0,"El contrato no existe en CONTRATOS; ","")&amp;IF($B350="","Falta sujeto; ",IF(COUNTIF(SUJETOS!$A$2:$A$601,$B350)=0,"El sujeto no existe en SUJETOS; ",""))&amp;IF($E350="","Falta porcentaje; ","")&amp;IF(N350&gt;1.0001,"Los porcentajes del contrato suman más de 100 %; ","")&amp;IF(AND($C350="Individual",$E350&lt;&gt;"",$E350&lt;&gt;1),"Individual debe ser 100 %; ","")&amp;IF(AND($C350&lt;&gt;"Individual",$C350&lt;&gt;"",$E350=1),"Consorcio o UT con 100 %: revise; ","")&amp;IF(COUNTIFS($A$2:$A$601,$A350,$B$2:$B$601,$B350)&gt;1,"Participación repetida; ","")&amp;IF(AND(IFERROR(INDEX(SUJETOS!$B$2:$B$601,MATCH($B350,SUJETOS!$A$2:$A$601,0)),"")="Persona natural",$G350=""),"Persona natural sin cargo; ",""))</f>
        <v/>
      </c>
      <c r="R350" s="12">
        <f>IF($A350="","",IFERROR(IF(LEN(INDEX(SUJETOS!$F$2:$F$601,MATCH($B350,SUJETOS!$A$2:$A$601,0)))&gt;0,INDEX(SUJETOS!$F$2:$F$601,MATCH($B350,SUJETOS!$A$2:$A$601,0)),$B350),$B350))</f>
        <v/>
      </c>
    </row>
    <row r="351">
      <c r="E351" s="18" t="n"/>
      <c r="K351" s="13">
        <f>IF(OR($A351="",$E351=""),"",IFERROR(E351*INDEX(CONTRATOS!$P$2:$P$601,MATCH($A351,CONTRATOS!$A$2:$A$601,0)),""))</f>
        <v/>
      </c>
      <c r="L351" s="17">
        <f>IF(OR($A351="",$E351=""),"",IFERROR(E351*INDEX(CONTRATOS!$Z$2:$Z$601,MATCH($A351,CONTRATOS!$A$2:$A$601,0)),""))</f>
        <v/>
      </c>
      <c r="M351" s="13">
        <f>IF(OR($A351="",$E351=""),"",IFERROR(E351*INDEX(CONTRATOS!$AA$2:$AA$601,MATCH($A351,CONTRATOS!$A$2:$A$601,0)),""))</f>
        <v/>
      </c>
      <c r="N351" s="19">
        <f>IF($A351="","",SUMIFS($E$2:$E$601,$A$2:$A$601,$A351))</f>
        <v/>
      </c>
      <c r="O351" s="12">
        <f>IF($A351="","",IFERROR(INDEX(CONTRATOS!$F$2:$F$601,MATCH($A351,CONTRATOS!$A$2:$A$601,0)),""))</f>
        <v/>
      </c>
      <c r="P351" s="12">
        <f>IF($A351="","",IFERROR(INDEX(CONTRATOS!$M$2:$M$601,MATCH($A351,CONTRATOS!$A$2:$A$601,0)),""))</f>
        <v/>
      </c>
      <c r="Q351" s="12">
        <f>IF($A351="","",IF(COUNTIF(CONTRATOS!$A$2:$A$601,$A351)=0,"El contrato no existe en CONTRATOS; ","")&amp;IF($B351="","Falta sujeto; ",IF(COUNTIF(SUJETOS!$A$2:$A$601,$B351)=0,"El sujeto no existe en SUJETOS; ",""))&amp;IF($E351="","Falta porcentaje; ","")&amp;IF(N351&gt;1.0001,"Los porcentajes del contrato suman más de 100 %; ","")&amp;IF(AND($C351="Individual",$E351&lt;&gt;"",$E351&lt;&gt;1),"Individual debe ser 100 %; ","")&amp;IF(AND($C351&lt;&gt;"Individual",$C351&lt;&gt;"",$E351=1),"Consorcio o UT con 100 %: revise; ","")&amp;IF(COUNTIFS($A$2:$A$601,$A351,$B$2:$B$601,$B351)&gt;1,"Participación repetida; ","")&amp;IF(AND(IFERROR(INDEX(SUJETOS!$B$2:$B$601,MATCH($B351,SUJETOS!$A$2:$A$601,0)),"")="Persona natural",$G351=""),"Persona natural sin cargo; ",""))</f>
        <v/>
      </c>
      <c r="R351" s="12">
        <f>IF($A351="","",IFERROR(IF(LEN(INDEX(SUJETOS!$F$2:$F$601,MATCH($B351,SUJETOS!$A$2:$A$601,0)))&gt;0,INDEX(SUJETOS!$F$2:$F$601,MATCH($B351,SUJETOS!$A$2:$A$601,0)),$B351),$B351))</f>
        <v/>
      </c>
    </row>
    <row r="352">
      <c r="E352" s="18" t="n"/>
      <c r="K352" s="13">
        <f>IF(OR($A352="",$E352=""),"",IFERROR(E352*INDEX(CONTRATOS!$P$2:$P$601,MATCH($A352,CONTRATOS!$A$2:$A$601,0)),""))</f>
        <v/>
      </c>
      <c r="L352" s="17">
        <f>IF(OR($A352="",$E352=""),"",IFERROR(E352*INDEX(CONTRATOS!$Z$2:$Z$601,MATCH($A352,CONTRATOS!$A$2:$A$601,0)),""))</f>
        <v/>
      </c>
      <c r="M352" s="13">
        <f>IF(OR($A352="",$E352=""),"",IFERROR(E352*INDEX(CONTRATOS!$AA$2:$AA$601,MATCH($A352,CONTRATOS!$A$2:$A$601,0)),""))</f>
        <v/>
      </c>
      <c r="N352" s="19">
        <f>IF($A352="","",SUMIFS($E$2:$E$601,$A$2:$A$601,$A352))</f>
        <v/>
      </c>
      <c r="O352" s="12">
        <f>IF($A352="","",IFERROR(INDEX(CONTRATOS!$F$2:$F$601,MATCH($A352,CONTRATOS!$A$2:$A$601,0)),""))</f>
        <v/>
      </c>
      <c r="P352" s="12">
        <f>IF($A352="","",IFERROR(INDEX(CONTRATOS!$M$2:$M$601,MATCH($A352,CONTRATOS!$A$2:$A$601,0)),""))</f>
        <v/>
      </c>
      <c r="Q352" s="12">
        <f>IF($A352="","",IF(COUNTIF(CONTRATOS!$A$2:$A$601,$A352)=0,"El contrato no existe en CONTRATOS; ","")&amp;IF($B352="","Falta sujeto; ",IF(COUNTIF(SUJETOS!$A$2:$A$601,$B352)=0,"El sujeto no existe en SUJETOS; ",""))&amp;IF($E352="","Falta porcentaje; ","")&amp;IF(N352&gt;1.0001,"Los porcentajes del contrato suman más de 100 %; ","")&amp;IF(AND($C352="Individual",$E352&lt;&gt;"",$E352&lt;&gt;1),"Individual debe ser 100 %; ","")&amp;IF(AND($C352&lt;&gt;"Individual",$C352&lt;&gt;"",$E352=1),"Consorcio o UT con 100 %: revise; ","")&amp;IF(COUNTIFS($A$2:$A$601,$A352,$B$2:$B$601,$B352)&gt;1,"Participación repetida; ","")&amp;IF(AND(IFERROR(INDEX(SUJETOS!$B$2:$B$601,MATCH($B352,SUJETOS!$A$2:$A$601,0)),"")="Persona natural",$G352=""),"Persona natural sin cargo; ",""))</f>
        <v/>
      </c>
      <c r="R352" s="12">
        <f>IF($A352="","",IFERROR(IF(LEN(INDEX(SUJETOS!$F$2:$F$601,MATCH($B352,SUJETOS!$A$2:$A$601,0)))&gt;0,INDEX(SUJETOS!$F$2:$F$601,MATCH($B352,SUJETOS!$A$2:$A$601,0)),$B352),$B352))</f>
        <v/>
      </c>
    </row>
    <row r="353">
      <c r="E353" s="18" t="n"/>
      <c r="K353" s="13">
        <f>IF(OR($A353="",$E353=""),"",IFERROR(E353*INDEX(CONTRATOS!$P$2:$P$601,MATCH($A353,CONTRATOS!$A$2:$A$601,0)),""))</f>
        <v/>
      </c>
      <c r="L353" s="17">
        <f>IF(OR($A353="",$E353=""),"",IFERROR(E353*INDEX(CONTRATOS!$Z$2:$Z$601,MATCH($A353,CONTRATOS!$A$2:$A$601,0)),""))</f>
        <v/>
      </c>
      <c r="M353" s="13">
        <f>IF(OR($A353="",$E353=""),"",IFERROR(E353*INDEX(CONTRATOS!$AA$2:$AA$601,MATCH($A353,CONTRATOS!$A$2:$A$601,0)),""))</f>
        <v/>
      </c>
      <c r="N353" s="19">
        <f>IF($A353="","",SUMIFS($E$2:$E$601,$A$2:$A$601,$A353))</f>
        <v/>
      </c>
      <c r="O353" s="12">
        <f>IF($A353="","",IFERROR(INDEX(CONTRATOS!$F$2:$F$601,MATCH($A353,CONTRATOS!$A$2:$A$601,0)),""))</f>
        <v/>
      </c>
      <c r="P353" s="12">
        <f>IF($A353="","",IFERROR(INDEX(CONTRATOS!$M$2:$M$601,MATCH($A353,CONTRATOS!$A$2:$A$601,0)),""))</f>
        <v/>
      </c>
      <c r="Q353" s="12">
        <f>IF($A353="","",IF(COUNTIF(CONTRATOS!$A$2:$A$601,$A353)=0,"El contrato no existe en CONTRATOS; ","")&amp;IF($B353="","Falta sujeto; ",IF(COUNTIF(SUJETOS!$A$2:$A$601,$B353)=0,"El sujeto no existe en SUJETOS; ",""))&amp;IF($E353="","Falta porcentaje; ","")&amp;IF(N353&gt;1.0001,"Los porcentajes del contrato suman más de 100 %; ","")&amp;IF(AND($C353="Individual",$E353&lt;&gt;"",$E353&lt;&gt;1),"Individual debe ser 100 %; ","")&amp;IF(AND($C353&lt;&gt;"Individual",$C353&lt;&gt;"",$E353=1),"Consorcio o UT con 100 %: revise; ","")&amp;IF(COUNTIFS($A$2:$A$601,$A353,$B$2:$B$601,$B353)&gt;1,"Participación repetida; ","")&amp;IF(AND(IFERROR(INDEX(SUJETOS!$B$2:$B$601,MATCH($B353,SUJETOS!$A$2:$A$601,0)),"")="Persona natural",$G353=""),"Persona natural sin cargo; ",""))</f>
        <v/>
      </c>
      <c r="R353" s="12">
        <f>IF($A353="","",IFERROR(IF(LEN(INDEX(SUJETOS!$F$2:$F$601,MATCH($B353,SUJETOS!$A$2:$A$601,0)))&gt;0,INDEX(SUJETOS!$F$2:$F$601,MATCH($B353,SUJETOS!$A$2:$A$601,0)),$B353),$B353))</f>
        <v/>
      </c>
    </row>
    <row r="354">
      <c r="E354" s="18" t="n"/>
      <c r="K354" s="13">
        <f>IF(OR($A354="",$E354=""),"",IFERROR(E354*INDEX(CONTRATOS!$P$2:$P$601,MATCH($A354,CONTRATOS!$A$2:$A$601,0)),""))</f>
        <v/>
      </c>
      <c r="L354" s="17">
        <f>IF(OR($A354="",$E354=""),"",IFERROR(E354*INDEX(CONTRATOS!$Z$2:$Z$601,MATCH($A354,CONTRATOS!$A$2:$A$601,0)),""))</f>
        <v/>
      </c>
      <c r="M354" s="13">
        <f>IF(OR($A354="",$E354=""),"",IFERROR(E354*INDEX(CONTRATOS!$AA$2:$AA$601,MATCH($A354,CONTRATOS!$A$2:$A$601,0)),""))</f>
        <v/>
      </c>
      <c r="N354" s="19">
        <f>IF($A354="","",SUMIFS($E$2:$E$601,$A$2:$A$601,$A354))</f>
        <v/>
      </c>
      <c r="O354" s="12">
        <f>IF($A354="","",IFERROR(INDEX(CONTRATOS!$F$2:$F$601,MATCH($A354,CONTRATOS!$A$2:$A$601,0)),""))</f>
        <v/>
      </c>
      <c r="P354" s="12">
        <f>IF($A354="","",IFERROR(INDEX(CONTRATOS!$M$2:$M$601,MATCH($A354,CONTRATOS!$A$2:$A$601,0)),""))</f>
        <v/>
      </c>
      <c r="Q354" s="12">
        <f>IF($A354="","",IF(COUNTIF(CONTRATOS!$A$2:$A$601,$A354)=0,"El contrato no existe en CONTRATOS; ","")&amp;IF($B354="","Falta sujeto; ",IF(COUNTIF(SUJETOS!$A$2:$A$601,$B354)=0,"El sujeto no existe en SUJETOS; ",""))&amp;IF($E354="","Falta porcentaje; ","")&amp;IF(N354&gt;1.0001,"Los porcentajes del contrato suman más de 100 %; ","")&amp;IF(AND($C354="Individual",$E354&lt;&gt;"",$E354&lt;&gt;1),"Individual debe ser 100 %; ","")&amp;IF(AND($C354&lt;&gt;"Individual",$C354&lt;&gt;"",$E354=1),"Consorcio o UT con 100 %: revise; ","")&amp;IF(COUNTIFS($A$2:$A$601,$A354,$B$2:$B$601,$B354)&gt;1,"Participación repetida; ","")&amp;IF(AND(IFERROR(INDEX(SUJETOS!$B$2:$B$601,MATCH($B354,SUJETOS!$A$2:$A$601,0)),"")="Persona natural",$G354=""),"Persona natural sin cargo; ",""))</f>
        <v/>
      </c>
      <c r="R354" s="12">
        <f>IF($A354="","",IFERROR(IF(LEN(INDEX(SUJETOS!$F$2:$F$601,MATCH($B354,SUJETOS!$A$2:$A$601,0)))&gt;0,INDEX(SUJETOS!$F$2:$F$601,MATCH($B354,SUJETOS!$A$2:$A$601,0)),$B354),$B354))</f>
        <v/>
      </c>
    </row>
    <row r="355">
      <c r="E355" s="18" t="n"/>
      <c r="K355" s="13">
        <f>IF(OR($A355="",$E355=""),"",IFERROR(E355*INDEX(CONTRATOS!$P$2:$P$601,MATCH($A355,CONTRATOS!$A$2:$A$601,0)),""))</f>
        <v/>
      </c>
      <c r="L355" s="17">
        <f>IF(OR($A355="",$E355=""),"",IFERROR(E355*INDEX(CONTRATOS!$Z$2:$Z$601,MATCH($A355,CONTRATOS!$A$2:$A$601,0)),""))</f>
        <v/>
      </c>
      <c r="M355" s="13">
        <f>IF(OR($A355="",$E355=""),"",IFERROR(E355*INDEX(CONTRATOS!$AA$2:$AA$601,MATCH($A355,CONTRATOS!$A$2:$A$601,0)),""))</f>
        <v/>
      </c>
      <c r="N355" s="19">
        <f>IF($A355="","",SUMIFS($E$2:$E$601,$A$2:$A$601,$A355))</f>
        <v/>
      </c>
      <c r="O355" s="12">
        <f>IF($A355="","",IFERROR(INDEX(CONTRATOS!$F$2:$F$601,MATCH($A355,CONTRATOS!$A$2:$A$601,0)),""))</f>
        <v/>
      </c>
      <c r="P355" s="12">
        <f>IF($A355="","",IFERROR(INDEX(CONTRATOS!$M$2:$M$601,MATCH($A355,CONTRATOS!$A$2:$A$601,0)),""))</f>
        <v/>
      </c>
      <c r="Q355" s="12">
        <f>IF($A355="","",IF(COUNTIF(CONTRATOS!$A$2:$A$601,$A355)=0,"El contrato no existe en CONTRATOS; ","")&amp;IF($B355="","Falta sujeto; ",IF(COUNTIF(SUJETOS!$A$2:$A$601,$B355)=0,"El sujeto no existe en SUJETOS; ",""))&amp;IF($E355="","Falta porcentaje; ","")&amp;IF(N355&gt;1.0001,"Los porcentajes del contrato suman más de 100 %; ","")&amp;IF(AND($C355="Individual",$E355&lt;&gt;"",$E355&lt;&gt;1),"Individual debe ser 100 %; ","")&amp;IF(AND($C355&lt;&gt;"Individual",$C355&lt;&gt;"",$E355=1),"Consorcio o UT con 100 %: revise; ","")&amp;IF(COUNTIFS($A$2:$A$601,$A355,$B$2:$B$601,$B355)&gt;1,"Participación repetida; ","")&amp;IF(AND(IFERROR(INDEX(SUJETOS!$B$2:$B$601,MATCH($B355,SUJETOS!$A$2:$A$601,0)),"")="Persona natural",$G355=""),"Persona natural sin cargo; ",""))</f>
        <v/>
      </c>
      <c r="R355" s="12">
        <f>IF($A355="","",IFERROR(IF(LEN(INDEX(SUJETOS!$F$2:$F$601,MATCH($B355,SUJETOS!$A$2:$A$601,0)))&gt;0,INDEX(SUJETOS!$F$2:$F$601,MATCH($B355,SUJETOS!$A$2:$A$601,0)),$B355),$B355))</f>
        <v/>
      </c>
    </row>
    <row r="356">
      <c r="E356" s="18" t="n"/>
      <c r="K356" s="13">
        <f>IF(OR($A356="",$E356=""),"",IFERROR(E356*INDEX(CONTRATOS!$P$2:$P$601,MATCH($A356,CONTRATOS!$A$2:$A$601,0)),""))</f>
        <v/>
      </c>
      <c r="L356" s="17">
        <f>IF(OR($A356="",$E356=""),"",IFERROR(E356*INDEX(CONTRATOS!$Z$2:$Z$601,MATCH($A356,CONTRATOS!$A$2:$A$601,0)),""))</f>
        <v/>
      </c>
      <c r="M356" s="13">
        <f>IF(OR($A356="",$E356=""),"",IFERROR(E356*INDEX(CONTRATOS!$AA$2:$AA$601,MATCH($A356,CONTRATOS!$A$2:$A$601,0)),""))</f>
        <v/>
      </c>
      <c r="N356" s="19">
        <f>IF($A356="","",SUMIFS($E$2:$E$601,$A$2:$A$601,$A356))</f>
        <v/>
      </c>
      <c r="O356" s="12">
        <f>IF($A356="","",IFERROR(INDEX(CONTRATOS!$F$2:$F$601,MATCH($A356,CONTRATOS!$A$2:$A$601,0)),""))</f>
        <v/>
      </c>
      <c r="P356" s="12">
        <f>IF($A356="","",IFERROR(INDEX(CONTRATOS!$M$2:$M$601,MATCH($A356,CONTRATOS!$A$2:$A$601,0)),""))</f>
        <v/>
      </c>
      <c r="Q356" s="12">
        <f>IF($A356="","",IF(COUNTIF(CONTRATOS!$A$2:$A$601,$A356)=0,"El contrato no existe en CONTRATOS; ","")&amp;IF($B356="","Falta sujeto; ",IF(COUNTIF(SUJETOS!$A$2:$A$601,$B356)=0,"El sujeto no existe en SUJETOS; ",""))&amp;IF($E356="","Falta porcentaje; ","")&amp;IF(N356&gt;1.0001,"Los porcentajes del contrato suman más de 100 %; ","")&amp;IF(AND($C356="Individual",$E356&lt;&gt;"",$E356&lt;&gt;1),"Individual debe ser 100 %; ","")&amp;IF(AND($C356&lt;&gt;"Individual",$C356&lt;&gt;"",$E356=1),"Consorcio o UT con 100 %: revise; ","")&amp;IF(COUNTIFS($A$2:$A$601,$A356,$B$2:$B$601,$B356)&gt;1,"Participación repetida; ","")&amp;IF(AND(IFERROR(INDEX(SUJETOS!$B$2:$B$601,MATCH($B356,SUJETOS!$A$2:$A$601,0)),"")="Persona natural",$G356=""),"Persona natural sin cargo; ",""))</f>
        <v/>
      </c>
      <c r="R356" s="12">
        <f>IF($A356="","",IFERROR(IF(LEN(INDEX(SUJETOS!$F$2:$F$601,MATCH($B356,SUJETOS!$A$2:$A$601,0)))&gt;0,INDEX(SUJETOS!$F$2:$F$601,MATCH($B356,SUJETOS!$A$2:$A$601,0)),$B356),$B356))</f>
        <v/>
      </c>
    </row>
    <row r="357">
      <c r="E357" s="18" t="n"/>
      <c r="K357" s="13">
        <f>IF(OR($A357="",$E357=""),"",IFERROR(E357*INDEX(CONTRATOS!$P$2:$P$601,MATCH($A357,CONTRATOS!$A$2:$A$601,0)),""))</f>
        <v/>
      </c>
      <c r="L357" s="17">
        <f>IF(OR($A357="",$E357=""),"",IFERROR(E357*INDEX(CONTRATOS!$Z$2:$Z$601,MATCH($A357,CONTRATOS!$A$2:$A$601,0)),""))</f>
        <v/>
      </c>
      <c r="M357" s="13">
        <f>IF(OR($A357="",$E357=""),"",IFERROR(E357*INDEX(CONTRATOS!$AA$2:$AA$601,MATCH($A357,CONTRATOS!$A$2:$A$601,0)),""))</f>
        <v/>
      </c>
      <c r="N357" s="19">
        <f>IF($A357="","",SUMIFS($E$2:$E$601,$A$2:$A$601,$A357))</f>
        <v/>
      </c>
      <c r="O357" s="12">
        <f>IF($A357="","",IFERROR(INDEX(CONTRATOS!$F$2:$F$601,MATCH($A357,CONTRATOS!$A$2:$A$601,0)),""))</f>
        <v/>
      </c>
      <c r="P357" s="12">
        <f>IF($A357="","",IFERROR(INDEX(CONTRATOS!$M$2:$M$601,MATCH($A357,CONTRATOS!$A$2:$A$601,0)),""))</f>
        <v/>
      </c>
      <c r="Q357" s="12">
        <f>IF($A357="","",IF(COUNTIF(CONTRATOS!$A$2:$A$601,$A357)=0,"El contrato no existe en CONTRATOS; ","")&amp;IF($B357="","Falta sujeto; ",IF(COUNTIF(SUJETOS!$A$2:$A$601,$B357)=0,"El sujeto no existe en SUJETOS; ",""))&amp;IF($E357="","Falta porcentaje; ","")&amp;IF(N357&gt;1.0001,"Los porcentajes del contrato suman más de 100 %; ","")&amp;IF(AND($C357="Individual",$E357&lt;&gt;"",$E357&lt;&gt;1),"Individual debe ser 100 %; ","")&amp;IF(AND($C357&lt;&gt;"Individual",$C357&lt;&gt;"",$E357=1),"Consorcio o UT con 100 %: revise; ","")&amp;IF(COUNTIFS($A$2:$A$601,$A357,$B$2:$B$601,$B357)&gt;1,"Participación repetida; ","")&amp;IF(AND(IFERROR(INDEX(SUJETOS!$B$2:$B$601,MATCH($B357,SUJETOS!$A$2:$A$601,0)),"")="Persona natural",$G357=""),"Persona natural sin cargo; ",""))</f>
        <v/>
      </c>
      <c r="R357" s="12">
        <f>IF($A357="","",IFERROR(IF(LEN(INDEX(SUJETOS!$F$2:$F$601,MATCH($B357,SUJETOS!$A$2:$A$601,0)))&gt;0,INDEX(SUJETOS!$F$2:$F$601,MATCH($B357,SUJETOS!$A$2:$A$601,0)),$B357),$B357))</f>
        <v/>
      </c>
    </row>
    <row r="358">
      <c r="E358" s="18" t="n"/>
      <c r="K358" s="13">
        <f>IF(OR($A358="",$E358=""),"",IFERROR(E358*INDEX(CONTRATOS!$P$2:$P$601,MATCH($A358,CONTRATOS!$A$2:$A$601,0)),""))</f>
        <v/>
      </c>
      <c r="L358" s="17">
        <f>IF(OR($A358="",$E358=""),"",IFERROR(E358*INDEX(CONTRATOS!$Z$2:$Z$601,MATCH($A358,CONTRATOS!$A$2:$A$601,0)),""))</f>
        <v/>
      </c>
      <c r="M358" s="13">
        <f>IF(OR($A358="",$E358=""),"",IFERROR(E358*INDEX(CONTRATOS!$AA$2:$AA$601,MATCH($A358,CONTRATOS!$A$2:$A$601,0)),""))</f>
        <v/>
      </c>
      <c r="N358" s="19">
        <f>IF($A358="","",SUMIFS($E$2:$E$601,$A$2:$A$601,$A358))</f>
        <v/>
      </c>
      <c r="O358" s="12">
        <f>IF($A358="","",IFERROR(INDEX(CONTRATOS!$F$2:$F$601,MATCH($A358,CONTRATOS!$A$2:$A$601,0)),""))</f>
        <v/>
      </c>
      <c r="P358" s="12">
        <f>IF($A358="","",IFERROR(INDEX(CONTRATOS!$M$2:$M$601,MATCH($A358,CONTRATOS!$A$2:$A$601,0)),""))</f>
        <v/>
      </c>
      <c r="Q358" s="12">
        <f>IF($A358="","",IF(COUNTIF(CONTRATOS!$A$2:$A$601,$A358)=0,"El contrato no existe en CONTRATOS; ","")&amp;IF($B358="","Falta sujeto; ",IF(COUNTIF(SUJETOS!$A$2:$A$601,$B358)=0,"El sujeto no existe en SUJETOS; ",""))&amp;IF($E358="","Falta porcentaje; ","")&amp;IF(N358&gt;1.0001,"Los porcentajes del contrato suman más de 100 %; ","")&amp;IF(AND($C358="Individual",$E358&lt;&gt;"",$E358&lt;&gt;1),"Individual debe ser 100 %; ","")&amp;IF(AND($C358&lt;&gt;"Individual",$C358&lt;&gt;"",$E358=1),"Consorcio o UT con 100 %: revise; ","")&amp;IF(COUNTIFS($A$2:$A$601,$A358,$B$2:$B$601,$B358)&gt;1,"Participación repetida; ","")&amp;IF(AND(IFERROR(INDEX(SUJETOS!$B$2:$B$601,MATCH($B358,SUJETOS!$A$2:$A$601,0)),"")="Persona natural",$G358=""),"Persona natural sin cargo; ",""))</f>
        <v/>
      </c>
      <c r="R358" s="12">
        <f>IF($A358="","",IFERROR(IF(LEN(INDEX(SUJETOS!$F$2:$F$601,MATCH($B358,SUJETOS!$A$2:$A$601,0)))&gt;0,INDEX(SUJETOS!$F$2:$F$601,MATCH($B358,SUJETOS!$A$2:$A$601,0)),$B358),$B358))</f>
        <v/>
      </c>
    </row>
    <row r="359">
      <c r="E359" s="18" t="n"/>
      <c r="K359" s="13">
        <f>IF(OR($A359="",$E359=""),"",IFERROR(E359*INDEX(CONTRATOS!$P$2:$P$601,MATCH($A359,CONTRATOS!$A$2:$A$601,0)),""))</f>
        <v/>
      </c>
      <c r="L359" s="17">
        <f>IF(OR($A359="",$E359=""),"",IFERROR(E359*INDEX(CONTRATOS!$Z$2:$Z$601,MATCH($A359,CONTRATOS!$A$2:$A$601,0)),""))</f>
        <v/>
      </c>
      <c r="M359" s="13">
        <f>IF(OR($A359="",$E359=""),"",IFERROR(E359*INDEX(CONTRATOS!$AA$2:$AA$601,MATCH($A359,CONTRATOS!$A$2:$A$601,0)),""))</f>
        <v/>
      </c>
      <c r="N359" s="19">
        <f>IF($A359="","",SUMIFS($E$2:$E$601,$A$2:$A$601,$A359))</f>
        <v/>
      </c>
      <c r="O359" s="12">
        <f>IF($A359="","",IFERROR(INDEX(CONTRATOS!$F$2:$F$601,MATCH($A359,CONTRATOS!$A$2:$A$601,0)),""))</f>
        <v/>
      </c>
      <c r="P359" s="12">
        <f>IF($A359="","",IFERROR(INDEX(CONTRATOS!$M$2:$M$601,MATCH($A359,CONTRATOS!$A$2:$A$601,0)),""))</f>
        <v/>
      </c>
      <c r="Q359" s="12">
        <f>IF($A359="","",IF(COUNTIF(CONTRATOS!$A$2:$A$601,$A359)=0,"El contrato no existe en CONTRATOS; ","")&amp;IF($B359="","Falta sujeto; ",IF(COUNTIF(SUJETOS!$A$2:$A$601,$B359)=0,"El sujeto no existe en SUJETOS; ",""))&amp;IF($E359="","Falta porcentaje; ","")&amp;IF(N359&gt;1.0001,"Los porcentajes del contrato suman más de 100 %; ","")&amp;IF(AND($C359="Individual",$E359&lt;&gt;"",$E359&lt;&gt;1),"Individual debe ser 100 %; ","")&amp;IF(AND($C359&lt;&gt;"Individual",$C359&lt;&gt;"",$E359=1),"Consorcio o UT con 100 %: revise; ","")&amp;IF(COUNTIFS($A$2:$A$601,$A359,$B$2:$B$601,$B359)&gt;1,"Participación repetida; ","")&amp;IF(AND(IFERROR(INDEX(SUJETOS!$B$2:$B$601,MATCH($B359,SUJETOS!$A$2:$A$601,0)),"")="Persona natural",$G359=""),"Persona natural sin cargo; ",""))</f>
        <v/>
      </c>
      <c r="R359" s="12">
        <f>IF($A359="","",IFERROR(IF(LEN(INDEX(SUJETOS!$F$2:$F$601,MATCH($B359,SUJETOS!$A$2:$A$601,0)))&gt;0,INDEX(SUJETOS!$F$2:$F$601,MATCH($B359,SUJETOS!$A$2:$A$601,0)),$B359),$B359))</f>
        <v/>
      </c>
    </row>
    <row r="360">
      <c r="E360" s="18" t="n"/>
      <c r="K360" s="13">
        <f>IF(OR($A360="",$E360=""),"",IFERROR(E360*INDEX(CONTRATOS!$P$2:$P$601,MATCH($A360,CONTRATOS!$A$2:$A$601,0)),""))</f>
        <v/>
      </c>
      <c r="L360" s="17">
        <f>IF(OR($A360="",$E360=""),"",IFERROR(E360*INDEX(CONTRATOS!$Z$2:$Z$601,MATCH($A360,CONTRATOS!$A$2:$A$601,0)),""))</f>
        <v/>
      </c>
      <c r="M360" s="13">
        <f>IF(OR($A360="",$E360=""),"",IFERROR(E360*INDEX(CONTRATOS!$AA$2:$AA$601,MATCH($A360,CONTRATOS!$A$2:$A$601,0)),""))</f>
        <v/>
      </c>
      <c r="N360" s="19">
        <f>IF($A360="","",SUMIFS($E$2:$E$601,$A$2:$A$601,$A360))</f>
        <v/>
      </c>
      <c r="O360" s="12">
        <f>IF($A360="","",IFERROR(INDEX(CONTRATOS!$F$2:$F$601,MATCH($A360,CONTRATOS!$A$2:$A$601,0)),""))</f>
        <v/>
      </c>
      <c r="P360" s="12">
        <f>IF($A360="","",IFERROR(INDEX(CONTRATOS!$M$2:$M$601,MATCH($A360,CONTRATOS!$A$2:$A$601,0)),""))</f>
        <v/>
      </c>
      <c r="Q360" s="12">
        <f>IF($A360="","",IF(COUNTIF(CONTRATOS!$A$2:$A$601,$A360)=0,"El contrato no existe en CONTRATOS; ","")&amp;IF($B360="","Falta sujeto; ",IF(COUNTIF(SUJETOS!$A$2:$A$601,$B360)=0,"El sujeto no existe en SUJETOS; ",""))&amp;IF($E360="","Falta porcentaje; ","")&amp;IF(N360&gt;1.0001,"Los porcentajes del contrato suman más de 100 %; ","")&amp;IF(AND($C360="Individual",$E360&lt;&gt;"",$E360&lt;&gt;1),"Individual debe ser 100 %; ","")&amp;IF(AND($C360&lt;&gt;"Individual",$C360&lt;&gt;"",$E360=1),"Consorcio o UT con 100 %: revise; ","")&amp;IF(COUNTIFS($A$2:$A$601,$A360,$B$2:$B$601,$B360)&gt;1,"Participación repetida; ","")&amp;IF(AND(IFERROR(INDEX(SUJETOS!$B$2:$B$601,MATCH($B360,SUJETOS!$A$2:$A$601,0)),"")="Persona natural",$G360=""),"Persona natural sin cargo; ",""))</f>
        <v/>
      </c>
      <c r="R360" s="12">
        <f>IF($A360="","",IFERROR(IF(LEN(INDEX(SUJETOS!$F$2:$F$601,MATCH($B360,SUJETOS!$A$2:$A$601,0)))&gt;0,INDEX(SUJETOS!$F$2:$F$601,MATCH($B360,SUJETOS!$A$2:$A$601,0)),$B360),$B360))</f>
        <v/>
      </c>
    </row>
    <row r="361">
      <c r="E361" s="18" t="n"/>
      <c r="K361" s="13">
        <f>IF(OR($A361="",$E361=""),"",IFERROR(E361*INDEX(CONTRATOS!$P$2:$P$601,MATCH($A361,CONTRATOS!$A$2:$A$601,0)),""))</f>
        <v/>
      </c>
      <c r="L361" s="17">
        <f>IF(OR($A361="",$E361=""),"",IFERROR(E361*INDEX(CONTRATOS!$Z$2:$Z$601,MATCH($A361,CONTRATOS!$A$2:$A$601,0)),""))</f>
        <v/>
      </c>
      <c r="M361" s="13">
        <f>IF(OR($A361="",$E361=""),"",IFERROR(E361*INDEX(CONTRATOS!$AA$2:$AA$601,MATCH($A361,CONTRATOS!$A$2:$A$601,0)),""))</f>
        <v/>
      </c>
      <c r="N361" s="19">
        <f>IF($A361="","",SUMIFS($E$2:$E$601,$A$2:$A$601,$A361))</f>
        <v/>
      </c>
      <c r="O361" s="12">
        <f>IF($A361="","",IFERROR(INDEX(CONTRATOS!$F$2:$F$601,MATCH($A361,CONTRATOS!$A$2:$A$601,0)),""))</f>
        <v/>
      </c>
      <c r="P361" s="12">
        <f>IF($A361="","",IFERROR(INDEX(CONTRATOS!$M$2:$M$601,MATCH($A361,CONTRATOS!$A$2:$A$601,0)),""))</f>
        <v/>
      </c>
      <c r="Q361" s="12">
        <f>IF($A361="","",IF(COUNTIF(CONTRATOS!$A$2:$A$601,$A361)=0,"El contrato no existe en CONTRATOS; ","")&amp;IF($B361="","Falta sujeto; ",IF(COUNTIF(SUJETOS!$A$2:$A$601,$B361)=0,"El sujeto no existe en SUJETOS; ",""))&amp;IF($E361="","Falta porcentaje; ","")&amp;IF(N361&gt;1.0001,"Los porcentajes del contrato suman más de 100 %; ","")&amp;IF(AND($C361="Individual",$E361&lt;&gt;"",$E361&lt;&gt;1),"Individual debe ser 100 %; ","")&amp;IF(AND($C361&lt;&gt;"Individual",$C361&lt;&gt;"",$E361=1),"Consorcio o UT con 100 %: revise; ","")&amp;IF(COUNTIFS($A$2:$A$601,$A361,$B$2:$B$601,$B361)&gt;1,"Participación repetida; ","")&amp;IF(AND(IFERROR(INDEX(SUJETOS!$B$2:$B$601,MATCH($B361,SUJETOS!$A$2:$A$601,0)),"")="Persona natural",$G361=""),"Persona natural sin cargo; ",""))</f>
        <v/>
      </c>
      <c r="R361" s="12">
        <f>IF($A361="","",IFERROR(IF(LEN(INDEX(SUJETOS!$F$2:$F$601,MATCH($B361,SUJETOS!$A$2:$A$601,0)))&gt;0,INDEX(SUJETOS!$F$2:$F$601,MATCH($B361,SUJETOS!$A$2:$A$601,0)),$B361),$B361))</f>
        <v/>
      </c>
    </row>
    <row r="362">
      <c r="E362" s="18" t="n"/>
      <c r="K362" s="13">
        <f>IF(OR($A362="",$E362=""),"",IFERROR(E362*INDEX(CONTRATOS!$P$2:$P$601,MATCH($A362,CONTRATOS!$A$2:$A$601,0)),""))</f>
        <v/>
      </c>
      <c r="L362" s="17">
        <f>IF(OR($A362="",$E362=""),"",IFERROR(E362*INDEX(CONTRATOS!$Z$2:$Z$601,MATCH($A362,CONTRATOS!$A$2:$A$601,0)),""))</f>
        <v/>
      </c>
      <c r="M362" s="13">
        <f>IF(OR($A362="",$E362=""),"",IFERROR(E362*INDEX(CONTRATOS!$AA$2:$AA$601,MATCH($A362,CONTRATOS!$A$2:$A$601,0)),""))</f>
        <v/>
      </c>
      <c r="N362" s="19">
        <f>IF($A362="","",SUMIFS($E$2:$E$601,$A$2:$A$601,$A362))</f>
        <v/>
      </c>
      <c r="O362" s="12">
        <f>IF($A362="","",IFERROR(INDEX(CONTRATOS!$F$2:$F$601,MATCH($A362,CONTRATOS!$A$2:$A$601,0)),""))</f>
        <v/>
      </c>
      <c r="P362" s="12">
        <f>IF($A362="","",IFERROR(INDEX(CONTRATOS!$M$2:$M$601,MATCH($A362,CONTRATOS!$A$2:$A$601,0)),""))</f>
        <v/>
      </c>
      <c r="Q362" s="12">
        <f>IF($A362="","",IF(COUNTIF(CONTRATOS!$A$2:$A$601,$A362)=0,"El contrato no existe en CONTRATOS; ","")&amp;IF($B362="","Falta sujeto; ",IF(COUNTIF(SUJETOS!$A$2:$A$601,$B362)=0,"El sujeto no existe en SUJETOS; ",""))&amp;IF($E362="","Falta porcentaje; ","")&amp;IF(N362&gt;1.0001,"Los porcentajes del contrato suman más de 100 %; ","")&amp;IF(AND($C362="Individual",$E362&lt;&gt;"",$E362&lt;&gt;1),"Individual debe ser 100 %; ","")&amp;IF(AND($C362&lt;&gt;"Individual",$C362&lt;&gt;"",$E362=1),"Consorcio o UT con 100 %: revise; ","")&amp;IF(COUNTIFS($A$2:$A$601,$A362,$B$2:$B$601,$B362)&gt;1,"Participación repetida; ","")&amp;IF(AND(IFERROR(INDEX(SUJETOS!$B$2:$B$601,MATCH($B362,SUJETOS!$A$2:$A$601,0)),"")="Persona natural",$G362=""),"Persona natural sin cargo; ",""))</f>
        <v/>
      </c>
      <c r="R362" s="12">
        <f>IF($A362="","",IFERROR(IF(LEN(INDEX(SUJETOS!$F$2:$F$601,MATCH($B362,SUJETOS!$A$2:$A$601,0)))&gt;0,INDEX(SUJETOS!$F$2:$F$601,MATCH($B362,SUJETOS!$A$2:$A$601,0)),$B362),$B362))</f>
        <v/>
      </c>
    </row>
    <row r="363">
      <c r="E363" s="18" t="n"/>
      <c r="K363" s="13">
        <f>IF(OR($A363="",$E363=""),"",IFERROR(E363*INDEX(CONTRATOS!$P$2:$P$601,MATCH($A363,CONTRATOS!$A$2:$A$601,0)),""))</f>
        <v/>
      </c>
      <c r="L363" s="17">
        <f>IF(OR($A363="",$E363=""),"",IFERROR(E363*INDEX(CONTRATOS!$Z$2:$Z$601,MATCH($A363,CONTRATOS!$A$2:$A$601,0)),""))</f>
        <v/>
      </c>
      <c r="M363" s="13">
        <f>IF(OR($A363="",$E363=""),"",IFERROR(E363*INDEX(CONTRATOS!$AA$2:$AA$601,MATCH($A363,CONTRATOS!$A$2:$A$601,0)),""))</f>
        <v/>
      </c>
      <c r="N363" s="19">
        <f>IF($A363="","",SUMIFS($E$2:$E$601,$A$2:$A$601,$A363))</f>
        <v/>
      </c>
      <c r="O363" s="12">
        <f>IF($A363="","",IFERROR(INDEX(CONTRATOS!$F$2:$F$601,MATCH($A363,CONTRATOS!$A$2:$A$601,0)),""))</f>
        <v/>
      </c>
      <c r="P363" s="12">
        <f>IF($A363="","",IFERROR(INDEX(CONTRATOS!$M$2:$M$601,MATCH($A363,CONTRATOS!$A$2:$A$601,0)),""))</f>
        <v/>
      </c>
      <c r="Q363" s="12">
        <f>IF($A363="","",IF(COUNTIF(CONTRATOS!$A$2:$A$601,$A363)=0,"El contrato no existe en CONTRATOS; ","")&amp;IF($B363="","Falta sujeto; ",IF(COUNTIF(SUJETOS!$A$2:$A$601,$B363)=0,"El sujeto no existe en SUJETOS; ",""))&amp;IF($E363="","Falta porcentaje; ","")&amp;IF(N363&gt;1.0001,"Los porcentajes del contrato suman más de 100 %; ","")&amp;IF(AND($C363="Individual",$E363&lt;&gt;"",$E363&lt;&gt;1),"Individual debe ser 100 %; ","")&amp;IF(AND($C363&lt;&gt;"Individual",$C363&lt;&gt;"",$E363=1),"Consorcio o UT con 100 %: revise; ","")&amp;IF(COUNTIFS($A$2:$A$601,$A363,$B$2:$B$601,$B363)&gt;1,"Participación repetida; ","")&amp;IF(AND(IFERROR(INDEX(SUJETOS!$B$2:$B$601,MATCH($B363,SUJETOS!$A$2:$A$601,0)),"")="Persona natural",$G363=""),"Persona natural sin cargo; ",""))</f>
        <v/>
      </c>
      <c r="R363" s="12">
        <f>IF($A363="","",IFERROR(IF(LEN(INDEX(SUJETOS!$F$2:$F$601,MATCH($B363,SUJETOS!$A$2:$A$601,0)))&gt;0,INDEX(SUJETOS!$F$2:$F$601,MATCH($B363,SUJETOS!$A$2:$A$601,0)),$B363),$B363))</f>
        <v/>
      </c>
    </row>
    <row r="364">
      <c r="E364" s="18" t="n"/>
      <c r="K364" s="13">
        <f>IF(OR($A364="",$E364=""),"",IFERROR(E364*INDEX(CONTRATOS!$P$2:$P$601,MATCH($A364,CONTRATOS!$A$2:$A$601,0)),""))</f>
        <v/>
      </c>
      <c r="L364" s="17">
        <f>IF(OR($A364="",$E364=""),"",IFERROR(E364*INDEX(CONTRATOS!$Z$2:$Z$601,MATCH($A364,CONTRATOS!$A$2:$A$601,0)),""))</f>
        <v/>
      </c>
      <c r="M364" s="13">
        <f>IF(OR($A364="",$E364=""),"",IFERROR(E364*INDEX(CONTRATOS!$AA$2:$AA$601,MATCH($A364,CONTRATOS!$A$2:$A$601,0)),""))</f>
        <v/>
      </c>
      <c r="N364" s="19">
        <f>IF($A364="","",SUMIFS($E$2:$E$601,$A$2:$A$601,$A364))</f>
        <v/>
      </c>
      <c r="O364" s="12">
        <f>IF($A364="","",IFERROR(INDEX(CONTRATOS!$F$2:$F$601,MATCH($A364,CONTRATOS!$A$2:$A$601,0)),""))</f>
        <v/>
      </c>
      <c r="P364" s="12">
        <f>IF($A364="","",IFERROR(INDEX(CONTRATOS!$M$2:$M$601,MATCH($A364,CONTRATOS!$A$2:$A$601,0)),""))</f>
        <v/>
      </c>
      <c r="Q364" s="12">
        <f>IF($A364="","",IF(COUNTIF(CONTRATOS!$A$2:$A$601,$A364)=0,"El contrato no existe en CONTRATOS; ","")&amp;IF($B364="","Falta sujeto; ",IF(COUNTIF(SUJETOS!$A$2:$A$601,$B364)=0,"El sujeto no existe en SUJETOS; ",""))&amp;IF($E364="","Falta porcentaje; ","")&amp;IF(N364&gt;1.0001,"Los porcentajes del contrato suman más de 100 %; ","")&amp;IF(AND($C364="Individual",$E364&lt;&gt;"",$E364&lt;&gt;1),"Individual debe ser 100 %; ","")&amp;IF(AND($C364&lt;&gt;"Individual",$C364&lt;&gt;"",$E364=1),"Consorcio o UT con 100 %: revise; ","")&amp;IF(COUNTIFS($A$2:$A$601,$A364,$B$2:$B$601,$B364)&gt;1,"Participación repetida; ","")&amp;IF(AND(IFERROR(INDEX(SUJETOS!$B$2:$B$601,MATCH($B364,SUJETOS!$A$2:$A$601,0)),"")="Persona natural",$G364=""),"Persona natural sin cargo; ",""))</f>
        <v/>
      </c>
      <c r="R364" s="12">
        <f>IF($A364="","",IFERROR(IF(LEN(INDEX(SUJETOS!$F$2:$F$601,MATCH($B364,SUJETOS!$A$2:$A$601,0)))&gt;0,INDEX(SUJETOS!$F$2:$F$601,MATCH($B364,SUJETOS!$A$2:$A$601,0)),$B364),$B364))</f>
        <v/>
      </c>
    </row>
    <row r="365">
      <c r="E365" s="18" t="n"/>
      <c r="K365" s="13">
        <f>IF(OR($A365="",$E365=""),"",IFERROR(E365*INDEX(CONTRATOS!$P$2:$P$601,MATCH($A365,CONTRATOS!$A$2:$A$601,0)),""))</f>
        <v/>
      </c>
      <c r="L365" s="17">
        <f>IF(OR($A365="",$E365=""),"",IFERROR(E365*INDEX(CONTRATOS!$Z$2:$Z$601,MATCH($A365,CONTRATOS!$A$2:$A$601,0)),""))</f>
        <v/>
      </c>
      <c r="M365" s="13">
        <f>IF(OR($A365="",$E365=""),"",IFERROR(E365*INDEX(CONTRATOS!$AA$2:$AA$601,MATCH($A365,CONTRATOS!$A$2:$A$601,0)),""))</f>
        <v/>
      </c>
      <c r="N365" s="19">
        <f>IF($A365="","",SUMIFS($E$2:$E$601,$A$2:$A$601,$A365))</f>
        <v/>
      </c>
      <c r="O365" s="12">
        <f>IF($A365="","",IFERROR(INDEX(CONTRATOS!$F$2:$F$601,MATCH($A365,CONTRATOS!$A$2:$A$601,0)),""))</f>
        <v/>
      </c>
      <c r="P365" s="12">
        <f>IF($A365="","",IFERROR(INDEX(CONTRATOS!$M$2:$M$601,MATCH($A365,CONTRATOS!$A$2:$A$601,0)),""))</f>
        <v/>
      </c>
      <c r="Q365" s="12">
        <f>IF($A365="","",IF(COUNTIF(CONTRATOS!$A$2:$A$601,$A365)=0,"El contrato no existe en CONTRATOS; ","")&amp;IF($B365="","Falta sujeto; ",IF(COUNTIF(SUJETOS!$A$2:$A$601,$B365)=0,"El sujeto no existe en SUJETOS; ",""))&amp;IF($E365="","Falta porcentaje; ","")&amp;IF(N365&gt;1.0001,"Los porcentajes del contrato suman más de 100 %; ","")&amp;IF(AND($C365="Individual",$E365&lt;&gt;"",$E365&lt;&gt;1),"Individual debe ser 100 %; ","")&amp;IF(AND($C365&lt;&gt;"Individual",$C365&lt;&gt;"",$E365=1),"Consorcio o UT con 100 %: revise; ","")&amp;IF(COUNTIFS($A$2:$A$601,$A365,$B$2:$B$601,$B365)&gt;1,"Participación repetida; ","")&amp;IF(AND(IFERROR(INDEX(SUJETOS!$B$2:$B$601,MATCH($B365,SUJETOS!$A$2:$A$601,0)),"")="Persona natural",$G365=""),"Persona natural sin cargo; ",""))</f>
        <v/>
      </c>
      <c r="R365" s="12">
        <f>IF($A365="","",IFERROR(IF(LEN(INDEX(SUJETOS!$F$2:$F$601,MATCH($B365,SUJETOS!$A$2:$A$601,0)))&gt;0,INDEX(SUJETOS!$F$2:$F$601,MATCH($B365,SUJETOS!$A$2:$A$601,0)),$B365),$B365))</f>
        <v/>
      </c>
    </row>
    <row r="366">
      <c r="E366" s="18" t="n"/>
      <c r="K366" s="13">
        <f>IF(OR($A366="",$E366=""),"",IFERROR(E366*INDEX(CONTRATOS!$P$2:$P$601,MATCH($A366,CONTRATOS!$A$2:$A$601,0)),""))</f>
        <v/>
      </c>
      <c r="L366" s="17">
        <f>IF(OR($A366="",$E366=""),"",IFERROR(E366*INDEX(CONTRATOS!$Z$2:$Z$601,MATCH($A366,CONTRATOS!$A$2:$A$601,0)),""))</f>
        <v/>
      </c>
      <c r="M366" s="13">
        <f>IF(OR($A366="",$E366=""),"",IFERROR(E366*INDEX(CONTRATOS!$AA$2:$AA$601,MATCH($A366,CONTRATOS!$A$2:$A$601,0)),""))</f>
        <v/>
      </c>
      <c r="N366" s="19">
        <f>IF($A366="","",SUMIFS($E$2:$E$601,$A$2:$A$601,$A366))</f>
        <v/>
      </c>
      <c r="O366" s="12">
        <f>IF($A366="","",IFERROR(INDEX(CONTRATOS!$F$2:$F$601,MATCH($A366,CONTRATOS!$A$2:$A$601,0)),""))</f>
        <v/>
      </c>
      <c r="P366" s="12">
        <f>IF($A366="","",IFERROR(INDEX(CONTRATOS!$M$2:$M$601,MATCH($A366,CONTRATOS!$A$2:$A$601,0)),""))</f>
        <v/>
      </c>
      <c r="Q366" s="12">
        <f>IF($A366="","",IF(COUNTIF(CONTRATOS!$A$2:$A$601,$A366)=0,"El contrato no existe en CONTRATOS; ","")&amp;IF($B366="","Falta sujeto; ",IF(COUNTIF(SUJETOS!$A$2:$A$601,$B366)=0,"El sujeto no existe en SUJETOS; ",""))&amp;IF($E366="","Falta porcentaje; ","")&amp;IF(N366&gt;1.0001,"Los porcentajes del contrato suman más de 100 %; ","")&amp;IF(AND($C366="Individual",$E366&lt;&gt;"",$E366&lt;&gt;1),"Individual debe ser 100 %; ","")&amp;IF(AND($C366&lt;&gt;"Individual",$C366&lt;&gt;"",$E366=1),"Consorcio o UT con 100 %: revise; ","")&amp;IF(COUNTIFS($A$2:$A$601,$A366,$B$2:$B$601,$B366)&gt;1,"Participación repetida; ","")&amp;IF(AND(IFERROR(INDEX(SUJETOS!$B$2:$B$601,MATCH($B366,SUJETOS!$A$2:$A$601,0)),"")="Persona natural",$G366=""),"Persona natural sin cargo; ",""))</f>
        <v/>
      </c>
      <c r="R366" s="12">
        <f>IF($A366="","",IFERROR(IF(LEN(INDEX(SUJETOS!$F$2:$F$601,MATCH($B366,SUJETOS!$A$2:$A$601,0)))&gt;0,INDEX(SUJETOS!$F$2:$F$601,MATCH($B366,SUJETOS!$A$2:$A$601,0)),$B366),$B366))</f>
        <v/>
      </c>
    </row>
    <row r="367">
      <c r="E367" s="18" t="n"/>
      <c r="K367" s="13">
        <f>IF(OR($A367="",$E367=""),"",IFERROR(E367*INDEX(CONTRATOS!$P$2:$P$601,MATCH($A367,CONTRATOS!$A$2:$A$601,0)),""))</f>
        <v/>
      </c>
      <c r="L367" s="17">
        <f>IF(OR($A367="",$E367=""),"",IFERROR(E367*INDEX(CONTRATOS!$Z$2:$Z$601,MATCH($A367,CONTRATOS!$A$2:$A$601,0)),""))</f>
        <v/>
      </c>
      <c r="M367" s="13">
        <f>IF(OR($A367="",$E367=""),"",IFERROR(E367*INDEX(CONTRATOS!$AA$2:$AA$601,MATCH($A367,CONTRATOS!$A$2:$A$601,0)),""))</f>
        <v/>
      </c>
      <c r="N367" s="19">
        <f>IF($A367="","",SUMIFS($E$2:$E$601,$A$2:$A$601,$A367))</f>
        <v/>
      </c>
      <c r="O367" s="12">
        <f>IF($A367="","",IFERROR(INDEX(CONTRATOS!$F$2:$F$601,MATCH($A367,CONTRATOS!$A$2:$A$601,0)),""))</f>
        <v/>
      </c>
      <c r="P367" s="12">
        <f>IF($A367="","",IFERROR(INDEX(CONTRATOS!$M$2:$M$601,MATCH($A367,CONTRATOS!$A$2:$A$601,0)),""))</f>
        <v/>
      </c>
      <c r="Q367" s="12">
        <f>IF($A367="","",IF(COUNTIF(CONTRATOS!$A$2:$A$601,$A367)=0,"El contrato no existe en CONTRATOS; ","")&amp;IF($B367="","Falta sujeto; ",IF(COUNTIF(SUJETOS!$A$2:$A$601,$B367)=0,"El sujeto no existe en SUJETOS; ",""))&amp;IF($E367="","Falta porcentaje; ","")&amp;IF(N367&gt;1.0001,"Los porcentajes del contrato suman más de 100 %; ","")&amp;IF(AND($C367="Individual",$E367&lt;&gt;"",$E367&lt;&gt;1),"Individual debe ser 100 %; ","")&amp;IF(AND($C367&lt;&gt;"Individual",$C367&lt;&gt;"",$E367=1),"Consorcio o UT con 100 %: revise; ","")&amp;IF(COUNTIFS($A$2:$A$601,$A367,$B$2:$B$601,$B367)&gt;1,"Participación repetida; ","")&amp;IF(AND(IFERROR(INDEX(SUJETOS!$B$2:$B$601,MATCH($B367,SUJETOS!$A$2:$A$601,0)),"")="Persona natural",$G367=""),"Persona natural sin cargo; ",""))</f>
        <v/>
      </c>
      <c r="R367" s="12">
        <f>IF($A367="","",IFERROR(IF(LEN(INDEX(SUJETOS!$F$2:$F$601,MATCH($B367,SUJETOS!$A$2:$A$601,0)))&gt;0,INDEX(SUJETOS!$F$2:$F$601,MATCH($B367,SUJETOS!$A$2:$A$601,0)),$B367),$B367))</f>
        <v/>
      </c>
    </row>
    <row r="368">
      <c r="E368" s="18" t="n"/>
      <c r="K368" s="13">
        <f>IF(OR($A368="",$E368=""),"",IFERROR(E368*INDEX(CONTRATOS!$P$2:$P$601,MATCH($A368,CONTRATOS!$A$2:$A$601,0)),""))</f>
        <v/>
      </c>
      <c r="L368" s="17">
        <f>IF(OR($A368="",$E368=""),"",IFERROR(E368*INDEX(CONTRATOS!$Z$2:$Z$601,MATCH($A368,CONTRATOS!$A$2:$A$601,0)),""))</f>
        <v/>
      </c>
      <c r="M368" s="13">
        <f>IF(OR($A368="",$E368=""),"",IFERROR(E368*INDEX(CONTRATOS!$AA$2:$AA$601,MATCH($A368,CONTRATOS!$A$2:$A$601,0)),""))</f>
        <v/>
      </c>
      <c r="N368" s="19">
        <f>IF($A368="","",SUMIFS($E$2:$E$601,$A$2:$A$601,$A368))</f>
        <v/>
      </c>
      <c r="O368" s="12">
        <f>IF($A368="","",IFERROR(INDEX(CONTRATOS!$F$2:$F$601,MATCH($A368,CONTRATOS!$A$2:$A$601,0)),""))</f>
        <v/>
      </c>
      <c r="P368" s="12">
        <f>IF($A368="","",IFERROR(INDEX(CONTRATOS!$M$2:$M$601,MATCH($A368,CONTRATOS!$A$2:$A$601,0)),""))</f>
        <v/>
      </c>
      <c r="Q368" s="12">
        <f>IF($A368="","",IF(COUNTIF(CONTRATOS!$A$2:$A$601,$A368)=0,"El contrato no existe en CONTRATOS; ","")&amp;IF($B368="","Falta sujeto; ",IF(COUNTIF(SUJETOS!$A$2:$A$601,$B368)=0,"El sujeto no existe en SUJETOS; ",""))&amp;IF($E368="","Falta porcentaje; ","")&amp;IF(N368&gt;1.0001,"Los porcentajes del contrato suman más de 100 %; ","")&amp;IF(AND($C368="Individual",$E368&lt;&gt;"",$E368&lt;&gt;1),"Individual debe ser 100 %; ","")&amp;IF(AND($C368&lt;&gt;"Individual",$C368&lt;&gt;"",$E368=1),"Consorcio o UT con 100 %: revise; ","")&amp;IF(COUNTIFS($A$2:$A$601,$A368,$B$2:$B$601,$B368)&gt;1,"Participación repetida; ","")&amp;IF(AND(IFERROR(INDEX(SUJETOS!$B$2:$B$601,MATCH($B368,SUJETOS!$A$2:$A$601,0)),"")="Persona natural",$G368=""),"Persona natural sin cargo; ",""))</f>
        <v/>
      </c>
      <c r="R368" s="12">
        <f>IF($A368="","",IFERROR(IF(LEN(INDEX(SUJETOS!$F$2:$F$601,MATCH($B368,SUJETOS!$A$2:$A$601,0)))&gt;0,INDEX(SUJETOS!$F$2:$F$601,MATCH($B368,SUJETOS!$A$2:$A$601,0)),$B368),$B368))</f>
        <v/>
      </c>
    </row>
    <row r="369">
      <c r="E369" s="18" t="n"/>
      <c r="K369" s="13">
        <f>IF(OR($A369="",$E369=""),"",IFERROR(E369*INDEX(CONTRATOS!$P$2:$P$601,MATCH($A369,CONTRATOS!$A$2:$A$601,0)),""))</f>
        <v/>
      </c>
      <c r="L369" s="17">
        <f>IF(OR($A369="",$E369=""),"",IFERROR(E369*INDEX(CONTRATOS!$Z$2:$Z$601,MATCH($A369,CONTRATOS!$A$2:$A$601,0)),""))</f>
        <v/>
      </c>
      <c r="M369" s="13">
        <f>IF(OR($A369="",$E369=""),"",IFERROR(E369*INDEX(CONTRATOS!$AA$2:$AA$601,MATCH($A369,CONTRATOS!$A$2:$A$601,0)),""))</f>
        <v/>
      </c>
      <c r="N369" s="19">
        <f>IF($A369="","",SUMIFS($E$2:$E$601,$A$2:$A$601,$A369))</f>
        <v/>
      </c>
      <c r="O369" s="12">
        <f>IF($A369="","",IFERROR(INDEX(CONTRATOS!$F$2:$F$601,MATCH($A369,CONTRATOS!$A$2:$A$601,0)),""))</f>
        <v/>
      </c>
      <c r="P369" s="12">
        <f>IF($A369="","",IFERROR(INDEX(CONTRATOS!$M$2:$M$601,MATCH($A369,CONTRATOS!$A$2:$A$601,0)),""))</f>
        <v/>
      </c>
      <c r="Q369" s="12">
        <f>IF($A369="","",IF(COUNTIF(CONTRATOS!$A$2:$A$601,$A369)=0,"El contrato no existe en CONTRATOS; ","")&amp;IF($B369="","Falta sujeto; ",IF(COUNTIF(SUJETOS!$A$2:$A$601,$B369)=0,"El sujeto no existe en SUJETOS; ",""))&amp;IF($E369="","Falta porcentaje; ","")&amp;IF(N369&gt;1.0001,"Los porcentajes del contrato suman más de 100 %; ","")&amp;IF(AND($C369="Individual",$E369&lt;&gt;"",$E369&lt;&gt;1),"Individual debe ser 100 %; ","")&amp;IF(AND($C369&lt;&gt;"Individual",$C369&lt;&gt;"",$E369=1),"Consorcio o UT con 100 %: revise; ","")&amp;IF(COUNTIFS($A$2:$A$601,$A369,$B$2:$B$601,$B369)&gt;1,"Participación repetida; ","")&amp;IF(AND(IFERROR(INDEX(SUJETOS!$B$2:$B$601,MATCH($B369,SUJETOS!$A$2:$A$601,0)),"")="Persona natural",$G369=""),"Persona natural sin cargo; ",""))</f>
        <v/>
      </c>
      <c r="R369" s="12">
        <f>IF($A369="","",IFERROR(IF(LEN(INDEX(SUJETOS!$F$2:$F$601,MATCH($B369,SUJETOS!$A$2:$A$601,0)))&gt;0,INDEX(SUJETOS!$F$2:$F$601,MATCH($B369,SUJETOS!$A$2:$A$601,0)),$B369),$B369))</f>
        <v/>
      </c>
    </row>
    <row r="370">
      <c r="E370" s="18" t="n"/>
      <c r="K370" s="13">
        <f>IF(OR($A370="",$E370=""),"",IFERROR(E370*INDEX(CONTRATOS!$P$2:$P$601,MATCH($A370,CONTRATOS!$A$2:$A$601,0)),""))</f>
        <v/>
      </c>
      <c r="L370" s="17">
        <f>IF(OR($A370="",$E370=""),"",IFERROR(E370*INDEX(CONTRATOS!$Z$2:$Z$601,MATCH($A370,CONTRATOS!$A$2:$A$601,0)),""))</f>
        <v/>
      </c>
      <c r="M370" s="13">
        <f>IF(OR($A370="",$E370=""),"",IFERROR(E370*INDEX(CONTRATOS!$AA$2:$AA$601,MATCH($A370,CONTRATOS!$A$2:$A$601,0)),""))</f>
        <v/>
      </c>
      <c r="N370" s="19">
        <f>IF($A370="","",SUMIFS($E$2:$E$601,$A$2:$A$601,$A370))</f>
        <v/>
      </c>
      <c r="O370" s="12">
        <f>IF($A370="","",IFERROR(INDEX(CONTRATOS!$F$2:$F$601,MATCH($A370,CONTRATOS!$A$2:$A$601,0)),""))</f>
        <v/>
      </c>
      <c r="P370" s="12">
        <f>IF($A370="","",IFERROR(INDEX(CONTRATOS!$M$2:$M$601,MATCH($A370,CONTRATOS!$A$2:$A$601,0)),""))</f>
        <v/>
      </c>
      <c r="Q370" s="12">
        <f>IF($A370="","",IF(COUNTIF(CONTRATOS!$A$2:$A$601,$A370)=0,"El contrato no existe en CONTRATOS; ","")&amp;IF($B370="","Falta sujeto; ",IF(COUNTIF(SUJETOS!$A$2:$A$601,$B370)=0,"El sujeto no existe en SUJETOS; ",""))&amp;IF($E370="","Falta porcentaje; ","")&amp;IF(N370&gt;1.0001,"Los porcentajes del contrato suman más de 100 %; ","")&amp;IF(AND($C370="Individual",$E370&lt;&gt;"",$E370&lt;&gt;1),"Individual debe ser 100 %; ","")&amp;IF(AND($C370&lt;&gt;"Individual",$C370&lt;&gt;"",$E370=1),"Consorcio o UT con 100 %: revise; ","")&amp;IF(COUNTIFS($A$2:$A$601,$A370,$B$2:$B$601,$B370)&gt;1,"Participación repetida; ","")&amp;IF(AND(IFERROR(INDEX(SUJETOS!$B$2:$B$601,MATCH($B370,SUJETOS!$A$2:$A$601,0)),"")="Persona natural",$G370=""),"Persona natural sin cargo; ",""))</f>
        <v/>
      </c>
      <c r="R370" s="12">
        <f>IF($A370="","",IFERROR(IF(LEN(INDEX(SUJETOS!$F$2:$F$601,MATCH($B370,SUJETOS!$A$2:$A$601,0)))&gt;0,INDEX(SUJETOS!$F$2:$F$601,MATCH($B370,SUJETOS!$A$2:$A$601,0)),$B370),$B370))</f>
        <v/>
      </c>
    </row>
    <row r="371">
      <c r="E371" s="18" t="n"/>
      <c r="K371" s="13">
        <f>IF(OR($A371="",$E371=""),"",IFERROR(E371*INDEX(CONTRATOS!$P$2:$P$601,MATCH($A371,CONTRATOS!$A$2:$A$601,0)),""))</f>
        <v/>
      </c>
      <c r="L371" s="17">
        <f>IF(OR($A371="",$E371=""),"",IFERROR(E371*INDEX(CONTRATOS!$Z$2:$Z$601,MATCH($A371,CONTRATOS!$A$2:$A$601,0)),""))</f>
        <v/>
      </c>
      <c r="M371" s="13">
        <f>IF(OR($A371="",$E371=""),"",IFERROR(E371*INDEX(CONTRATOS!$AA$2:$AA$601,MATCH($A371,CONTRATOS!$A$2:$A$601,0)),""))</f>
        <v/>
      </c>
      <c r="N371" s="19">
        <f>IF($A371="","",SUMIFS($E$2:$E$601,$A$2:$A$601,$A371))</f>
        <v/>
      </c>
      <c r="O371" s="12">
        <f>IF($A371="","",IFERROR(INDEX(CONTRATOS!$F$2:$F$601,MATCH($A371,CONTRATOS!$A$2:$A$601,0)),""))</f>
        <v/>
      </c>
      <c r="P371" s="12">
        <f>IF($A371="","",IFERROR(INDEX(CONTRATOS!$M$2:$M$601,MATCH($A371,CONTRATOS!$A$2:$A$601,0)),""))</f>
        <v/>
      </c>
      <c r="Q371" s="12">
        <f>IF($A371="","",IF(COUNTIF(CONTRATOS!$A$2:$A$601,$A371)=0,"El contrato no existe en CONTRATOS; ","")&amp;IF($B371="","Falta sujeto; ",IF(COUNTIF(SUJETOS!$A$2:$A$601,$B371)=0,"El sujeto no existe en SUJETOS; ",""))&amp;IF($E371="","Falta porcentaje; ","")&amp;IF(N371&gt;1.0001,"Los porcentajes del contrato suman más de 100 %; ","")&amp;IF(AND($C371="Individual",$E371&lt;&gt;"",$E371&lt;&gt;1),"Individual debe ser 100 %; ","")&amp;IF(AND($C371&lt;&gt;"Individual",$C371&lt;&gt;"",$E371=1),"Consorcio o UT con 100 %: revise; ","")&amp;IF(COUNTIFS($A$2:$A$601,$A371,$B$2:$B$601,$B371)&gt;1,"Participación repetida; ","")&amp;IF(AND(IFERROR(INDEX(SUJETOS!$B$2:$B$601,MATCH($B371,SUJETOS!$A$2:$A$601,0)),"")="Persona natural",$G371=""),"Persona natural sin cargo; ",""))</f>
        <v/>
      </c>
      <c r="R371" s="12">
        <f>IF($A371="","",IFERROR(IF(LEN(INDEX(SUJETOS!$F$2:$F$601,MATCH($B371,SUJETOS!$A$2:$A$601,0)))&gt;0,INDEX(SUJETOS!$F$2:$F$601,MATCH($B371,SUJETOS!$A$2:$A$601,0)),$B371),$B371))</f>
        <v/>
      </c>
    </row>
    <row r="372">
      <c r="E372" s="18" t="n"/>
      <c r="K372" s="13">
        <f>IF(OR($A372="",$E372=""),"",IFERROR(E372*INDEX(CONTRATOS!$P$2:$P$601,MATCH($A372,CONTRATOS!$A$2:$A$601,0)),""))</f>
        <v/>
      </c>
      <c r="L372" s="17">
        <f>IF(OR($A372="",$E372=""),"",IFERROR(E372*INDEX(CONTRATOS!$Z$2:$Z$601,MATCH($A372,CONTRATOS!$A$2:$A$601,0)),""))</f>
        <v/>
      </c>
      <c r="M372" s="13">
        <f>IF(OR($A372="",$E372=""),"",IFERROR(E372*INDEX(CONTRATOS!$AA$2:$AA$601,MATCH($A372,CONTRATOS!$A$2:$A$601,0)),""))</f>
        <v/>
      </c>
      <c r="N372" s="19">
        <f>IF($A372="","",SUMIFS($E$2:$E$601,$A$2:$A$601,$A372))</f>
        <v/>
      </c>
      <c r="O372" s="12">
        <f>IF($A372="","",IFERROR(INDEX(CONTRATOS!$F$2:$F$601,MATCH($A372,CONTRATOS!$A$2:$A$601,0)),""))</f>
        <v/>
      </c>
      <c r="P372" s="12">
        <f>IF($A372="","",IFERROR(INDEX(CONTRATOS!$M$2:$M$601,MATCH($A372,CONTRATOS!$A$2:$A$601,0)),""))</f>
        <v/>
      </c>
      <c r="Q372" s="12">
        <f>IF($A372="","",IF(COUNTIF(CONTRATOS!$A$2:$A$601,$A372)=0,"El contrato no existe en CONTRATOS; ","")&amp;IF($B372="","Falta sujeto; ",IF(COUNTIF(SUJETOS!$A$2:$A$601,$B372)=0,"El sujeto no existe en SUJETOS; ",""))&amp;IF($E372="","Falta porcentaje; ","")&amp;IF(N372&gt;1.0001,"Los porcentajes del contrato suman más de 100 %; ","")&amp;IF(AND($C372="Individual",$E372&lt;&gt;"",$E372&lt;&gt;1),"Individual debe ser 100 %; ","")&amp;IF(AND($C372&lt;&gt;"Individual",$C372&lt;&gt;"",$E372=1),"Consorcio o UT con 100 %: revise; ","")&amp;IF(COUNTIFS($A$2:$A$601,$A372,$B$2:$B$601,$B372)&gt;1,"Participación repetida; ","")&amp;IF(AND(IFERROR(INDEX(SUJETOS!$B$2:$B$601,MATCH($B372,SUJETOS!$A$2:$A$601,0)),"")="Persona natural",$G372=""),"Persona natural sin cargo; ",""))</f>
        <v/>
      </c>
      <c r="R372" s="12">
        <f>IF($A372="","",IFERROR(IF(LEN(INDEX(SUJETOS!$F$2:$F$601,MATCH($B372,SUJETOS!$A$2:$A$601,0)))&gt;0,INDEX(SUJETOS!$F$2:$F$601,MATCH($B372,SUJETOS!$A$2:$A$601,0)),$B372),$B372))</f>
        <v/>
      </c>
    </row>
    <row r="373">
      <c r="E373" s="18" t="n"/>
      <c r="K373" s="13">
        <f>IF(OR($A373="",$E373=""),"",IFERROR(E373*INDEX(CONTRATOS!$P$2:$P$601,MATCH($A373,CONTRATOS!$A$2:$A$601,0)),""))</f>
        <v/>
      </c>
      <c r="L373" s="17">
        <f>IF(OR($A373="",$E373=""),"",IFERROR(E373*INDEX(CONTRATOS!$Z$2:$Z$601,MATCH($A373,CONTRATOS!$A$2:$A$601,0)),""))</f>
        <v/>
      </c>
      <c r="M373" s="13">
        <f>IF(OR($A373="",$E373=""),"",IFERROR(E373*INDEX(CONTRATOS!$AA$2:$AA$601,MATCH($A373,CONTRATOS!$A$2:$A$601,0)),""))</f>
        <v/>
      </c>
      <c r="N373" s="19">
        <f>IF($A373="","",SUMIFS($E$2:$E$601,$A$2:$A$601,$A373))</f>
        <v/>
      </c>
      <c r="O373" s="12">
        <f>IF($A373="","",IFERROR(INDEX(CONTRATOS!$F$2:$F$601,MATCH($A373,CONTRATOS!$A$2:$A$601,0)),""))</f>
        <v/>
      </c>
      <c r="P373" s="12">
        <f>IF($A373="","",IFERROR(INDEX(CONTRATOS!$M$2:$M$601,MATCH($A373,CONTRATOS!$A$2:$A$601,0)),""))</f>
        <v/>
      </c>
      <c r="Q373" s="12">
        <f>IF($A373="","",IF(COUNTIF(CONTRATOS!$A$2:$A$601,$A373)=0,"El contrato no existe en CONTRATOS; ","")&amp;IF($B373="","Falta sujeto; ",IF(COUNTIF(SUJETOS!$A$2:$A$601,$B373)=0,"El sujeto no existe en SUJETOS; ",""))&amp;IF($E373="","Falta porcentaje; ","")&amp;IF(N373&gt;1.0001,"Los porcentajes del contrato suman más de 100 %; ","")&amp;IF(AND($C373="Individual",$E373&lt;&gt;"",$E373&lt;&gt;1),"Individual debe ser 100 %; ","")&amp;IF(AND($C373&lt;&gt;"Individual",$C373&lt;&gt;"",$E373=1),"Consorcio o UT con 100 %: revise; ","")&amp;IF(COUNTIFS($A$2:$A$601,$A373,$B$2:$B$601,$B373)&gt;1,"Participación repetida; ","")&amp;IF(AND(IFERROR(INDEX(SUJETOS!$B$2:$B$601,MATCH($B373,SUJETOS!$A$2:$A$601,0)),"")="Persona natural",$G373=""),"Persona natural sin cargo; ",""))</f>
        <v/>
      </c>
      <c r="R373" s="12">
        <f>IF($A373="","",IFERROR(IF(LEN(INDEX(SUJETOS!$F$2:$F$601,MATCH($B373,SUJETOS!$A$2:$A$601,0)))&gt;0,INDEX(SUJETOS!$F$2:$F$601,MATCH($B373,SUJETOS!$A$2:$A$601,0)),$B373),$B373))</f>
        <v/>
      </c>
    </row>
    <row r="374">
      <c r="E374" s="18" t="n"/>
      <c r="K374" s="13">
        <f>IF(OR($A374="",$E374=""),"",IFERROR(E374*INDEX(CONTRATOS!$P$2:$P$601,MATCH($A374,CONTRATOS!$A$2:$A$601,0)),""))</f>
        <v/>
      </c>
      <c r="L374" s="17">
        <f>IF(OR($A374="",$E374=""),"",IFERROR(E374*INDEX(CONTRATOS!$Z$2:$Z$601,MATCH($A374,CONTRATOS!$A$2:$A$601,0)),""))</f>
        <v/>
      </c>
      <c r="M374" s="13">
        <f>IF(OR($A374="",$E374=""),"",IFERROR(E374*INDEX(CONTRATOS!$AA$2:$AA$601,MATCH($A374,CONTRATOS!$A$2:$A$601,0)),""))</f>
        <v/>
      </c>
      <c r="N374" s="19">
        <f>IF($A374="","",SUMIFS($E$2:$E$601,$A$2:$A$601,$A374))</f>
        <v/>
      </c>
      <c r="O374" s="12">
        <f>IF($A374="","",IFERROR(INDEX(CONTRATOS!$F$2:$F$601,MATCH($A374,CONTRATOS!$A$2:$A$601,0)),""))</f>
        <v/>
      </c>
      <c r="P374" s="12">
        <f>IF($A374="","",IFERROR(INDEX(CONTRATOS!$M$2:$M$601,MATCH($A374,CONTRATOS!$A$2:$A$601,0)),""))</f>
        <v/>
      </c>
      <c r="Q374" s="12">
        <f>IF($A374="","",IF(COUNTIF(CONTRATOS!$A$2:$A$601,$A374)=0,"El contrato no existe en CONTRATOS; ","")&amp;IF($B374="","Falta sujeto; ",IF(COUNTIF(SUJETOS!$A$2:$A$601,$B374)=0,"El sujeto no existe en SUJETOS; ",""))&amp;IF($E374="","Falta porcentaje; ","")&amp;IF(N374&gt;1.0001,"Los porcentajes del contrato suman más de 100 %; ","")&amp;IF(AND($C374="Individual",$E374&lt;&gt;"",$E374&lt;&gt;1),"Individual debe ser 100 %; ","")&amp;IF(AND($C374&lt;&gt;"Individual",$C374&lt;&gt;"",$E374=1),"Consorcio o UT con 100 %: revise; ","")&amp;IF(COUNTIFS($A$2:$A$601,$A374,$B$2:$B$601,$B374)&gt;1,"Participación repetida; ","")&amp;IF(AND(IFERROR(INDEX(SUJETOS!$B$2:$B$601,MATCH($B374,SUJETOS!$A$2:$A$601,0)),"")="Persona natural",$G374=""),"Persona natural sin cargo; ",""))</f>
        <v/>
      </c>
      <c r="R374" s="12">
        <f>IF($A374="","",IFERROR(IF(LEN(INDEX(SUJETOS!$F$2:$F$601,MATCH($B374,SUJETOS!$A$2:$A$601,0)))&gt;0,INDEX(SUJETOS!$F$2:$F$601,MATCH($B374,SUJETOS!$A$2:$A$601,0)),$B374),$B374))</f>
        <v/>
      </c>
    </row>
    <row r="375">
      <c r="E375" s="18" t="n"/>
      <c r="K375" s="13">
        <f>IF(OR($A375="",$E375=""),"",IFERROR(E375*INDEX(CONTRATOS!$P$2:$P$601,MATCH($A375,CONTRATOS!$A$2:$A$601,0)),""))</f>
        <v/>
      </c>
      <c r="L375" s="17">
        <f>IF(OR($A375="",$E375=""),"",IFERROR(E375*INDEX(CONTRATOS!$Z$2:$Z$601,MATCH($A375,CONTRATOS!$A$2:$A$601,0)),""))</f>
        <v/>
      </c>
      <c r="M375" s="13">
        <f>IF(OR($A375="",$E375=""),"",IFERROR(E375*INDEX(CONTRATOS!$AA$2:$AA$601,MATCH($A375,CONTRATOS!$A$2:$A$601,0)),""))</f>
        <v/>
      </c>
      <c r="N375" s="19">
        <f>IF($A375="","",SUMIFS($E$2:$E$601,$A$2:$A$601,$A375))</f>
        <v/>
      </c>
      <c r="O375" s="12">
        <f>IF($A375="","",IFERROR(INDEX(CONTRATOS!$F$2:$F$601,MATCH($A375,CONTRATOS!$A$2:$A$601,0)),""))</f>
        <v/>
      </c>
      <c r="P375" s="12">
        <f>IF($A375="","",IFERROR(INDEX(CONTRATOS!$M$2:$M$601,MATCH($A375,CONTRATOS!$A$2:$A$601,0)),""))</f>
        <v/>
      </c>
      <c r="Q375" s="12">
        <f>IF($A375="","",IF(COUNTIF(CONTRATOS!$A$2:$A$601,$A375)=0,"El contrato no existe en CONTRATOS; ","")&amp;IF($B375="","Falta sujeto; ",IF(COUNTIF(SUJETOS!$A$2:$A$601,$B375)=0,"El sujeto no existe en SUJETOS; ",""))&amp;IF($E375="","Falta porcentaje; ","")&amp;IF(N375&gt;1.0001,"Los porcentajes del contrato suman más de 100 %; ","")&amp;IF(AND($C375="Individual",$E375&lt;&gt;"",$E375&lt;&gt;1),"Individual debe ser 100 %; ","")&amp;IF(AND($C375&lt;&gt;"Individual",$C375&lt;&gt;"",$E375=1),"Consorcio o UT con 100 %: revise; ","")&amp;IF(COUNTIFS($A$2:$A$601,$A375,$B$2:$B$601,$B375)&gt;1,"Participación repetida; ","")&amp;IF(AND(IFERROR(INDEX(SUJETOS!$B$2:$B$601,MATCH($B375,SUJETOS!$A$2:$A$601,0)),"")="Persona natural",$G375=""),"Persona natural sin cargo; ",""))</f>
        <v/>
      </c>
      <c r="R375" s="12">
        <f>IF($A375="","",IFERROR(IF(LEN(INDEX(SUJETOS!$F$2:$F$601,MATCH($B375,SUJETOS!$A$2:$A$601,0)))&gt;0,INDEX(SUJETOS!$F$2:$F$601,MATCH($B375,SUJETOS!$A$2:$A$601,0)),$B375),$B375))</f>
        <v/>
      </c>
    </row>
    <row r="376">
      <c r="E376" s="18" t="n"/>
      <c r="K376" s="13">
        <f>IF(OR($A376="",$E376=""),"",IFERROR(E376*INDEX(CONTRATOS!$P$2:$P$601,MATCH($A376,CONTRATOS!$A$2:$A$601,0)),""))</f>
        <v/>
      </c>
      <c r="L376" s="17">
        <f>IF(OR($A376="",$E376=""),"",IFERROR(E376*INDEX(CONTRATOS!$Z$2:$Z$601,MATCH($A376,CONTRATOS!$A$2:$A$601,0)),""))</f>
        <v/>
      </c>
      <c r="M376" s="13">
        <f>IF(OR($A376="",$E376=""),"",IFERROR(E376*INDEX(CONTRATOS!$AA$2:$AA$601,MATCH($A376,CONTRATOS!$A$2:$A$601,0)),""))</f>
        <v/>
      </c>
      <c r="N376" s="19">
        <f>IF($A376="","",SUMIFS($E$2:$E$601,$A$2:$A$601,$A376))</f>
        <v/>
      </c>
      <c r="O376" s="12">
        <f>IF($A376="","",IFERROR(INDEX(CONTRATOS!$F$2:$F$601,MATCH($A376,CONTRATOS!$A$2:$A$601,0)),""))</f>
        <v/>
      </c>
      <c r="P376" s="12">
        <f>IF($A376="","",IFERROR(INDEX(CONTRATOS!$M$2:$M$601,MATCH($A376,CONTRATOS!$A$2:$A$601,0)),""))</f>
        <v/>
      </c>
      <c r="Q376" s="12">
        <f>IF($A376="","",IF(COUNTIF(CONTRATOS!$A$2:$A$601,$A376)=0,"El contrato no existe en CONTRATOS; ","")&amp;IF($B376="","Falta sujeto; ",IF(COUNTIF(SUJETOS!$A$2:$A$601,$B376)=0,"El sujeto no existe en SUJETOS; ",""))&amp;IF($E376="","Falta porcentaje; ","")&amp;IF(N376&gt;1.0001,"Los porcentajes del contrato suman más de 100 %; ","")&amp;IF(AND($C376="Individual",$E376&lt;&gt;"",$E376&lt;&gt;1),"Individual debe ser 100 %; ","")&amp;IF(AND($C376&lt;&gt;"Individual",$C376&lt;&gt;"",$E376=1),"Consorcio o UT con 100 %: revise; ","")&amp;IF(COUNTIFS($A$2:$A$601,$A376,$B$2:$B$601,$B376)&gt;1,"Participación repetida; ","")&amp;IF(AND(IFERROR(INDEX(SUJETOS!$B$2:$B$601,MATCH($B376,SUJETOS!$A$2:$A$601,0)),"")="Persona natural",$G376=""),"Persona natural sin cargo; ",""))</f>
        <v/>
      </c>
      <c r="R376" s="12">
        <f>IF($A376="","",IFERROR(IF(LEN(INDEX(SUJETOS!$F$2:$F$601,MATCH($B376,SUJETOS!$A$2:$A$601,0)))&gt;0,INDEX(SUJETOS!$F$2:$F$601,MATCH($B376,SUJETOS!$A$2:$A$601,0)),$B376),$B376))</f>
        <v/>
      </c>
    </row>
    <row r="377">
      <c r="E377" s="18" t="n"/>
      <c r="K377" s="13">
        <f>IF(OR($A377="",$E377=""),"",IFERROR(E377*INDEX(CONTRATOS!$P$2:$P$601,MATCH($A377,CONTRATOS!$A$2:$A$601,0)),""))</f>
        <v/>
      </c>
      <c r="L377" s="17">
        <f>IF(OR($A377="",$E377=""),"",IFERROR(E377*INDEX(CONTRATOS!$Z$2:$Z$601,MATCH($A377,CONTRATOS!$A$2:$A$601,0)),""))</f>
        <v/>
      </c>
      <c r="M377" s="13">
        <f>IF(OR($A377="",$E377=""),"",IFERROR(E377*INDEX(CONTRATOS!$AA$2:$AA$601,MATCH($A377,CONTRATOS!$A$2:$A$601,0)),""))</f>
        <v/>
      </c>
      <c r="N377" s="19">
        <f>IF($A377="","",SUMIFS($E$2:$E$601,$A$2:$A$601,$A377))</f>
        <v/>
      </c>
      <c r="O377" s="12">
        <f>IF($A377="","",IFERROR(INDEX(CONTRATOS!$F$2:$F$601,MATCH($A377,CONTRATOS!$A$2:$A$601,0)),""))</f>
        <v/>
      </c>
      <c r="P377" s="12">
        <f>IF($A377="","",IFERROR(INDEX(CONTRATOS!$M$2:$M$601,MATCH($A377,CONTRATOS!$A$2:$A$601,0)),""))</f>
        <v/>
      </c>
      <c r="Q377" s="12">
        <f>IF($A377="","",IF(COUNTIF(CONTRATOS!$A$2:$A$601,$A377)=0,"El contrato no existe en CONTRATOS; ","")&amp;IF($B377="","Falta sujeto; ",IF(COUNTIF(SUJETOS!$A$2:$A$601,$B377)=0,"El sujeto no existe en SUJETOS; ",""))&amp;IF($E377="","Falta porcentaje; ","")&amp;IF(N377&gt;1.0001,"Los porcentajes del contrato suman más de 100 %; ","")&amp;IF(AND($C377="Individual",$E377&lt;&gt;"",$E377&lt;&gt;1),"Individual debe ser 100 %; ","")&amp;IF(AND($C377&lt;&gt;"Individual",$C377&lt;&gt;"",$E377=1),"Consorcio o UT con 100 %: revise; ","")&amp;IF(COUNTIFS($A$2:$A$601,$A377,$B$2:$B$601,$B377)&gt;1,"Participación repetida; ","")&amp;IF(AND(IFERROR(INDEX(SUJETOS!$B$2:$B$601,MATCH($B377,SUJETOS!$A$2:$A$601,0)),"")="Persona natural",$G377=""),"Persona natural sin cargo; ",""))</f>
        <v/>
      </c>
      <c r="R377" s="12">
        <f>IF($A377="","",IFERROR(IF(LEN(INDEX(SUJETOS!$F$2:$F$601,MATCH($B377,SUJETOS!$A$2:$A$601,0)))&gt;0,INDEX(SUJETOS!$F$2:$F$601,MATCH($B377,SUJETOS!$A$2:$A$601,0)),$B377),$B377))</f>
        <v/>
      </c>
    </row>
    <row r="378">
      <c r="E378" s="18" t="n"/>
      <c r="K378" s="13">
        <f>IF(OR($A378="",$E378=""),"",IFERROR(E378*INDEX(CONTRATOS!$P$2:$P$601,MATCH($A378,CONTRATOS!$A$2:$A$601,0)),""))</f>
        <v/>
      </c>
      <c r="L378" s="17">
        <f>IF(OR($A378="",$E378=""),"",IFERROR(E378*INDEX(CONTRATOS!$Z$2:$Z$601,MATCH($A378,CONTRATOS!$A$2:$A$601,0)),""))</f>
        <v/>
      </c>
      <c r="M378" s="13">
        <f>IF(OR($A378="",$E378=""),"",IFERROR(E378*INDEX(CONTRATOS!$AA$2:$AA$601,MATCH($A378,CONTRATOS!$A$2:$A$601,0)),""))</f>
        <v/>
      </c>
      <c r="N378" s="19">
        <f>IF($A378="","",SUMIFS($E$2:$E$601,$A$2:$A$601,$A378))</f>
        <v/>
      </c>
      <c r="O378" s="12">
        <f>IF($A378="","",IFERROR(INDEX(CONTRATOS!$F$2:$F$601,MATCH($A378,CONTRATOS!$A$2:$A$601,0)),""))</f>
        <v/>
      </c>
      <c r="P378" s="12">
        <f>IF($A378="","",IFERROR(INDEX(CONTRATOS!$M$2:$M$601,MATCH($A378,CONTRATOS!$A$2:$A$601,0)),""))</f>
        <v/>
      </c>
      <c r="Q378" s="12">
        <f>IF($A378="","",IF(COUNTIF(CONTRATOS!$A$2:$A$601,$A378)=0,"El contrato no existe en CONTRATOS; ","")&amp;IF($B378="","Falta sujeto; ",IF(COUNTIF(SUJETOS!$A$2:$A$601,$B378)=0,"El sujeto no existe en SUJETOS; ",""))&amp;IF($E378="","Falta porcentaje; ","")&amp;IF(N378&gt;1.0001,"Los porcentajes del contrato suman más de 100 %; ","")&amp;IF(AND($C378="Individual",$E378&lt;&gt;"",$E378&lt;&gt;1),"Individual debe ser 100 %; ","")&amp;IF(AND($C378&lt;&gt;"Individual",$C378&lt;&gt;"",$E378=1),"Consorcio o UT con 100 %: revise; ","")&amp;IF(COUNTIFS($A$2:$A$601,$A378,$B$2:$B$601,$B378)&gt;1,"Participación repetida; ","")&amp;IF(AND(IFERROR(INDEX(SUJETOS!$B$2:$B$601,MATCH($B378,SUJETOS!$A$2:$A$601,0)),"")="Persona natural",$G378=""),"Persona natural sin cargo; ",""))</f>
        <v/>
      </c>
      <c r="R378" s="12">
        <f>IF($A378="","",IFERROR(IF(LEN(INDEX(SUJETOS!$F$2:$F$601,MATCH($B378,SUJETOS!$A$2:$A$601,0)))&gt;0,INDEX(SUJETOS!$F$2:$F$601,MATCH($B378,SUJETOS!$A$2:$A$601,0)),$B378),$B378))</f>
        <v/>
      </c>
    </row>
    <row r="379">
      <c r="E379" s="18" t="n"/>
      <c r="K379" s="13">
        <f>IF(OR($A379="",$E379=""),"",IFERROR(E379*INDEX(CONTRATOS!$P$2:$P$601,MATCH($A379,CONTRATOS!$A$2:$A$601,0)),""))</f>
        <v/>
      </c>
      <c r="L379" s="17">
        <f>IF(OR($A379="",$E379=""),"",IFERROR(E379*INDEX(CONTRATOS!$Z$2:$Z$601,MATCH($A379,CONTRATOS!$A$2:$A$601,0)),""))</f>
        <v/>
      </c>
      <c r="M379" s="13">
        <f>IF(OR($A379="",$E379=""),"",IFERROR(E379*INDEX(CONTRATOS!$AA$2:$AA$601,MATCH($A379,CONTRATOS!$A$2:$A$601,0)),""))</f>
        <v/>
      </c>
      <c r="N379" s="19">
        <f>IF($A379="","",SUMIFS($E$2:$E$601,$A$2:$A$601,$A379))</f>
        <v/>
      </c>
      <c r="O379" s="12">
        <f>IF($A379="","",IFERROR(INDEX(CONTRATOS!$F$2:$F$601,MATCH($A379,CONTRATOS!$A$2:$A$601,0)),""))</f>
        <v/>
      </c>
      <c r="P379" s="12">
        <f>IF($A379="","",IFERROR(INDEX(CONTRATOS!$M$2:$M$601,MATCH($A379,CONTRATOS!$A$2:$A$601,0)),""))</f>
        <v/>
      </c>
      <c r="Q379" s="12">
        <f>IF($A379="","",IF(COUNTIF(CONTRATOS!$A$2:$A$601,$A379)=0,"El contrato no existe en CONTRATOS; ","")&amp;IF($B379="","Falta sujeto; ",IF(COUNTIF(SUJETOS!$A$2:$A$601,$B379)=0,"El sujeto no existe en SUJETOS; ",""))&amp;IF($E379="","Falta porcentaje; ","")&amp;IF(N379&gt;1.0001,"Los porcentajes del contrato suman más de 100 %; ","")&amp;IF(AND($C379="Individual",$E379&lt;&gt;"",$E379&lt;&gt;1),"Individual debe ser 100 %; ","")&amp;IF(AND($C379&lt;&gt;"Individual",$C379&lt;&gt;"",$E379=1),"Consorcio o UT con 100 %: revise; ","")&amp;IF(COUNTIFS($A$2:$A$601,$A379,$B$2:$B$601,$B379)&gt;1,"Participación repetida; ","")&amp;IF(AND(IFERROR(INDEX(SUJETOS!$B$2:$B$601,MATCH($B379,SUJETOS!$A$2:$A$601,0)),"")="Persona natural",$G379=""),"Persona natural sin cargo; ",""))</f>
        <v/>
      </c>
      <c r="R379" s="12">
        <f>IF($A379="","",IFERROR(IF(LEN(INDEX(SUJETOS!$F$2:$F$601,MATCH($B379,SUJETOS!$A$2:$A$601,0)))&gt;0,INDEX(SUJETOS!$F$2:$F$601,MATCH($B379,SUJETOS!$A$2:$A$601,0)),$B379),$B379))</f>
        <v/>
      </c>
    </row>
    <row r="380">
      <c r="E380" s="18" t="n"/>
      <c r="K380" s="13">
        <f>IF(OR($A380="",$E380=""),"",IFERROR(E380*INDEX(CONTRATOS!$P$2:$P$601,MATCH($A380,CONTRATOS!$A$2:$A$601,0)),""))</f>
        <v/>
      </c>
      <c r="L380" s="17">
        <f>IF(OR($A380="",$E380=""),"",IFERROR(E380*INDEX(CONTRATOS!$Z$2:$Z$601,MATCH($A380,CONTRATOS!$A$2:$A$601,0)),""))</f>
        <v/>
      </c>
      <c r="M380" s="13">
        <f>IF(OR($A380="",$E380=""),"",IFERROR(E380*INDEX(CONTRATOS!$AA$2:$AA$601,MATCH($A380,CONTRATOS!$A$2:$A$601,0)),""))</f>
        <v/>
      </c>
      <c r="N380" s="19">
        <f>IF($A380="","",SUMIFS($E$2:$E$601,$A$2:$A$601,$A380))</f>
        <v/>
      </c>
      <c r="O380" s="12">
        <f>IF($A380="","",IFERROR(INDEX(CONTRATOS!$F$2:$F$601,MATCH($A380,CONTRATOS!$A$2:$A$601,0)),""))</f>
        <v/>
      </c>
      <c r="P380" s="12">
        <f>IF($A380="","",IFERROR(INDEX(CONTRATOS!$M$2:$M$601,MATCH($A380,CONTRATOS!$A$2:$A$601,0)),""))</f>
        <v/>
      </c>
      <c r="Q380" s="12">
        <f>IF($A380="","",IF(COUNTIF(CONTRATOS!$A$2:$A$601,$A380)=0,"El contrato no existe en CONTRATOS; ","")&amp;IF($B380="","Falta sujeto; ",IF(COUNTIF(SUJETOS!$A$2:$A$601,$B380)=0,"El sujeto no existe en SUJETOS; ",""))&amp;IF($E380="","Falta porcentaje; ","")&amp;IF(N380&gt;1.0001,"Los porcentajes del contrato suman más de 100 %; ","")&amp;IF(AND($C380="Individual",$E380&lt;&gt;"",$E380&lt;&gt;1),"Individual debe ser 100 %; ","")&amp;IF(AND($C380&lt;&gt;"Individual",$C380&lt;&gt;"",$E380=1),"Consorcio o UT con 100 %: revise; ","")&amp;IF(COUNTIFS($A$2:$A$601,$A380,$B$2:$B$601,$B380)&gt;1,"Participación repetida; ","")&amp;IF(AND(IFERROR(INDEX(SUJETOS!$B$2:$B$601,MATCH($B380,SUJETOS!$A$2:$A$601,0)),"")="Persona natural",$G380=""),"Persona natural sin cargo; ",""))</f>
        <v/>
      </c>
      <c r="R380" s="12">
        <f>IF($A380="","",IFERROR(IF(LEN(INDEX(SUJETOS!$F$2:$F$601,MATCH($B380,SUJETOS!$A$2:$A$601,0)))&gt;0,INDEX(SUJETOS!$F$2:$F$601,MATCH($B380,SUJETOS!$A$2:$A$601,0)),$B380),$B380))</f>
        <v/>
      </c>
    </row>
    <row r="381">
      <c r="E381" s="18" t="n"/>
      <c r="K381" s="13">
        <f>IF(OR($A381="",$E381=""),"",IFERROR(E381*INDEX(CONTRATOS!$P$2:$P$601,MATCH($A381,CONTRATOS!$A$2:$A$601,0)),""))</f>
        <v/>
      </c>
      <c r="L381" s="17">
        <f>IF(OR($A381="",$E381=""),"",IFERROR(E381*INDEX(CONTRATOS!$Z$2:$Z$601,MATCH($A381,CONTRATOS!$A$2:$A$601,0)),""))</f>
        <v/>
      </c>
      <c r="M381" s="13">
        <f>IF(OR($A381="",$E381=""),"",IFERROR(E381*INDEX(CONTRATOS!$AA$2:$AA$601,MATCH($A381,CONTRATOS!$A$2:$A$601,0)),""))</f>
        <v/>
      </c>
      <c r="N381" s="19">
        <f>IF($A381="","",SUMIFS($E$2:$E$601,$A$2:$A$601,$A381))</f>
        <v/>
      </c>
      <c r="O381" s="12">
        <f>IF($A381="","",IFERROR(INDEX(CONTRATOS!$F$2:$F$601,MATCH($A381,CONTRATOS!$A$2:$A$601,0)),""))</f>
        <v/>
      </c>
      <c r="P381" s="12">
        <f>IF($A381="","",IFERROR(INDEX(CONTRATOS!$M$2:$M$601,MATCH($A381,CONTRATOS!$A$2:$A$601,0)),""))</f>
        <v/>
      </c>
      <c r="Q381" s="12">
        <f>IF($A381="","",IF(COUNTIF(CONTRATOS!$A$2:$A$601,$A381)=0,"El contrato no existe en CONTRATOS; ","")&amp;IF($B381="","Falta sujeto; ",IF(COUNTIF(SUJETOS!$A$2:$A$601,$B381)=0,"El sujeto no existe en SUJETOS; ",""))&amp;IF($E381="","Falta porcentaje; ","")&amp;IF(N381&gt;1.0001,"Los porcentajes del contrato suman más de 100 %; ","")&amp;IF(AND($C381="Individual",$E381&lt;&gt;"",$E381&lt;&gt;1),"Individual debe ser 100 %; ","")&amp;IF(AND($C381&lt;&gt;"Individual",$C381&lt;&gt;"",$E381=1),"Consorcio o UT con 100 %: revise; ","")&amp;IF(COUNTIFS($A$2:$A$601,$A381,$B$2:$B$601,$B381)&gt;1,"Participación repetida; ","")&amp;IF(AND(IFERROR(INDEX(SUJETOS!$B$2:$B$601,MATCH($B381,SUJETOS!$A$2:$A$601,0)),"")="Persona natural",$G381=""),"Persona natural sin cargo; ",""))</f>
        <v/>
      </c>
      <c r="R381" s="12">
        <f>IF($A381="","",IFERROR(IF(LEN(INDEX(SUJETOS!$F$2:$F$601,MATCH($B381,SUJETOS!$A$2:$A$601,0)))&gt;0,INDEX(SUJETOS!$F$2:$F$601,MATCH($B381,SUJETOS!$A$2:$A$601,0)),$B381),$B381))</f>
        <v/>
      </c>
    </row>
    <row r="382">
      <c r="E382" s="18" t="n"/>
      <c r="K382" s="13">
        <f>IF(OR($A382="",$E382=""),"",IFERROR(E382*INDEX(CONTRATOS!$P$2:$P$601,MATCH($A382,CONTRATOS!$A$2:$A$601,0)),""))</f>
        <v/>
      </c>
      <c r="L382" s="17">
        <f>IF(OR($A382="",$E382=""),"",IFERROR(E382*INDEX(CONTRATOS!$Z$2:$Z$601,MATCH($A382,CONTRATOS!$A$2:$A$601,0)),""))</f>
        <v/>
      </c>
      <c r="M382" s="13">
        <f>IF(OR($A382="",$E382=""),"",IFERROR(E382*INDEX(CONTRATOS!$AA$2:$AA$601,MATCH($A382,CONTRATOS!$A$2:$A$601,0)),""))</f>
        <v/>
      </c>
      <c r="N382" s="19">
        <f>IF($A382="","",SUMIFS($E$2:$E$601,$A$2:$A$601,$A382))</f>
        <v/>
      </c>
      <c r="O382" s="12">
        <f>IF($A382="","",IFERROR(INDEX(CONTRATOS!$F$2:$F$601,MATCH($A382,CONTRATOS!$A$2:$A$601,0)),""))</f>
        <v/>
      </c>
      <c r="P382" s="12">
        <f>IF($A382="","",IFERROR(INDEX(CONTRATOS!$M$2:$M$601,MATCH($A382,CONTRATOS!$A$2:$A$601,0)),""))</f>
        <v/>
      </c>
      <c r="Q382" s="12">
        <f>IF($A382="","",IF(COUNTIF(CONTRATOS!$A$2:$A$601,$A382)=0,"El contrato no existe en CONTRATOS; ","")&amp;IF($B382="","Falta sujeto; ",IF(COUNTIF(SUJETOS!$A$2:$A$601,$B382)=0,"El sujeto no existe en SUJETOS; ",""))&amp;IF($E382="","Falta porcentaje; ","")&amp;IF(N382&gt;1.0001,"Los porcentajes del contrato suman más de 100 %; ","")&amp;IF(AND($C382="Individual",$E382&lt;&gt;"",$E382&lt;&gt;1),"Individual debe ser 100 %; ","")&amp;IF(AND($C382&lt;&gt;"Individual",$C382&lt;&gt;"",$E382=1),"Consorcio o UT con 100 %: revise; ","")&amp;IF(COUNTIFS($A$2:$A$601,$A382,$B$2:$B$601,$B382)&gt;1,"Participación repetida; ","")&amp;IF(AND(IFERROR(INDEX(SUJETOS!$B$2:$B$601,MATCH($B382,SUJETOS!$A$2:$A$601,0)),"")="Persona natural",$G382=""),"Persona natural sin cargo; ",""))</f>
        <v/>
      </c>
      <c r="R382" s="12">
        <f>IF($A382="","",IFERROR(IF(LEN(INDEX(SUJETOS!$F$2:$F$601,MATCH($B382,SUJETOS!$A$2:$A$601,0)))&gt;0,INDEX(SUJETOS!$F$2:$F$601,MATCH($B382,SUJETOS!$A$2:$A$601,0)),$B382),$B382))</f>
        <v/>
      </c>
    </row>
    <row r="383">
      <c r="E383" s="18" t="n"/>
      <c r="K383" s="13">
        <f>IF(OR($A383="",$E383=""),"",IFERROR(E383*INDEX(CONTRATOS!$P$2:$P$601,MATCH($A383,CONTRATOS!$A$2:$A$601,0)),""))</f>
        <v/>
      </c>
      <c r="L383" s="17">
        <f>IF(OR($A383="",$E383=""),"",IFERROR(E383*INDEX(CONTRATOS!$Z$2:$Z$601,MATCH($A383,CONTRATOS!$A$2:$A$601,0)),""))</f>
        <v/>
      </c>
      <c r="M383" s="13">
        <f>IF(OR($A383="",$E383=""),"",IFERROR(E383*INDEX(CONTRATOS!$AA$2:$AA$601,MATCH($A383,CONTRATOS!$A$2:$A$601,0)),""))</f>
        <v/>
      </c>
      <c r="N383" s="19">
        <f>IF($A383="","",SUMIFS($E$2:$E$601,$A$2:$A$601,$A383))</f>
        <v/>
      </c>
      <c r="O383" s="12">
        <f>IF($A383="","",IFERROR(INDEX(CONTRATOS!$F$2:$F$601,MATCH($A383,CONTRATOS!$A$2:$A$601,0)),""))</f>
        <v/>
      </c>
      <c r="P383" s="12">
        <f>IF($A383="","",IFERROR(INDEX(CONTRATOS!$M$2:$M$601,MATCH($A383,CONTRATOS!$A$2:$A$601,0)),""))</f>
        <v/>
      </c>
      <c r="Q383" s="12">
        <f>IF($A383="","",IF(COUNTIF(CONTRATOS!$A$2:$A$601,$A383)=0,"El contrato no existe en CONTRATOS; ","")&amp;IF($B383="","Falta sujeto; ",IF(COUNTIF(SUJETOS!$A$2:$A$601,$B383)=0,"El sujeto no existe en SUJETOS; ",""))&amp;IF($E383="","Falta porcentaje; ","")&amp;IF(N383&gt;1.0001,"Los porcentajes del contrato suman más de 100 %; ","")&amp;IF(AND($C383="Individual",$E383&lt;&gt;"",$E383&lt;&gt;1),"Individual debe ser 100 %; ","")&amp;IF(AND($C383&lt;&gt;"Individual",$C383&lt;&gt;"",$E383=1),"Consorcio o UT con 100 %: revise; ","")&amp;IF(COUNTIFS($A$2:$A$601,$A383,$B$2:$B$601,$B383)&gt;1,"Participación repetida; ","")&amp;IF(AND(IFERROR(INDEX(SUJETOS!$B$2:$B$601,MATCH($B383,SUJETOS!$A$2:$A$601,0)),"")="Persona natural",$G383=""),"Persona natural sin cargo; ",""))</f>
        <v/>
      </c>
      <c r="R383" s="12">
        <f>IF($A383="","",IFERROR(IF(LEN(INDEX(SUJETOS!$F$2:$F$601,MATCH($B383,SUJETOS!$A$2:$A$601,0)))&gt;0,INDEX(SUJETOS!$F$2:$F$601,MATCH($B383,SUJETOS!$A$2:$A$601,0)),$B383),$B383))</f>
        <v/>
      </c>
    </row>
    <row r="384">
      <c r="E384" s="18" t="n"/>
      <c r="K384" s="13">
        <f>IF(OR($A384="",$E384=""),"",IFERROR(E384*INDEX(CONTRATOS!$P$2:$P$601,MATCH($A384,CONTRATOS!$A$2:$A$601,0)),""))</f>
        <v/>
      </c>
      <c r="L384" s="17">
        <f>IF(OR($A384="",$E384=""),"",IFERROR(E384*INDEX(CONTRATOS!$Z$2:$Z$601,MATCH($A384,CONTRATOS!$A$2:$A$601,0)),""))</f>
        <v/>
      </c>
      <c r="M384" s="13">
        <f>IF(OR($A384="",$E384=""),"",IFERROR(E384*INDEX(CONTRATOS!$AA$2:$AA$601,MATCH($A384,CONTRATOS!$A$2:$A$601,0)),""))</f>
        <v/>
      </c>
      <c r="N384" s="19">
        <f>IF($A384="","",SUMIFS($E$2:$E$601,$A$2:$A$601,$A384))</f>
        <v/>
      </c>
      <c r="O384" s="12">
        <f>IF($A384="","",IFERROR(INDEX(CONTRATOS!$F$2:$F$601,MATCH($A384,CONTRATOS!$A$2:$A$601,0)),""))</f>
        <v/>
      </c>
      <c r="P384" s="12">
        <f>IF($A384="","",IFERROR(INDEX(CONTRATOS!$M$2:$M$601,MATCH($A384,CONTRATOS!$A$2:$A$601,0)),""))</f>
        <v/>
      </c>
      <c r="Q384" s="12">
        <f>IF($A384="","",IF(COUNTIF(CONTRATOS!$A$2:$A$601,$A384)=0,"El contrato no existe en CONTRATOS; ","")&amp;IF($B384="","Falta sujeto; ",IF(COUNTIF(SUJETOS!$A$2:$A$601,$B384)=0,"El sujeto no existe en SUJETOS; ",""))&amp;IF($E384="","Falta porcentaje; ","")&amp;IF(N384&gt;1.0001,"Los porcentajes del contrato suman más de 100 %; ","")&amp;IF(AND($C384="Individual",$E384&lt;&gt;"",$E384&lt;&gt;1),"Individual debe ser 100 %; ","")&amp;IF(AND($C384&lt;&gt;"Individual",$C384&lt;&gt;"",$E384=1),"Consorcio o UT con 100 %: revise; ","")&amp;IF(COUNTIFS($A$2:$A$601,$A384,$B$2:$B$601,$B384)&gt;1,"Participación repetida; ","")&amp;IF(AND(IFERROR(INDEX(SUJETOS!$B$2:$B$601,MATCH($B384,SUJETOS!$A$2:$A$601,0)),"")="Persona natural",$G384=""),"Persona natural sin cargo; ",""))</f>
        <v/>
      </c>
      <c r="R384" s="12">
        <f>IF($A384="","",IFERROR(IF(LEN(INDEX(SUJETOS!$F$2:$F$601,MATCH($B384,SUJETOS!$A$2:$A$601,0)))&gt;0,INDEX(SUJETOS!$F$2:$F$601,MATCH($B384,SUJETOS!$A$2:$A$601,0)),$B384),$B384))</f>
        <v/>
      </c>
    </row>
    <row r="385">
      <c r="E385" s="18" t="n"/>
      <c r="K385" s="13">
        <f>IF(OR($A385="",$E385=""),"",IFERROR(E385*INDEX(CONTRATOS!$P$2:$P$601,MATCH($A385,CONTRATOS!$A$2:$A$601,0)),""))</f>
        <v/>
      </c>
      <c r="L385" s="17">
        <f>IF(OR($A385="",$E385=""),"",IFERROR(E385*INDEX(CONTRATOS!$Z$2:$Z$601,MATCH($A385,CONTRATOS!$A$2:$A$601,0)),""))</f>
        <v/>
      </c>
      <c r="M385" s="13">
        <f>IF(OR($A385="",$E385=""),"",IFERROR(E385*INDEX(CONTRATOS!$AA$2:$AA$601,MATCH($A385,CONTRATOS!$A$2:$A$601,0)),""))</f>
        <v/>
      </c>
      <c r="N385" s="19">
        <f>IF($A385="","",SUMIFS($E$2:$E$601,$A$2:$A$601,$A385))</f>
        <v/>
      </c>
      <c r="O385" s="12">
        <f>IF($A385="","",IFERROR(INDEX(CONTRATOS!$F$2:$F$601,MATCH($A385,CONTRATOS!$A$2:$A$601,0)),""))</f>
        <v/>
      </c>
      <c r="P385" s="12">
        <f>IF($A385="","",IFERROR(INDEX(CONTRATOS!$M$2:$M$601,MATCH($A385,CONTRATOS!$A$2:$A$601,0)),""))</f>
        <v/>
      </c>
      <c r="Q385" s="12">
        <f>IF($A385="","",IF(COUNTIF(CONTRATOS!$A$2:$A$601,$A385)=0,"El contrato no existe en CONTRATOS; ","")&amp;IF($B385="","Falta sujeto; ",IF(COUNTIF(SUJETOS!$A$2:$A$601,$B385)=0,"El sujeto no existe en SUJETOS; ",""))&amp;IF($E385="","Falta porcentaje; ","")&amp;IF(N385&gt;1.0001,"Los porcentajes del contrato suman más de 100 %; ","")&amp;IF(AND($C385="Individual",$E385&lt;&gt;"",$E385&lt;&gt;1),"Individual debe ser 100 %; ","")&amp;IF(AND($C385&lt;&gt;"Individual",$C385&lt;&gt;"",$E385=1),"Consorcio o UT con 100 %: revise; ","")&amp;IF(COUNTIFS($A$2:$A$601,$A385,$B$2:$B$601,$B385)&gt;1,"Participación repetida; ","")&amp;IF(AND(IFERROR(INDEX(SUJETOS!$B$2:$B$601,MATCH($B385,SUJETOS!$A$2:$A$601,0)),"")="Persona natural",$G385=""),"Persona natural sin cargo; ",""))</f>
        <v/>
      </c>
      <c r="R385" s="12">
        <f>IF($A385="","",IFERROR(IF(LEN(INDEX(SUJETOS!$F$2:$F$601,MATCH($B385,SUJETOS!$A$2:$A$601,0)))&gt;0,INDEX(SUJETOS!$F$2:$F$601,MATCH($B385,SUJETOS!$A$2:$A$601,0)),$B385),$B385))</f>
        <v/>
      </c>
    </row>
    <row r="386">
      <c r="E386" s="18" t="n"/>
      <c r="K386" s="13">
        <f>IF(OR($A386="",$E386=""),"",IFERROR(E386*INDEX(CONTRATOS!$P$2:$P$601,MATCH($A386,CONTRATOS!$A$2:$A$601,0)),""))</f>
        <v/>
      </c>
      <c r="L386" s="17">
        <f>IF(OR($A386="",$E386=""),"",IFERROR(E386*INDEX(CONTRATOS!$Z$2:$Z$601,MATCH($A386,CONTRATOS!$A$2:$A$601,0)),""))</f>
        <v/>
      </c>
      <c r="M386" s="13">
        <f>IF(OR($A386="",$E386=""),"",IFERROR(E386*INDEX(CONTRATOS!$AA$2:$AA$601,MATCH($A386,CONTRATOS!$A$2:$A$601,0)),""))</f>
        <v/>
      </c>
      <c r="N386" s="19">
        <f>IF($A386="","",SUMIFS($E$2:$E$601,$A$2:$A$601,$A386))</f>
        <v/>
      </c>
      <c r="O386" s="12">
        <f>IF($A386="","",IFERROR(INDEX(CONTRATOS!$F$2:$F$601,MATCH($A386,CONTRATOS!$A$2:$A$601,0)),""))</f>
        <v/>
      </c>
      <c r="P386" s="12">
        <f>IF($A386="","",IFERROR(INDEX(CONTRATOS!$M$2:$M$601,MATCH($A386,CONTRATOS!$A$2:$A$601,0)),""))</f>
        <v/>
      </c>
      <c r="Q386" s="12">
        <f>IF($A386="","",IF(COUNTIF(CONTRATOS!$A$2:$A$601,$A386)=0,"El contrato no existe en CONTRATOS; ","")&amp;IF($B386="","Falta sujeto; ",IF(COUNTIF(SUJETOS!$A$2:$A$601,$B386)=0,"El sujeto no existe en SUJETOS; ",""))&amp;IF($E386="","Falta porcentaje; ","")&amp;IF(N386&gt;1.0001,"Los porcentajes del contrato suman más de 100 %; ","")&amp;IF(AND($C386="Individual",$E386&lt;&gt;"",$E386&lt;&gt;1),"Individual debe ser 100 %; ","")&amp;IF(AND($C386&lt;&gt;"Individual",$C386&lt;&gt;"",$E386=1),"Consorcio o UT con 100 %: revise; ","")&amp;IF(COUNTIFS($A$2:$A$601,$A386,$B$2:$B$601,$B386)&gt;1,"Participación repetida; ","")&amp;IF(AND(IFERROR(INDEX(SUJETOS!$B$2:$B$601,MATCH($B386,SUJETOS!$A$2:$A$601,0)),"")="Persona natural",$G386=""),"Persona natural sin cargo; ",""))</f>
        <v/>
      </c>
      <c r="R386" s="12">
        <f>IF($A386="","",IFERROR(IF(LEN(INDEX(SUJETOS!$F$2:$F$601,MATCH($B386,SUJETOS!$A$2:$A$601,0)))&gt;0,INDEX(SUJETOS!$F$2:$F$601,MATCH($B386,SUJETOS!$A$2:$A$601,0)),$B386),$B386))</f>
        <v/>
      </c>
    </row>
    <row r="387">
      <c r="E387" s="18" t="n"/>
      <c r="K387" s="13">
        <f>IF(OR($A387="",$E387=""),"",IFERROR(E387*INDEX(CONTRATOS!$P$2:$P$601,MATCH($A387,CONTRATOS!$A$2:$A$601,0)),""))</f>
        <v/>
      </c>
      <c r="L387" s="17">
        <f>IF(OR($A387="",$E387=""),"",IFERROR(E387*INDEX(CONTRATOS!$Z$2:$Z$601,MATCH($A387,CONTRATOS!$A$2:$A$601,0)),""))</f>
        <v/>
      </c>
      <c r="M387" s="13">
        <f>IF(OR($A387="",$E387=""),"",IFERROR(E387*INDEX(CONTRATOS!$AA$2:$AA$601,MATCH($A387,CONTRATOS!$A$2:$A$601,0)),""))</f>
        <v/>
      </c>
      <c r="N387" s="19">
        <f>IF($A387="","",SUMIFS($E$2:$E$601,$A$2:$A$601,$A387))</f>
        <v/>
      </c>
      <c r="O387" s="12">
        <f>IF($A387="","",IFERROR(INDEX(CONTRATOS!$F$2:$F$601,MATCH($A387,CONTRATOS!$A$2:$A$601,0)),""))</f>
        <v/>
      </c>
      <c r="P387" s="12">
        <f>IF($A387="","",IFERROR(INDEX(CONTRATOS!$M$2:$M$601,MATCH($A387,CONTRATOS!$A$2:$A$601,0)),""))</f>
        <v/>
      </c>
      <c r="Q387" s="12">
        <f>IF($A387="","",IF(COUNTIF(CONTRATOS!$A$2:$A$601,$A387)=0,"El contrato no existe en CONTRATOS; ","")&amp;IF($B387="","Falta sujeto; ",IF(COUNTIF(SUJETOS!$A$2:$A$601,$B387)=0,"El sujeto no existe en SUJETOS; ",""))&amp;IF($E387="","Falta porcentaje; ","")&amp;IF(N387&gt;1.0001,"Los porcentajes del contrato suman más de 100 %; ","")&amp;IF(AND($C387="Individual",$E387&lt;&gt;"",$E387&lt;&gt;1),"Individual debe ser 100 %; ","")&amp;IF(AND($C387&lt;&gt;"Individual",$C387&lt;&gt;"",$E387=1),"Consorcio o UT con 100 %: revise; ","")&amp;IF(COUNTIFS($A$2:$A$601,$A387,$B$2:$B$601,$B387)&gt;1,"Participación repetida; ","")&amp;IF(AND(IFERROR(INDEX(SUJETOS!$B$2:$B$601,MATCH($B387,SUJETOS!$A$2:$A$601,0)),"")="Persona natural",$G387=""),"Persona natural sin cargo; ",""))</f>
        <v/>
      </c>
      <c r="R387" s="12">
        <f>IF($A387="","",IFERROR(IF(LEN(INDEX(SUJETOS!$F$2:$F$601,MATCH($B387,SUJETOS!$A$2:$A$601,0)))&gt;0,INDEX(SUJETOS!$F$2:$F$601,MATCH($B387,SUJETOS!$A$2:$A$601,0)),$B387),$B387))</f>
        <v/>
      </c>
    </row>
    <row r="388">
      <c r="E388" s="18" t="n"/>
      <c r="K388" s="13">
        <f>IF(OR($A388="",$E388=""),"",IFERROR(E388*INDEX(CONTRATOS!$P$2:$P$601,MATCH($A388,CONTRATOS!$A$2:$A$601,0)),""))</f>
        <v/>
      </c>
      <c r="L388" s="17">
        <f>IF(OR($A388="",$E388=""),"",IFERROR(E388*INDEX(CONTRATOS!$Z$2:$Z$601,MATCH($A388,CONTRATOS!$A$2:$A$601,0)),""))</f>
        <v/>
      </c>
      <c r="M388" s="13">
        <f>IF(OR($A388="",$E388=""),"",IFERROR(E388*INDEX(CONTRATOS!$AA$2:$AA$601,MATCH($A388,CONTRATOS!$A$2:$A$601,0)),""))</f>
        <v/>
      </c>
      <c r="N388" s="19">
        <f>IF($A388="","",SUMIFS($E$2:$E$601,$A$2:$A$601,$A388))</f>
        <v/>
      </c>
      <c r="O388" s="12">
        <f>IF($A388="","",IFERROR(INDEX(CONTRATOS!$F$2:$F$601,MATCH($A388,CONTRATOS!$A$2:$A$601,0)),""))</f>
        <v/>
      </c>
      <c r="P388" s="12">
        <f>IF($A388="","",IFERROR(INDEX(CONTRATOS!$M$2:$M$601,MATCH($A388,CONTRATOS!$A$2:$A$601,0)),""))</f>
        <v/>
      </c>
      <c r="Q388" s="12">
        <f>IF($A388="","",IF(COUNTIF(CONTRATOS!$A$2:$A$601,$A388)=0,"El contrato no existe en CONTRATOS; ","")&amp;IF($B388="","Falta sujeto; ",IF(COUNTIF(SUJETOS!$A$2:$A$601,$B388)=0,"El sujeto no existe en SUJETOS; ",""))&amp;IF($E388="","Falta porcentaje; ","")&amp;IF(N388&gt;1.0001,"Los porcentajes del contrato suman más de 100 %; ","")&amp;IF(AND($C388="Individual",$E388&lt;&gt;"",$E388&lt;&gt;1),"Individual debe ser 100 %; ","")&amp;IF(AND($C388&lt;&gt;"Individual",$C388&lt;&gt;"",$E388=1),"Consorcio o UT con 100 %: revise; ","")&amp;IF(COUNTIFS($A$2:$A$601,$A388,$B$2:$B$601,$B388)&gt;1,"Participación repetida; ","")&amp;IF(AND(IFERROR(INDEX(SUJETOS!$B$2:$B$601,MATCH($B388,SUJETOS!$A$2:$A$601,0)),"")="Persona natural",$G388=""),"Persona natural sin cargo; ",""))</f>
        <v/>
      </c>
      <c r="R388" s="12">
        <f>IF($A388="","",IFERROR(IF(LEN(INDEX(SUJETOS!$F$2:$F$601,MATCH($B388,SUJETOS!$A$2:$A$601,0)))&gt;0,INDEX(SUJETOS!$F$2:$F$601,MATCH($B388,SUJETOS!$A$2:$A$601,0)),$B388),$B388))</f>
        <v/>
      </c>
    </row>
    <row r="389">
      <c r="E389" s="18" t="n"/>
      <c r="K389" s="13">
        <f>IF(OR($A389="",$E389=""),"",IFERROR(E389*INDEX(CONTRATOS!$P$2:$P$601,MATCH($A389,CONTRATOS!$A$2:$A$601,0)),""))</f>
        <v/>
      </c>
      <c r="L389" s="17">
        <f>IF(OR($A389="",$E389=""),"",IFERROR(E389*INDEX(CONTRATOS!$Z$2:$Z$601,MATCH($A389,CONTRATOS!$A$2:$A$601,0)),""))</f>
        <v/>
      </c>
      <c r="M389" s="13">
        <f>IF(OR($A389="",$E389=""),"",IFERROR(E389*INDEX(CONTRATOS!$AA$2:$AA$601,MATCH($A389,CONTRATOS!$A$2:$A$601,0)),""))</f>
        <v/>
      </c>
      <c r="N389" s="19">
        <f>IF($A389="","",SUMIFS($E$2:$E$601,$A$2:$A$601,$A389))</f>
        <v/>
      </c>
      <c r="O389" s="12">
        <f>IF($A389="","",IFERROR(INDEX(CONTRATOS!$F$2:$F$601,MATCH($A389,CONTRATOS!$A$2:$A$601,0)),""))</f>
        <v/>
      </c>
      <c r="P389" s="12">
        <f>IF($A389="","",IFERROR(INDEX(CONTRATOS!$M$2:$M$601,MATCH($A389,CONTRATOS!$A$2:$A$601,0)),""))</f>
        <v/>
      </c>
      <c r="Q389" s="12">
        <f>IF($A389="","",IF(COUNTIF(CONTRATOS!$A$2:$A$601,$A389)=0,"El contrato no existe en CONTRATOS; ","")&amp;IF($B389="","Falta sujeto; ",IF(COUNTIF(SUJETOS!$A$2:$A$601,$B389)=0,"El sujeto no existe en SUJETOS; ",""))&amp;IF($E389="","Falta porcentaje; ","")&amp;IF(N389&gt;1.0001,"Los porcentajes del contrato suman más de 100 %; ","")&amp;IF(AND($C389="Individual",$E389&lt;&gt;"",$E389&lt;&gt;1),"Individual debe ser 100 %; ","")&amp;IF(AND($C389&lt;&gt;"Individual",$C389&lt;&gt;"",$E389=1),"Consorcio o UT con 100 %: revise; ","")&amp;IF(COUNTIFS($A$2:$A$601,$A389,$B$2:$B$601,$B389)&gt;1,"Participación repetida; ","")&amp;IF(AND(IFERROR(INDEX(SUJETOS!$B$2:$B$601,MATCH($B389,SUJETOS!$A$2:$A$601,0)),"")="Persona natural",$G389=""),"Persona natural sin cargo; ",""))</f>
        <v/>
      </c>
      <c r="R389" s="12">
        <f>IF($A389="","",IFERROR(IF(LEN(INDEX(SUJETOS!$F$2:$F$601,MATCH($B389,SUJETOS!$A$2:$A$601,0)))&gt;0,INDEX(SUJETOS!$F$2:$F$601,MATCH($B389,SUJETOS!$A$2:$A$601,0)),$B389),$B389))</f>
        <v/>
      </c>
    </row>
    <row r="390">
      <c r="E390" s="18" t="n"/>
      <c r="K390" s="13">
        <f>IF(OR($A390="",$E390=""),"",IFERROR(E390*INDEX(CONTRATOS!$P$2:$P$601,MATCH($A390,CONTRATOS!$A$2:$A$601,0)),""))</f>
        <v/>
      </c>
      <c r="L390" s="17">
        <f>IF(OR($A390="",$E390=""),"",IFERROR(E390*INDEX(CONTRATOS!$Z$2:$Z$601,MATCH($A390,CONTRATOS!$A$2:$A$601,0)),""))</f>
        <v/>
      </c>
      <c r="M390" s="13">
        <f>IF(OR($A390="",$E390=""),"",IFERROR(E390*INDEX(CONTRATOS!$AA$2:$AA$601,MATCH($A390,CONTRATOS!$A$2:$A$601,0)),""))</f>
        <v/>
      </c>
      <c r="N390" s="19">
        <f>IF($A390="","",SUMIFS($E$2:$E$601,$A$2:$A$601,$A390))</f>
        <v/>
      </c>
      <c r="O390" s="12">
        <f>IF($A390="","",IFERROR(INDEX(CONTRATOS!$F$2:$F$601,MATCH($A390,CONTRATOS!$A$2:$A$601,0)),""))</f>
        <v/>
      </c>
      <c r="P390" s="12">
        <f>IF($A390="","",IFERROR(INDEX(CONTRATOS!$M$2:$M$601,MATCH($A390,CONTRATOS!$A$2:$A$601,0)),""))</f>
        <v/>
      </c>
      <c r="Q390" s="12">
        <f>IF($A390="","",IF(COUNTIF(CONTRATOS!$A$2:$A$601,$A390)=0,"El contrato no existe en CONTRATOS; ","")&amp;IF($B390="","Falta sujeto; ",IF(COUNTIF(SUJETOS!$A$2:$A$601,$B390)=0,"El sujeto no existe en SUJETOS; ",""))&amp;IF($E390="","Falta porcentaje; ","")&amp;IF(N390&gt;1.0001,"Los porcentajes del contrato suman más de 100 %; ","")&amp;IF(AND($C390="Individual",$E390&lt;&gt;"",$E390&lt;&gt;1),"Individual debe ser 100 %; ","")&amp;IF(AND($C390&lt;&gt;"Individual",$C390&lt;&gt;"",$E390=1),"Consorcio o UT con 100 %: revise; ","")&amp;IF(COUNTIFS($A$2:$A$601,$A390,$B$2:$B$601,$B390)&gt;1,"Participación repetida; ","")&amp;IF(AND(IFERROR(INDEX(SUJETOS!$B$2:$B$601,MATCH($B390,SUJETOS!$A$2:$A$601,0)),"")="Persona natural",$G390=""),"Persona natural sin cargo; ",""))</f>
        <v/>
      </c>
      <c r="R390" s="12">
        <f>IF($A390="","",IFERROR(IF(LEN(INDEX(SUJETOS!$F$2:$F$601,MATCH($B390,SUJETOS!$A$2:$A$601,0)))&gt;0,INDEX(SUJETOS!$F$2:$F$601,MATCH($B390,SUJETOS!$A$2:$A$601,0)),$B390),$B390))</f>
        <v/>
      </c>
    </row>
    <row r="391">
      <c r="E391" s="18" t="n"/>
      <c r="K391" s="13">
        <f>IF(OR($A391="",$E391=""),"",IFERROR(E391*INDEX(CONTRATOS!$P$2:$P$601,MATCH($A391,CONTRATOS!$A$2:$A$601,0)),""))</f>
        <v/>
      </c>
      <c r="L391" s="17">
        <f>IF(OR($A391="",$E391=""),"",IFERROR(E391*INDEX(CONTRATOS!$Z$2:$Z$601,MATCH($A391,CONTRATOS!$A$2:$A$601,0)),""))</f>
        <v/>
      </c>
      <c r="M391" s="13">
        <f>IF(OR($A391="",$E391=""),"",IFERROR(E391*INDEX(CONTRATOS!$AA$2:$AA$601,MATCH($A391,CONTRATOS!$A$2:$A$601,0)),""))</f>
        <v/>
      </c>
      <c r="N391" s="19">
        <f>IF($A391="","",SUMIFS($E$2:$E$601,$A$2:$A$601,$A391))</f>
        <v/>
      </c>
      <c r="O391" s="12">
        <f>IF($A391="","",IFERROR(INDEX(CONTRATOS!$F$2:$F$601,MATCH($A391,CONTRATOS!$A$2:$A$601,0)),""))</f>
        <v/>
      </c>
      <c r="P391" s="12">
        <f>IF($A391="","",IFERROR(INDEX(CONTRATOS!$M$2:$M$601,MATCH($A391,CONTRATOS!$A$2:$A$601,0)),""))</f>
        <v/>
      </c>
      <c r="Q391" s="12">
        <f>IF($A391="","",IF(COUNTIF(CONTRATOS!$A$2:$A$601,$A391)=0,"El contrato no existe en CONTRATOS; ","")&amp;IF($B391="","Falta sujeto; ",IF(COUNTIF(SUJETOS!$A$2:$A$601,$B391)=0,"El sujeto no existe en SUJETOS; ",""))&amp;IF($E391="","Falta porcentaje; ","")&amp;IF(N391&gt;1.0001,"Los porcentajes del contrato suman más de 100 %; ","")&amp;IF(AND($C391="Individual",$E391&lt;&gt;"",$E391&lt;&gt;1),"Individual debe ser 100 %; ","")&amp;IF(AND($C391&lt;&gt;"Individual",$C391&lt;&gt;"",$E391=1),"Consorcio o UT con 100 %: revise; ","")&amp;IF(COUNTIFS($A$2:$A$601,$A391,$B$2:$B$601,$B391)&gt;1,"Participación repetida; ","")&amp;IF(AND(IFERROR(INDEX(SUJETOS!$B$2:$B$601,MATCH($B391,SUJETOS!$A$2:$A$601,0)),"")="Persona natural",$G391=""),"Persona natural sin cargo; ",""))</f>
        <v/>
      </c>
      <c r="R391" s="12">
        <f>IF($A391="","",IFERROR(IF(LEN(INDEX(SUJETOS!$F$2:$F$601,MATCH($B391,SUJETOS!$A$2:$A$601,0)))&gt;0,INDEX(SUJETOS!$F$2:$F$601,MATCH($B391,SUJETOS!$A$2:$A$601,0)),$B391),$B391))</f>
        <v/>
      </c>
    </row>
    <row r="392">
      <c r="E392" s="18" t="n"/>
      <c r="K392" s="13">
        <f>IF(OR($A392="",$E392=""),"",IFERROR(E392*INDEX(CONTRATOS!$P$2:$P$601,MATCH($A392,CONTRATOS!$A$2:$A$601,0)),""))</f>
        <v/>
      </c>
      <c r="L392" s="17">
        <f>IF(OR($A392="",$E392=""),"",IFERROR(E392*INDEX(CONTRATOS!$Z$2:$Z$601,MATCH($A392,CONTRATOS!$A$2:$A$601,0)),""))</f>
        <v/>
      </c>
      <c r="M392" s="13">
        <f>IF(OR($A392="",$E392=""),"",IFERROR(E392*INDEX(CONTRATOS!$AA$2:$AA$601,MATCH($A392,CONTRATOS!$A$2:$A$601,0)),""))</f>
        <v/>
      </c>
      <c r="N392" s="19">
        <f>IF($A392="","",SUMIFS($E$2:$E$601,$A$2:$A$601,$A392))</f>
        <v/>
      </c>
      <c r="O392" s="12">
        <f>IF($A392="","",IFERROR(INDEX(CONTRATOS!$F$2:$F$601,MATCH($A392,CONTRATOS!$A$2:$A$601,0)),""))</f>
        <v/>
      </c>
      <c r="P392" s="12">
        <f>IF($A392="","",IFERROR(INDEX(CONTRATOS!$M$2:$M$601,MATCH($A392,CONTRATOS!$A$2:$A$601,0)),""))</f>
        <v/>
      </c>
      <c r="Q392" s="12">
        <f>IF($A392="","",IF(COUNTIF(CONTRATOS!$A$2:$A$601,$A392)=0,"El contrato no existe en CONTRATOS; ","")&amp;IF($B392="","Falta sujeto; ",IF(COUNTIF(SUJETOS!$A$2:$A$601,$B392)=0,"El sujeto no existe en SUJETOS; ",""))&amp;IF($E392="","Falta porcentaje; ","")&amp;IF(N392&gt;1.0001,"Los porcentajes del contrato suman más de 100 %; ","")&amp;IF(AND($C392="Individual",$E392&lt;&gt;"",$E392&lt;&gt;1),"Individual debe ser 100 %; ","")&amp;IF(AND($C392&lt;&gt;"Individual",$C392&lt;&gt;"",$E392=1),"Consorcio o UT con 100 %: revise; ","")&amp;IF(COUNTIFS($A$2:$A$601,$A392,$B$2:$B$601,$B392)&gt;1,"Participación repetida; ","")&amp;IF(AND(IFERROR(INDEX(SUJETOS!$B$2:$B$601,MATCH($B392,SUJETOS!$A$2:$A$601,0)),"")="Persona natural",$G392=""),"Persona natural sin cargo; ",""))</f>
        <v/>
      </c>
      <c r="R392" s="12">
        <f>IF($A392="","",IFERROR(IF(LEN(INDEX(SUJETOS!$F$2:$F$601,MATCH($B392,SUJETOS!$A$2:$A$601,0)))&gt;0,INDEX(SUJETOS!$F$2:$F$601,MATCH($B392,SUJETOS!$A$2:$A$601,0)),$B392),$B392))</f>
        <v/>
      </c>
    </row>
    <row r="393">
      <c r="E393" s="18" t="n"/>
      <c r="K393" s="13">
        <f>IF(OR($A393="",$E393=""),"",IFERROR(E393*INDEX(CONTRATOS!$P$2:$P$601,MATCH($A393,CONTRATOS!$A$2:$A$601,0)),""))</f>
        <v/>
      </c>
      <c r="L393" s="17">
        <f>IF(OR($A393="",$E393=""),"",IFERROR(E393*INDEX(CONTRATOS!$Z$2:$Z$601,MATCH($A393,CONTRATOS!$A$2:$A$601,0)),""))</f>
        <v/>
      </c>
      <c r="M393" s="13">
        <f>IF(OR($A393="",$E393=""),"",IFERROR(E393*INDEX(CONTRATOS!$AA$2:$AA$601,MATCH($A393,CONTRATOS!$A$2:$A$601,0)),""))</f>
        <v/>
      </c>
      <c r="N393" s="19">
        <f>IF($A393="","",SUMIFS($E$2:$E$601,$A$2:$A$601,$A393))</f>
        <v/>
      </c>
      <c r="O393" s="12">
        <f>IF($A393="","",IFERROR(INDEX(CONTRATOS!$F$2:$F$601,MATCH($A393,CONTRATOS!$A$2:$A$601,0)),""))</f>
        <v/>
      </c>
      <c r="P393" s="12">
        <f>IF($A393="","",IFERROR(INDEX(CONTRATOS!$M$2:$M$601,MATCH($A393,CONTRATOS!$A$2:$A$601,0)),""))</f>
        <v/>
      </c>
      <c r="Q393" s="12">
        <f>IF($A393="","",IF(COUNTIF(CONTRATOS!$A$2:$A$601,$A393)=0,"El contrato no existe en CONTRATOS; ","")&amp;IF($B393="","Falta sujeto; ",IF(COUNTIF(SUJETOS!$A$2:$A$601,$B393)=0,"El sujeto no existe en SUJETOS; ",""))&amp;IF($E393="","Falta porcentaje; ","")&amp;IF(N393&gt;1.0001,"Los porcentajes del contrato suman más de 100 %; ","")&amp;IF(AND($C393="Individual",$E393&lt;&gt;"",$E393&lt;&gt;1),"Individual debe ser 100 %; ","")&amp;IF(AND($C393&lt;&gt;"Individual",$C393&lt;&gt;"",$E393=1),"Consorcio o UT con 100 %: revise; ","")&amp;IF(COUNTIFS($A$2:$A$601,$A393,$B$2:$B$601,$B393)&gt;1,"Participación repetida; ","")&amp;IF(AND(IFERROR(INDEX(SUJETOS!$B$2:$B$601,MATCH($B393,SUJETOS!$A$2:$A$601,0)),"")="Persona natural",$G393=""),"Persona natural sin cargo; ",""))</f>
        <v/>
      </c>
      <c r="R393" s="12">
        <f>IF($A393="","",IFERROR(IF(LEN(INDEX(SUJETOS!$F$2:$F$601,MATCH($B393,SUJETOS!$A$2:$A$601,0)))&gt;0,INDEX(SUJETOS!$F$2:$F$601,MATCH($B393,SUJETOS!$A$2:$A$601,0)),$B393),$B393))</f>
        <v/>
      </c>
    </row>
    <row r="394">
      <c r="E394" s="18" t="n"/>
      <c r="K394" s="13">
        <f>IF(OR($A394="",$E394=""),"",IFERROR(E394*INDEX(CONTRATOS!$P$2:$P$601,MATCH($A394,CONTRATOS!$A$2:$A$601,0)),""))</f>
        <v/>
      </c>
      <c r="L394" s="17">
        <f>IF(OR($A394="",$E394=""),"",IFERROR(E394*INDEX(CONTRATOS!$Z$2:$Z$601,MATCH($A394,CONTRATOS!$A$2:$A$601,0)),""))</f>
        <v/>
      </c>
      <c r="M394" s="13">
        <f>IF(OR($A394="",$E394=""),"",IFERROR(E394*INDEX(CONTRATOS!$AA$2:$AA$601,MATCH($A394,CONTRATOS!$A$2:$A$601,0)),""))</f>
        <v/>
      </c>
      <c r="N394" s="19">
        <f>IF($A394="","",SUMIFS($E$2:$E$601,$A$2:$A$601,$A394))</f>
        <v/>
      </c>
      <c r="O394" s="12">
        <f>IF($A394="","",IFERROR(INDEX(CONTRATOS!$F$2:$F$601,MATCH($A394,CONTRATOS!$A$2:$A$601,0)),""))</f>
        <v/>
      </c>
      <c r="P394" s="12">
        <f>IF($A394="","",IFERROR(INDEX(CONTRATOS!$M$2:$M$601,MATCH($A394,CONTRATOS!$A$2:$A$601,0)),""))</f>
        <v/>
      </c>
      <c r="Q394" s="12">
        <f>IF($A394="","",IF(COUNTIF(CONTRATOS!$A$2:$A$601,$A394)=0,"El contrato no existe en CONTRATOS; ","")&amp;IF($B394="","Falta sujeto; ",IF(COUNTIF(SUJETOS!$A$2:$A$601,$B394)=0,"El sujeto no existe en SUJETOS; ",""))&amp;IF($E394="","Falta porcentaje; ","")&amp;IF(N394&gt;1.0001,"Los porcentajes del contrato suman más de 100 %; ","")&amp;IF(AND($C394="Individual",$E394&lt;&gt;"",$E394&lt;&gt;1),"Individual debe ser 100 %; ","")&amp;IF(AND($C394&lt;&gt;"Individual",$C394&lt;&gt;"",$E394=1),"Consorcio o UT con 100 %: revise; ","")&amp;IF(COUNTIFS($A$2:$A$601,$A394,$B$2:$B$601,$B394)&gt;1,"Participación repetida; ","")&amp;IF(AND(IFERROR(INDEX(SUJETOS!$B$2:$B$601,MATCH($B394,SUJETOS!$A$2:$A$601,0)),"")="Persona natural",$G394=""),"Persona natural sin cargo; ",""))</f>
        <v/>
      </c>
      <c r="R394" s="12">
        <f>IF($A394="","",IFERROR(IF(LEN(INDEX(SUJETOS!$F$2:$F$601,MATCH($B394,SUJETOS!$A$2:$A$601,0)))&gt;0,INDEX(SUJETOS!$F$2:$F$601,MATCH($B394,SUJETOS!$A$2:$A$601,0)),$B394),$B394))</f>
        <v/>
      </c>
    </row>
    <row r="395">
      <c r="E395" s="18" t="n"/>
      <c r="K395" s="13">
        <f>IF(OR($A395="",$E395=""),"",IFERROR(E395*INDEX(CONTRATOS!$P$2:$P$601,MATCH($A395,CONTRATOS!$A$2:$A$601,0)),""))</f>
        <v/>
      </c>
      <c r="L395" s="17">
        <f>IF(OR($A395="",$E395=""),"",IFERROR(E395*INDEX(CONTRATOS!$Z$2:$Z$601,MATCH($A395,CONTRATOS!$A$2:$A$601,0)),""))</f>
        <v/>
      </c>
      <c r="M395" s="13">
        <f>IF(OR($A395="",$E395=""),"",IFERROR(E395*INDEX(CONTRATOS!$AA$2:$AA$601,MATCH($A395,CONTRATOS!$A$2:$A$601,0)),""))</f>
        <v/>
      </c>
      <c r="N395" s="19">
        <f>IF($A395="","",SUMIFS($E$2:$E$601,$A$2:$A$601,$A395))</f>
        <v/>
      </c>
      <c r="O395" s="12">
        <f>IF($A395="","",IFERROR(INDEX(CONTRATOS!$F$2:$F$601,MATCH($A395,CONTRATOS!$A$2:$A$601,0)),""))</f>
        <v/>
      </c>
      <c r="P395" s="12">
        <f>IF($A395="","",IFERROR(INDEX(CONTRATOS!$M$2:$M$601,MATCH($A395,CONTRATOS!$A$2:$A$601,0)),""))</f>
        <v/>
      </c>
      <c r="Q395" s="12">
        <f>IF($A395="","",IF(COUNTIF(CONTRATOS!$A$2:$A$601,$A395)=0,"El contrato no existe en CONTRATOS; ","")&amp;IF($B395="","Falta sujeto; ",IF(COUNTIF(SUJETOS!$A$2:$A$601,$B395)=0,"El sujeto no existe en SUJETOS; ",""))&amp;IF($E395="","Falta porcentaje; ","")&amp;IF(N395&gt;1.0001,"Los porcentajes del contrato suman más de 100 %; ","")&amp;IF(AND($C395="Individual",$E395&lt;&gt;"",$E395&lt;&gt;1),"Individual debe ser 100 %; ","")&amp;IF(AND($C395&lt;&gt;"Individual",$C395&lt;&gt;"",$E395=1),"Consorcio o UT con 100 %: revise; ","")&amp;IF(COUNTIFS($A$2:$A$601,$A395,$B$2:$B$601,$B395)&gt;1,"Participación repetida; ","")&amp;IF(AND(IFERROR(INDEX(SUJETOS!$B$2:$B$601,MATCH($B395,SUJETOS!$A$2:$A$601,0)),"")="Persona natural",$G395=""),"Persona natural sin cargo; ",""))</f>
        <v/>
      </c>
      <c r="R395" s="12">
        <f>IF($A395="","",IFERROR(IF(LEN(INDEX(SUJETOS!$F$2:$F$601,MATCH($B395,SUJETOS!$A$2:$A$601,0)))&gt;0,INDEX(SUJETOS!$F$2:$F$601,MATCH($B395,SUJETOS!$A$2:$A$601,0)),$B395),$B395))</f>
        <v/>
      </c>
    </row>
    <row r="396">
      <c r="E396" s="18" t="n"/>
      <c r="K396" s="13">
        <f>IF(OR($A396="",$E396=""),"",IFERROR(E396*INDEX(CONTRATOS!$P$2:$P$601,MATCH($A396,CONTRATOS!$A$2:$A$601,0)),""))</f>
        <v/>
      </c>
      <c r="L396" s="17">
        <f>IF(OR($A396="",$E396=""),"",IFERROR(E396*INDEX(CONTRATOS!$Z$2:$Z$601,MATCH($A396,CONTRATOS!$A$2:$A$601,0)),""))</f>
        <v/>
      </c>
      <c r="M396" s="13">
        <f>IF(OR($A396="",$E396=""),"",IFERROR(E396*INDEX(CONTRATOS!$AA$2:$AA$601,MATCH($A396,CONTRATOS!$A$2:$A$601,0)),""))</f>
        <v/>
      </c>
      <c r="N396" s="19">
        <f>IF($A396="","",SUMIFS($E$2:$E$601,$A$2:$A$601,$A396))</f>
        <v/>
      </c>
      <c r="O396" s="12">
        <f>IF($A396="","",IFERROR(INDEX(CONTRATOS!$F$2:$F$601,MATCH($A396,CONTRATOS!$A$2:$A$601,0)),""))</f>
        <v/>
      </c>
      <c r="P396" s="12">
        <f>IF($A396="","",IFERROR(INDEX(CONTRATOS!$M$2:$M$601,MATCH($A396,CONTRATOS!$A$2:$A$601,0)),""))</f>
        <v/>
      </c>
      <c r="Q396" s="12">
        <f>IF($A396="","",IF(COUNTIF(CONTRATOS!$A$2:$A$601,$A396)=0,"El contrato no existe en CONTRATOS; ","")&amp;IF($B396="","Falta sujeto; ",IF(COUNTIF(SUJETOS!$A$2:$A$601,$B396)=0,"El sujeto no existe en SUJETOS; ",""))&amp;IF($E396="","Falta porcentaje; ","")&amp;IF(N396&gt;1.0001,"Los porcentajes del contrato suman más de 100 %; ","")&amp;IF(AND($C396="Individual",$E396&lt;&gt;"",$E396&lt;&gt;1),"Individual debe ser 100 %; ","")&amp;IF(AND($C396&lt;&gt;"Individual",$C396&lt;&gt;"",$E396=1),"Consorcio o UT con 100 %: revise; ","")&amp;IF(COUNTIFS($A$2:$A$601,$A396,$B$2:$B$601,$B396)&gt;1,"Participación repetida; ","")&amp;IF(AND(IFERROR(INDEX(SUJETOS!$B$2:$B$601,MATCH($B396,SUJETOS!$A$2:$A$601,0)),"")="Persona natural",$G396=""),"Persona natural sin cargo; ",""))</f>
        <v/>
      </c>
      <c r="R396" s="12">
        <f>IF($A396="","",IFERROR(IF(LEN(INDEX(SUJETOS!$F$2:$F$601,MATCH($B396,SUJETOS!$A$2:$A$601,0)))&gt;0,INDEX(SUJETOS!$F$2:$F$601,MATCH($B396,SUJETOS!$A$2:$A$601,0)),$B396),$B396))</f>
        <v/>
      </c>
    </row>
    <row r="397">
      <c r="E397" s="18" t="n"/>
      <c r="K397" s="13">
        <f>IF(OR($A397="",$E397=""),"",IFERROR(E397*INDEX(CONTRATOS!$P$2:$P$601,MATCH($A397,CONTRATOS!$A$2:$A$601,0)),""))</f>
        <v/>
      </c>
      <c r="L397" s="17">
        <f>IF(OR($A397="",$E397=""),"",IFERROR(E397*INDEX(CONTRATOS!$Z$2:$Z$601,MATCH($A397,CONTRATOS!$A$2:$A$601,0)),""))</f>
        <v/>
      </c>
      <c r="M397" s="13">
        <f>IF(OR($A397="",$E397=""),"",IFERROR(E397*INDEX(CONTRATOS!$AA$2:$AA$601,MATCH($A397,CONTRATOS!$A$2:$A$601,0)),""))</f>
        <v/>
      </c>
      <c r="N397" s="19">
        <f>IF($A397="","",SUMIFS($E$2:$E$601,$A$2:$A$601,$A397))</f>
        <v/>
      </c>
      <c r="O397" s="12">
        <f>IF($A397="","",IFERROR(INDEX(CONTRATOS!$F$2:$F$601,MATCH($A397,CONTRATOS!$A$2:$A$601,0)),""))</f>
        <v/>
      </c>
      <c r="P397" s="12">
        <f>IF($A397="","",IFERROR(INDEX(CONTRATOS!$M$2:$M$601,MATCH($A397,CONTRATOS!$A$2:$A$601,0)),""))</f>
        <v/>
      </c>
      <c r="Q397" s="12">
        <f>IF($A397="","",IF(COUNTIF(CONTRATOS!$A$2:$A$601,$A397)=0,"El contrato no existe en CONTRATOS; ","")&amp;IF($B397="","Falta sujeto; ",IF(COUNTIF(SUJETOS!$A$2:$A$601,$B397)=0,"El sujeto no existe en SUJETOS; ",""))&amp;IF($E397="","Falta porcentaje; ","")&amp;IF(N397&gt;1.0001,"Los porcentajes del contrato suman más de 100 %; ","")&amp;IF(AND($C397="Individual",$E397&lt;&gt;"",$E397&lt;&gt;1),"Individual debe ser 100 %; ","")&amp;IF(AND($C397&lt;&gt;"Individual",$C397&lt;&gt;"",$E397=1),"Consorcio o UT con 100 %: revise; ","")&amp;IF(COUNTIFS($A$2:$A$601,$A397,$B$2:$B$601,$B397)&gt;1,"Participación repetida; ","")&amp;IF(AND(IFERROR(INDEX(SUJETOS!$B$2:$B$601,MATCH($B397,SUJETOS!$A$2:$A$601,0)),"")="Persona natural",$G397=""),"Persona natural sin cargo; ",""))</f>
        <v/>
      </c>
      <c r="R397" s="12">
        <f>IF($A397="","",IFERROR(IF(LEN(INDEX(SUJETOS!$F$2:$F$601,MATCH($B397,SUJETOS!$A$2:$A$601,0)))&gt;0,INDEX(SUJETOS!$F$2:$F$601,MATCH($B397,SUJETOS!$A$2:$A$601,0)),$B397),$B397))</f>
        <v/>
      </c>
    </row>
    <row r="398">
      <c r="E398" s="18" t="n"/>
      <c r="K398" s="13">
        <f>IF(OR($A398="",$E398=""),"",IFERROR(E398*INDEX(CONTRATOS!$P$2:$P$601,MATCH($A398,CONTRATOS!$A$2:$A$601,0)),""))</f>
        <v/>
      </c>
      <c r="L398" s="17">
        <f>IF(OR($A398="",$E398=""),"",IFERROR(E398*INDEX(CONTRATOS!$Z$2:$Z$601,MATCH($A398,CONTRATOS!$A$2:$A$601,0)),""))</f>
        <v/>
      </c>
      <c r="M398" s="13">
        <f>IF(OR($A398="",$E398=""),"",IFERROR(E398*INDEX(CONTRATOS!$AA$2:$AA$601,MATCH($A398,CONTRATOS!$A$2:$A$601,0)),""))</f>
        <v/>
      </c>
      <c r="N398" s="19">
        <f>IF($A398="","",SUMIFS($E$2:$E$601,$A$2:$A$601,$A398))</f>
        <v/>
      </c>
      <c r="O398" s="12">
        <f>IF($A398="","",IFERROR(INDEX(CONTRATOS!$F$2:$F$601,MATCH($A398,CONTRATOS!$A$2:$A$601,0)),""))</f>
        <v/>
      </c>
      <c r="P398" s="12">
        <f>IF($A398="","",IFERROR(INDEX(CONTRATOS!$M$2:$M$601,MATCH($A398,CONTRATOS!$A$2:$A$601,0)),""))</f>
        <v/>
      </c>
      <c r="Q398" s="12">
        <f>IF($A398="","",IF(COUNTIF(CONTRATOS!$A$2:$A$601,$A398)=0,"El contrato no existe en CONTRATOS; ","")&amp;IF($B398="","Falta sujeto; ",IF(COUNTIF(SUJETOS!$A$2:$A$601,$B398)=0,"El sujeto no existe en SUJETOS; ",""))&amp;IF($E398="","Falta porcentaje; ","")&amp;IF(N398&gt;1.0001,"Los porcentajes del contrato suman más de 100 %; ","")&amp;IF(AND($C398="Individual",$E398&lt;&gt;"",$E398&lt;&gt;1),"Individual debe ser 100 %; ","")&amp;IF(AND($C398&lt;&gt;"Individual",$C398&lt;&gt;"",$E398=1),"Consorcio o UT con 100 %: revise; ","")&amp;IF(COUNTIFS($A$2:$A$601,$A398,$B$2:$B$601,$B398)&gt;1,"Participación repetida; ","")&amp;IF(AND(IFERROR(INDEX(SUJETOS!$B$2:$B$601,MATCH($B398,SUJETOS!$A$2:$A$601,0)),"")="Persona natural",$G398=""),"Persona natural sin cargo; ",""))</f>
        <v/>
      </c>
      <c r="R398" s="12">
        <f>IF($A398="","",IFERROR(IF(LEN(INDEX(SUJETOS!$F$2:$F$601,MATCH($B398,SUJETOS!$A$2:$A$601,0)))&gt;0,INDEX(SUJETOS!$F$2:$F$601,MATCH($B398,SUJETOS!$A$2:$A$601,0)),$B398),$B398))</f>
        <v/>
      </c>
    </row>
    <row r="399">
      <c r="E399" s="18" t="n"/>
      <c r="K399" s="13">
        <f>IF(OR($A399="",$E399=""),"",IFERROR(E399*INDEX(CONTRATOS!$P$2:$P$601,MATCH($A399,CONTRATOS!$A$2:$A$601,0)),""))</f>
        <v/>
      </c>
      <c r="L399" s="17">
        <f>IF(OR($A399="",$E399=""),"",IFERROR(E399*INDEX(CONTRATOS!$Z$2:$Z$601,MATCH($A399,CONTRATOS!$A$2:$A$601,0)),""))</f>
        <v/>
      </c>
      <c r="M399" s="13">
        <f>IF(OR($A399="",$E399=""),"",IFERROR(E399*INDEX(CONTRATOS!$AA$2:$AA$601,MATCH($A399,CONTRATOS!$A$2:$A$601,0)),""))</f>
        <v/>
      </c>
      <c r="N399" s="19">
        <f>IF($A399="","",SUMIFS($E$2:$E$601,$A$2:$A$601,$A399))</f>
        <v/>
      </c>
      <c r="O399" s="12">
        <f>IF($A399="","",IFERROR(INDEX(CONTRATOS!$F$2:$F$601,MATCH($A399,CONTRATOS!$A$2:$A$601,0)),""))</f>
        <v/>
      </c>
      <c r="P399" s="12">
        <f>IF($A399="","",IFERROR(INDEX(CONTRATOS!$M$2:$M$601,MATCH($A399,CONTRATOS!$A$2:$A$601,0)),""))</f>
        <v/>
      </c>
      <c r="Q399" s="12">
        <f>IF($A399="","",IF(COUNTIF(CONTRATOS!$A$2:$A$601,$A399)=0,"El contrato no existe en CONTRATOS; ","")&amp;IF($B399="","Falta sujeto; ",IF(COUNTIF(SUJETOS!$A$2:$A$601,$B399)=0,"El sujeto no existe en SUJETOS; ",""))&amp;IF($E399="","Falta porcentaje; ","")&amp;IF(N399&gt;1.0001,"Los porcentajes del contrato suman más de 100 %; ","")&amp;IF(AND($C399="Individual",$E399&lt;&gt;"",$E399&lt;&gt;1),"Individual debe ser 100 %; ","")&amp;IF(AND($C399&lt;&gt;"Individual",$C399&lt;&gt;"",$E399=1),"Consorcio o UT con 100 %: revise; ","")&amp;IF(COUNTIFS($A$2:$A$601,$A399,$B$2:$B$601,$B399)&gt;1,"Participación repetida; ","")&amp;IF(AND(IFERROR(INDEX(SUJETOS!$B$2:$B$601,MATCH($B399,SUJETOS!$A$2:$A$601,0)),"")="Persona natural",$G399=""),"Persona natural sin cargo; ",""))</f>
        <v/>
      </c>
      <c r="R399" s="12">
        <f>IF($A399="","",IFERROR(IF(LEN(INDEX(SUJETOS!$F$2:$F$601,MATCH($B399,SUJETOS!$A$2:$A$601,0)))&gt;0,INDEX(SUJETOS!$F$2:$F$601,MATCH($B399,SUJETOS!$A$2:$A$601,0)),$B399),$B399))</f>
        <v/>
      </c>
    </row>
    <row r="400">
      <c r="E400" s="18" t="n"/>
      <c r="K400" s="13">
        <f>IF(OR($A400="",$E400=""),"",IFERROR(E400*INDEX(CONTRATOS!$P$2:$P$601,MATCH($A400,CONTRATOS!$A$2:$A$601,0)),""))</f>
        <v/>
      </c>
      <c r="L400" s="17">
        <f>IF(OR($A400="",$E400=""),"",IFERROR(E400*INDEX(CONTRATOS!$Z$2:$Z$601,MATCH($A400,CONTRATOS!$A$2:$A$601,0)),""))</f>
        <v/>
      </c>
      <c r="M400" s="13">
        <f>IF(OR($A400="",$E400=""),"",IFERROR(E400*INDEX(CONTRATOS!$AA$2:$AA$601,MATCH($A400,CONTRATOS!$A$2:$A$601,0)),""))</f>
        <v/>
      </c>
      <c r="N400" s="19">
        <f>IF($A400="","",SUMIFS($E$2:$E$601,$A$2:$A$601,$A400))</f>
        <v/>
      </c>
      <c r="O400" s="12">
        <f>IF($A400="","",IFERROR(INDEX(CONTRATOS!$F$2:$F$601,MATCH($A400,CONTRATOS!$A$2:$A$601,0)),""))</f>
        <v/>
      </c>
      <c r="P400" s="12">
        <f>IF($A400="","",IFERROR(INDEX(CONTRATOS!$M$2:$M$601,MATCH($A400,CONTRATOS!$A$2:$A$601,0)),""))</f>
        <v/>
      </c>
      <c r="Q400" s="12">
        <f>IF($A400="","",IF(COUNTIF(CONTRATOS!$A$2:$A$601,$A400)=0,"El contrato no existe en CONTRATOS; ","")&amp;IF($B400="","Falta sujeto; ",IF(COUNTIF(SUJETOS!$A$2:$A$601,$B400)=0,"El sujeto no existe en SUJETOS; ",""))&amp;IF($E400="","Falta porcentaje; ","")&amp;IF(N400&gt;1.0001,"Los porcentajes del contrato suman más de 100 %; ","")&amp;IF(AND($C400="Individual",$E400&lt;&gt;"",$E400&lt;&gt;1),"Individual debe ser 100 %; ","")&amp;IF(AND($C400&lt;&gt;"Individual",$C400&lt;&gt;"",$E400=1),"Consorcio o UT con 100 %: revise; ","")&amp;IF(COUNTIFS($A$2:$A$601,$A400,$B$2:$B$601,$B400)&gt;1,"Participación repetida; ","")&amp;IF(AND(IFERROR(INDEX(SUJETOS!$B$2:$B$601,MATCH($B400,SUJETOS!$A$2:$A$601,0)),"")="Persona natural",$G400=""),"Persona natural sin cargo; ",""))</f>
        <v/>
      </c>
      <c r="R400" s="12">
        <f>IF($A400="","",IFERROR(IF(LEN(INDEX(SUJETOS!$F$2:$F$601,MATCH($B400,SUJETOS!$A$2:$A$601,0)))&gt;0,INDEX(SUJETOS!$F$2:$F$601,MATCH($B400,SUJETOS!$A$2:$A$601,0)),$B400),$B400))</f>
        <v/>
      </c>
    </row>
    <row r="401">
      <c r="E401" s="18" t="n"/>
      <c r="K401" s="13">
        <f>IF(OR($A401="",$E401=""),"",IFERROR(E401*INDEX(CONTRATOS!$P$2:$P$601,MATCH($A401,CONTRATOS!$A$2:$A$601,0)),""))</f>
        <v/>
      </c>
      <c r="L401" s="17">
        <f>IF(OR($A401="",$E401=""),"",IFERROR(E401*INDEX(CONTRATOS!$Z$2:$Z$601,MATCH($A401,CONTRATOS!$A$2:$A$601,0)),""))</f>
        <v/>
      </c>
      <c r="M401" s="13">
        <f>IF(OR($A401="",$E401=""),"",IFERROR(E401*INDEX(CONTRATOS!$AA$2:$AA$601,MATCH($A401,CONTRATOS!$A$2:$A$601,0)),""))</f>
        <v/>
      </c>
      <c r="N401" s="19">
        <f>IF($A401="","",SUMIFS($E$2:$E$601,$A$2:$A$601,$A401))</f>
        <v/>
      </c>
      <c r="O401" s="12">
        <f>IF($A401="","",IFERROR(INDEX(CONTRATOS!$F$2:$F$601,MATCH($A401,CONTRATOS!$A$2:$A$601,0)),""))</f>
        <v/>
      </c>
      <c r="P401" s="12">
        <f>IF($A401="","",IFERROR(INDEX(CONTRATOS!$M$2:$M$601,MATCH($A401,CONTRATOS!$A$2:$A$601,0)),""))</f>
        <v/>
      </c>
      <c r="Q401" s="12">
        <f>IF($A401="","",IF(COUNTIF(CONTRATOS!$A$2:$A$601,$A401)=0,"El contrato no existe en CONTRATOS; ","")&amp;IF($B401="","Falta sujeto; ",IF(COUNTIF(SUJETOS!$A$2:$A$601,$B401)=0,"El sujeto no existe en SUJETOS; ",""))&amp;IF($E401="","Falta porcentaje; ","")&amp;IF(N401&gt;1.0001,"Los porcentajes del contrato suman más de 100 %; ","")&amp;IF(AND($C401="Individual",$E401&lt;&gt;"",$E401&lt;&gt;1),"Individual debe ser 100 %; ","")&amp;IF(AND($C401&lt;&gt;"Individual",$C401&lt;&gt;"",$E401=1),"Consorcio o UT con 100 %: revise; ","")&amp;IF(COUNTIFS($A$2:$A$601,$A401,$B$2:$B$601,$B401)&gt;1,"Participación repetida; ","")&amp;IF(AND(IFERROR(INDEX(SUJETOS!$B$2:$B$601,MATCH($B401,SUJETOS!$A$2:$A$601,0)),"")="Persona natural",$G401=""),"Persona natural sin cargo; ",""))</f>
        <v/>
      </c>
      <c r="R401" s="12">
        <f>IF($A401="","",IFERROR(IF(LEN(INDEX(SUJETOS!$F$2:$F$601,MATCH($B401,SUJETOS!$A$2:$A$601,0)))&gt;0,INDEX(SUJETOS!$F$2:$F$601,MATCH($B401,SUJETOS!$A$2:$A$601,0)),$B401),$B401))</f>
        <v/>
      </c>
    </row>
    <row r="402">
      <c r="E402" s="18" t="n"/>
      <c r="K402" s="13">
        <f>IF(OR($A402="",$E402=""),"",IFERROR(E402*INDEX(CONTRATOS!$P$2:$P$601,MATCH($A402,CONTRATOS!$A$2:$A$601,0)),""))</f>
        <v/>
      </c>
      <c r="L402" s="17">
        <f>IF(OR($A402="",$E402=""),"",IFERROR(E402*INDEX(CONTRATOS!$Z$2:$Z$601,MATCH($A402,CONTRATOS!$A$2:$A$601,0)),""))</f>
        <v/>
      </c>
      <c r="M402" s="13">
        <f>IF(OR($A402="",$E402=""),"",IFERROR(E402*INDEX(CONTRATOS!$AA$2:$AA$601,MATCH($A402,CONTRATOS!$A$2:$A$601,0)),""))</f>
        <v/>
      </c>
      <c r="N402" s="19">
        <f>IF($A402="","",SUMIFS($E$2:$E$601,$A$2:$A$601,$A402))</f>
        <v/>
      </c>
      <c r="O402" s="12">
        <f>IF($A402="","",IFERROR(INDEX(CONTRATOS!$F$2:$F$601,MATCH($A402,CONTRATOS!$A$2:$A$601,0)),""))</f>
        <v/>
      </c>
      <c r="P402" s="12">
        <f>IF($A402="","",IFERROR(INDEX(CONTRATOS!$M$2:$M$601,MATCH($A402,CONTRATOS!$A$2:$A$601,0)),""))</f>
        <v/>
      </c>
      <c r="Q402" s="12">
        <f>IF($A402="","",IF(COUNTIF(CONTRATOS!$A$2:$A$601,$A402)=0,"El contrato no existe en CONTRATOS; ","")&amp;IF($B402="","Falta sujeto; ",IF(COUNTIF(SUJETOS!$A$2:$A$601,$B402)=0,"El sujeto no existe en SUJETOS; ",""))&amp;IF($E402="","Falta porcentaje; ","")&amp;IF(N402&gt;1.0001,"Los porcentajes del contrato suman más de 100 %; ","")&amp;IF(AND($C402="Individual",$E402&lt;&gt;"",$E402&lt;&gt;1),"Individual debe ser 100 %; ","")&amp;IF(AND($C402&lt;&gt;"Individual",$C402&lt;&gt;"",$E402=1),"Consorcio o UT con 100 %: revise; ","")&amp;IF(COUNTIFS($A$2:$A$601,$A402,$B$2:$B$601,$B402)&gt;1,"Participación repetida; ","")&amp;IF(AND(IFERROR(INDEX(SUJETOS!$B$2:$B$601,MATCH($B402,SUJETOS!$A$2:$A$601,0)),"")="Persona natural",$G402=""),"Persona natural sin cargo; ",""))</f>
        <v/>
      </c>
      <c r="R402" s="12">
        <f>IF($A402="","",IFERROR(IF(LEN(INDEX(SUJETOS!$F$2:$F$601,MATCH($B402,SUJETOS!$A$2:$A$601,0)))&gt;0,INDEX(SUJETOS!$F$2:$F$601,MATCH($B402,SUJETOS!$A$2:$A$601,0)),$B402),$B402))</f>
        <v/>
      </c>
    </row>
    <row r="403">
      <c r="E403" s="18" t="n"/>
      <c r="K403" s="13">
        <f>IF(OR($A403="",$E403=""),"",IFERROR(E403*INDEX(CONTRATOS!$P$2:$P$601,MATCH($A403,CONTRATOS!$A$2:$A$601,0)),""))</f>
        <v/>
      </c>
      <c r="L403" s="17">
        <f>IF(OR($A403="",$E403=""),"",IFERROR(E403*INDEX(CONTRATOS!$Z$2:$Z$601,MATCH($A403,CONTRATOS!$A$2:$A$601,0)),""))</f>
        <v/>
      </c>
      <c r="M403" s="13">
        <f>IF(OR($A403="",$E403=""),"",IFERROR(E403*INDEX(CONTRATOS!$AA$2:$AA$601,MATCH($A403,CONTRATOS!$A$2:$A$601,0)),""))</f>
        <v/>
      </c>
      <c r="N403" s="19">
        <f>IF($A403="","",SUMIFS($E$2:$E$601,$A$2:$A$601,$A403))</f>
        <v/>
      </c>
      <c r="O403" s="12">
        <f>IF($A403="","",IFERROR(INDEX(CONTRATOS!$F$2:$F$601,MATCH($A403,CONTRATOS!$A$2:$A$601,0)),""))</f>
        <v/>
      </c>
      <c r="P403" s="12">
        <f>IF($A403="","",IFERROR(INDEX(CONTRATOS!$M$2:$M$601,MATCH($A403,CONTRATOS!$A$2:$A$601,0)),""))</f>
        <v/>
      </c>
      <c r="Q403" s="12">
        <f>IF($A403="","",IF(COUNTIF(CONTRATOS!$A$2:$A$601,$A403)=0,"El contrato no existe en CONTRATOS; ","")&amp;IF($B403="","Falta sujeto; ",IF(COUNTIF(SUJETOS!$A$2:$A$601,$B403)=0,"El sujeto no existe en SUJETOS; ",""))&amp;IF($E403="","Falta porcentaje; ","")&amp;IF(N403&gt;1.0001,"Los porcentajes del contrato suman más de 100 %; ","")&amp;IF(AND($C403="Individual",$E403&lt;&gt;"",$E403&lt;&gt;1),"Individual debe ser 100 %; ","")&amp;IF(AND($C403&lt;&gt;"Individual",$C403&lt;&gt;"",$E403=1),"Consorcio o UT con 100 %: revise; ","")&amp;IF(COUNTIFS($A$2:$A$601,$A403,$B$2:$B$601,$B403)&gt;1,"Participación repetida; ","")&amp;IF(AND(IFERROR(INDEX(SUJETOS!$B$2:$B$601,MATCH($B403,SUJETOS!$A$2:$A$601,0)),"")="Persona natural",$G403=""),"Persona natural sin cargo; ",""))</f>
        <v/>
      </c>
      <c r="R403" s="12">
        <f>IF($A403="","",IFERROR(IF(LEN(INDEX(SUJETOS!$F$2:$F$601,MATCH($B403,SUJETOS!$A$2:$A$601,0)))&gt;0,INDEX(SUJETOS!$F$2:$F$601,MATCH($B403,SUJETOS!$A$2:$A$601,0)),$B403),$B403))</f>
        <v/>
      </c>
    </row>
    <row r="404">
      <c r="E404" s="18" t="n"/>
      <c r="K404" s="13">
        <f>IF(OR($A404="",$E404=""),"",IFERROR(E404*INDEX(CONTRATOS!$P$2:$P$601,MATCH($A404,CONTRATOS!$A$2:$A$601,0)),""))</f>
        <v/>
      </c>
      <c r="L404" s="17">
        <f>IF(OR($A404="",$E404=""),"",IFERROR(E404*INDEX(CONTRATOS!$Z$2:$Z$601,MATCH($A404,CONTRATOS!$A$2:$A$601,0)),""))</f>
        <v/>
      </c>
      <c r="M404" s="13">
        <f>IF(OR($A404="",$E404=""),"",IFERROR(E404*INDEX(CONTRATOS!$AA$2:$AA$601,MATCH($A404,CONTRATOS!$A$2:$A$601,0)),""))</f>
        <v/>
      </c>
      <c r="N404" s="19">
        <f>IF($A404="","",SUMIFS($E$2:$E$601,$A$2:$A$601,$A404))</f>
        <v/>
      </c>
      <c r="O404" s="12">
        <f>IF($A404="","",IFERROR(INDEX(CONTRATOS!$F$2:$F$601,MATCH($A404,CONTRATOS!$A$2:$A$601,0)),""))</f>
        <v/>
      </c>
      <c r="P404" s="12">
        <f>IF($A404="","",IFERROR(INDEX(CONTRATOS!$M$2:$M$601,MATCH($A404,CONTRATOS!$A$2:$A$601,0)),""))</f>
        <v/>
      </c>
      <c r="Q404" s="12">
        <f>IF($A404="","",IF(COUNTIF(CONTRATOS!$A$2:$A$601,$A404)=0,"El contrato no existe en CONTRATOS; ","")&amp;IF($B404="","Falta sujeto; ",IF(COUNTIF(SUJETOS!$A$2:$A$601,$B404)=0,"El sujeto no existe en SUJETOS; ",""))&amp;IF($E404="","Falta porcentaje; ","")&amp;IF(N404&gt;1.0001,"Los porcentajes del contrato suman más de 100 %; ","")&amp;IF(AND($C404="Individual",$E404&lt;&gt;"",$E404&lt;&gt;1),"Individual debe ser 100 %; ","")&amp;IF(AND($C404&lt;&gt;"Individual",$C404&lt;&gt;"",$E404=1),"Consorcio o UT con 100 %: revise; ","")&amp;IF(COUNTIFS($A$2:$A$601,$A404,$B$2:$B$601,$B404)&gt;1,"Participación repetida; ","")&amp;IF(AND(IFERROR(INDEX(SUJETOS!$B$2:$B$601,MATCH($B404,SUJETOS!$A$2:$A$601,0)),"")="Persona natural",$G404=""),"Persona natural sin cargo; ",""))</f>
        <v/>
      </c>
      <c r="R404" s="12">
        <f>IF($A404="","",IFERROR(IF(LEN(INDEX(SUJETOS!$F$2:$F$601,MATCH($B404,SUJETOS!$A$2:$A$601,0)))&gt;0,INDEX(SUJETOS!$F$2:$F$601,MATCH($B404,SUJETOS!$A$2:$A$601,0)),$B404),$B404))</f>
        <v/>
      </c>
    </row>
    <row r="405">
      <c r="E405" s="18" t="n"/>
      <c r="K405" s="13">
        <f>IF(OR($A405="",$E405=""),"",IFERROR(E405*INDEX(CONTRATOS!$P$2:$P$601,MATCH($A405,CONTRATOS!$A$2:$A$601,0)),""))</f>
        <v/>
      </c>
      <c r="L405" s="17">
        <f>IF(OR($A405="",$E405=""),"",IFERROR(E405*INDEX(CONTRATOS!$Z$2:$Z$601,MATCH($A405,CONTRATOS!$A$2:$A$601,0)),""))</f>
        <v/>
      </c>
      <c r="M405" s="13">
        <f>IF(OR($A405="",$E405=""),"",IFERROR(E405*INDEX(CONTRATOS!$AA$2:$AA$601,MATCH($A405,CONTRATOS!$A$2:$A$601,0)),""))</f>
        <v/>
      </c>
      <c r="N405" s="19">
        <f>IF($A405="","",SUMIFS($E$2:$E$601,$A$2:$A$601,$A405))</f>
        <v/>
      </c>
      <c r="O405" s="12">
        <f>IF($A405="","",IFERROR(INDEX(CONTRATOS!$F$2:$F$601,MATCH($A405,CONTRATOS!$A$2:$A$601,0)),""))</f>
        <v/>
      </c>
      <c r="P405" s="12">
        <f>IF($A405="","",IFERROR(INDEX(CONTRATOS!$M$2:$M$601,MATCH($A405,CONTRATOS!$A$2:$A$601,0)),""))</f>
        <v/>
      </c>
      <c r="Q405" s="12">
        <f>IF($A405="","",IF(COUNTIF(CONTRATOS!$A$2:$A$601,$A405)=0,"El contrato no existe en CONTRATOS; ","")&amp;IF($B405="","Falta sujeto; ",IF(COUNTIF(SUJETOS!$A$2:$A$601,$B405)=0,"El sujeto no existe en SUJETOS; ",""))&amp;IF($E405="","Falta porcentaje; ","")&amp;IF(N405&gt;1.0001,"Los porcentajes del contrato suman más de 100 %; ","")&amp;IF(AND($C405="Individual",$E405&lt;&gt;"",$E405&lt;&gt;1),"Individual debe ser 100 %; ","")&amp;IF(AND($C405&lt;&gt;"Individual",$C405&lt;&gt;"",$E405=1),"Consorcio o UT con 100 %: revise; ","")&amp;IF(COUNTIFS($A$2:$A$601,$A405,$B$2:$B$601,$B405)&gt;1,"Participación repetida; ","")&amp;IF(AND(IFERROR(INDEX(SUJETOS!$B$2:$B$601,MATCH($B405,SUJETOS!$A$2:$A$601,0)),"")="Persona natural",$G405=""),"Persona natural sin cargo; ",""))</f>
        <v/>
      </c>
      <c r="R405" s="12">
        <f>IF($A405="","",IFERROR(IF(LEN(INDEX(SUJETOS!$F$2:$F$601,MATCH($B405,SUJETOS!$A$2:$A$601,0)))&gt;0,INDEX(SUJETOS!$F$2:$F$601,MATCH($B405,SUJETOS!$A$2:$A$601,0)),$B405),$B405))</f>
        <v/>
      </c>
    </row>
    <row r="406">
      <c r="E406" s="18" t="n"/>
      <c r="K406" s="13">
        <f>IF(OR($A406="",$E406=""),"",IFERROR(E406*INDEX(CONTRATOS!$P$2:$P$601,MATCH($A406,CONTRATOS!$A$2:$A$601,0)),""))</f>
        <v/>
      </c>
      <c r="L406" s="17">
        <f>IF(OR($A406="",$E406=""),"",IFERROR(E406*INDEX(CONTRATOS!$Z$2:$Z$601,MATCH($A406,CONTRATOS!$A$2:$A$601,0)),""))</f>
        <v/>
      </c>
      <c r="M406" s="13">
        <f>IF(OR($A406="",$E406=""),"",IFERROR(E406*INDEX(CONTRATOS!$AA$2:$AA$601,MATCH($A406,CONTRATOS!$A$2:$A$601,0)),""))</f>
        <v/>
      </c>
      <c r="N406" s="19">
        <f>IF($A406="","",SUMIFS($E$2:$E$601,$A$2:$A$601,$A406))</f>
        <v/>
      </c>
      <c r="O406" s="12">
        <f>IF($A406="","",IFERROR(INDEX(CONTRATOS!$F$2:$F$601,MATCH($A406,CONTRATOS!$A$2:$A$601,0)),""))</f>
        <v/>
      </c>
      <c r="P406" s="12">
        <f>IF($A406="","",IFERROR(INDEX(CONTRATOS!$M$2:$M$601,MATCH($A406,CONTRATOS!$A$2:$A$601,0)),""))</f>
        <v/>
      </c>
      <c r="Q406" s="12">
        <f>IF($A406="","",IF(COUNTIF(CONTRATOS!$A$2:$A$601,$A406)=0,"El contrato no existe en CONTRATOS; ","")&amp;IF($B406="","Falta sujeto; ",IF(COUNTIF(SUJETOS!$A$2:$A$601,$B406)=0,"El sujeto no existe en SUJETOS; ",""))&amp;IF($E406="","Falta porcentaje; ","")&amp;IF(N406&gt;1.0001,"Los porcentajes del contrato suman más de 100 %; ","")&amp;IF(AND($C406="Individual",$E406&lt;&gt;"",$E406&lt;&gt;1),"Individual debe ser 100 %; ","")&amp;IF(AND($C406&lt;&gt;"Individual",$C406&lt;&gt;"",$E406=1),"Consorcio o UT con 100 %: revise; ","")&amp;IF(COUNTIFS($A$2:$A$601,$A406,$B$2:$B$601,$B406)&gt;1,"Participación repetida; ","")&amp;IF(AND(IFERROR(INDEX(SUJETOS!$B$2:$B$601,MATCH($B406,SUJETOS!$A$2:$A$601,0)),"")="Persona natural",$G406=""),"Persona natural sin cargo; ",""))</f>
        <v/>
      </c>
      <c r="R406" s="12">
        <f>IF($A406="","",IFERROR(IF(LEN(INDEX(SUJETOS!$F$2:$F$601,MATCH($B406,SUJETOS!$A$2:$A$601,0)))&gt;0,INDEX(SUJETOS!$F$2:$F$601,MATCH($B406,SUJETOS!$A$2:$A$601,0)),$B406),$B406))</f>
        <v/>
      </c>
    </row>
    <row r="407">
      <c r="E407" s="18" t="n"/>
      <c r="K407" s="13">
        <f>IF(OR($A407="",$E407=""),"",IFERROR(E407*INDEX(CONTRATOS!$P$2:$P$601,MATCH($A407,CONTRATOS!$A$2:$A$601,0)),""))</f>
        <v/>
      </c>
      <c r="L407" s="17">
        <f>IF(OR($A407="",$E407=""),"",IFERROR(E407*INDEX(CONTRATOS!$Z$2:$Z$601,MATCH($A407,CONTRATOS!$A$2:$A$601,0)),""))</f>
        <v/>
      </c>
      <c r="M407" s="13">
        <f>IF(OR($A407="",$E407=""),"",IFERROR(E407*INDEX(CONTRATOS!$AA$2:$AA$601,MATCH($A407,CONTRATOS!$A$2:$A$601,0)),""))</f>
        <v/>
      </c>
      <c r="N407" s="19">
        <f>IF($A407="","",SUMIFS($E$2:$E$601,$A$2:$A$601,$A407))</f>
        <v/>
      </c>
      <c r="O407" s="12">
        <f>IF($A407="","",IFERROR(INDEX(CONTRATOS!$F$2:$F$601,MATCH($A407,CONTRATOS!$A$2:$A$601,0)),""))</f>
        <v/>
      </c>
      <c r="P407" s="12">
        <f>IF($A407="","",IFERROR(INDEX(CONTRATOS!$M$2:$M$601,MATCH($A407,CONTRATOS!$A$2:$A$601,0)),""))</f>
        <v/>
      </c>
      <c r="Q407" s="12">
        <f>IF($A407="","",IF(COUNTIF(CONTRATOS!$A$2:$A$601,$A407)=0,"El contrato no existe en CONTRATOS; ","")&amp;IF($B407="","Falta sujeto; ",IF(COUNTIF(SUJETOS!$A$2:$A$601,$B407)=0,"El sujeto no existe en SUJETOS; ",""))&amp;IF($E407="","Falta porcentaje; ","")&amp;IF(N407&gt;1.0001,"Los porcentajes del contrato suman más de 100 %; ","")&amp;IF(AND($C407="Individual",$E407&lt;&gt;"",$E407&lt;&gt;1),"Individual debe ser 100 %; ","")&amp;IF(AND($C407&lt;&gt;"Individual",$C407&lt;&gt;"",$E407=1),"Consorcio o UT con 100 %: revise; ","")&amp;IF(COUNTIFS($A$2:$A$601,$A407,$B$2:$B$601,$B407)&gt;1,"Participación repetida; ","")&amp;IF(AND(IFERROR(INDEX(SUJETOS!$B$2:$B$601,MATCH($B407,SUJETOS!$A$2:$A$601,0)),"")="Persona natural",$G407=""),"Persona natural sin cargo; ",""))</f>
        <v/>
      </c>
      <c r="R407" s="12">
        <f>IF($A407="","",IFERROR(IF(LEN(INDEX(SUJETOS!$F$2:$F$601,MATCH($B407,SUJETOS!$A$2:$A$601,0)))&gt;0,INDEX(SUJETOS!$F$2:$F$601,MATCH($B407,SUJETOS!$A$2:$A$601,0)),$B407),$B407))</f>
        <v/>
      </c>
    </row>
    <row r="408">
      <c r="E408" s="18" t="n"/>
      <c r="K408" s="13">
        <f>IF(OR($A408="",$E408=""),"",IFERROR(E408*INDEX(CONTRATOS!$P$2:$P$601,MATCH($A408,CONTRATOS!$A$2:$A$601,0)),""))</f>
        <v/>
      </c>
      <c r="L408" s="17">
        <f>IF(OR($A408="",$E408=""),"",IFERROR(E408*INDEX(CONTRATOS!$Z$2:$Z$601,MATCH($A408,CONTRATOS!$A$2:$A$601,0)),""))</f>
        <v/>
      </c>
      <c r="M408" s="13">
        <f>IF(OR($A408="",$E408=""),"",IFERROR(E408*INDEX(CONTRATOS!$AA$2:$AA$601,MATCH($A408,CONTRATOS!$A$2:$A$601,0)),""))</f>
        <v/>
      </c>
      <c r="N408" s="19">
        <f>IF($A408="","",SUMIFS($E$2:$E$601,$A$2:$A$601,$A408))</f>
        <v/>
      </c>
      <c r="O408" s="12">
        <f>IF($A408="","",IFERROR(INDEX(CONTRATOS!$F$2:$F$601,MATCH($A408,CONTRATOS!$A$2:$A$601,0)),""))</f>
        <v/>
      </c>
      <c r="P408" s="12">
        <f>IF($A408="","",IFERROR(INDEX(CONTRATOS!$M$2:$M$601,MATCH($A408,CONTRATOS!$A$2:$A$601,0)),""))</f>
        <v/>
      </c>
      <c r="Q408" s="12">
        <f>IF($A408="","",IF(COUNTIF(CONTRATOS!$A$2:$A$601,$A408)=0,"El contrato no existe en CONTRATOS; ","")&amp;IF($B408="","Falta sujeto; ",IF(COUNTIF(SUJETOS!$A$2:$A$601,$B408)=0,"El sujeto no existe en SUJETOS; ",""))&amp;IF($E408="","Falta porcentaje; ","")&amp;IF(N408&gt;1.0001,"Los porcentajes del contrato suman más de 100 %; ","")&amp;IF(AND($C408="Individual",$E408&lt;&gt;"",$E408&lt;&gt;1),"Individual debe ser 100 %; ","")&amp;IF(AND($C408&lt;&gt;"Individual",$C408&lt;&gt;"",$E408=1),"Consorcio o UT con 100 %: revise; ","")&amp;IF(COUNTIFS($A$2:$A$601,$A408,$B$2:$B$601,$B408)&gt;1,"Participación repetida; ","")&amp;IF(AND(IFERROR(INDEX(SUJETOS!$B$2:$B$601,MATCH($B408,SUJETOS!$A$2:$A$601,0)),"")="Persona natural",$G408=""),"Persona natural sin cargo; ",""))</f>
        <v/>
      </c>
      <c r="R408" s="12">
        <f>IF($A408="","",IFERROR(IF(LEN(INDEX(SUJETOS!$F$2:$F$601,MATCH($B408,SUJETOS!$A$2:$A$601,0)))&gt;0,INDEX(SUJETOS!$F$2:$F$601,MATCH($B408,SUJETOS!$A$2:$A$601,0)),$B408),$B408))</f>
        <v/>
      </c>
    </row>
    <row r="409">
      <c r="E409" s="18" t="n"/>
      <c r="K409" s="13">
        <f>IF(OR($A409="",$E409=""),"",IFERROR(E409*INDEX(CONTRATOS!$P$2:$P$601,MATCH($A409,CONTRATOS!$A$2:$A$601,0)),""))</f>
        <v/>
      </c>
      <c r="L409" s="17">
        <f>IF(OR($A409="",$E409=""),"",IFERROR(E409*INDEX(CONTRATOS!$Z$2:$Z$601,MATCH($A409,CONTRATOS!$A$2:$A$601,0)),""))</f>
        <v/>
      </c>
      <c r="M409" s="13">
        <f>IF(OR($A409="",$E409=""),"",IFERROR(E409*INDEX(CONTRATOS!$AA$2:$AA$601,MATCH($A409,CONTRATOS!$A$2:$A$601,0)),""))</f>
        <v/>
      </c>
      <c r="N409" s="19">
        <f>IF($A409="","",SUMIFS($E$2:$E$601,$A$2:$A$601,$A409))</f>
        <v/>
      </c>
      <c r="O409" s="12">
        <f>IF($A409="","",IFERROR(INDEX(CONTRATOS!$F$2:$F$601,MATCH($A409,CONTRATOS!$A$2:$A$601,0)),""))</f>
        <v/>
      </c>
      <c r="P409" s="12">
        <f>IF($A409="","",IFERROR(INDEX(CONTRATOS!$M$2:$M$601,MATCH($A409,CONTRATOS!$A$2:$A$601,0)),""))</f>
        <v/>
      </c>
      <c r="Q409" s="12">
        <f>IF($A409="","",IF(COUNTIF(CONTRATOS!$A$2:$A$601,$A409)=0,"El contrato no existe en CONTRATOS; ","")&amp;IF($B409="","Falta sujeto; ",IF(COUNTIF(SUJETOS!$A$2:$A$601,$B409)=0,"El sujeto no existe en SUJETOS; ",""))&amp;IF($E409="","Falta porcentaje; ","")&amp;IF(N409&gt;1.0001,"Los porcentajes del contrato suman más de 100 %; ","")&amp;IF(AND($C409="Individual",$E409&lt;&gt;"",$E409&lt;&gt;1),"Individual debe ser 100 %; ","")&amp;IF(AND($C409&lt;&gt;"Individual",$C409&lt;&gt;"",$E409=1),"Consorcio o UT con 100 %: revise; ","")&amp;IF(COUNTIFS($A$2:$A$601,$A409,$B$2:$B$601,$B409)&gt;1,"Participación repetida; ","")&amp;IF(AND(IFERROR(INDEX(SUJETOS!$B$2:$B$601,MATCH($B409,SUJETOS!$A$2:$A$601,0)),"")="Persona natural",$G409=""),"Persona natural sin cargo; ",""))</f>
        <v/>
      </c>
      <c r="R409" s="12">
        <f>IF($A409="","",IFERROR(IF(LEN(INDEX(SUJETOS!$F$2:$F$601,MATCH($B409,SUJETOS!$A$2:$A$601,0)))&gt;0,INDEX(SUJETOS!$F$2:$F$601,MATCH($B409,SUJETOS!$A$2:$A$601,0)),$B409),$B409))</f>
        <v/>
      </c>
    </row>
    <row r="410">
      <c r="E410" s="18" t="n"/>
      <c r="K410" s="13">
        <f>IF(OR($A410="",$E410=""),"",IFERROR(E410*INDEX(CONTRATOS!$P$2:$P$601,MATCH($A410,CONTRATOS!$A$2:$A$601,0)),""))</f>
        <v/>
      </c>
      <c r="L410" s="17">
        <f>IF(OR($A410="",$E410=""),"",IFERROR(E410*INDEX(CONTRATOS!$Z$2:$Z$601,MATCH($A410,CONTRATOS!$A$2:$A$601,0)),""))</f>
        <v/>
      </c>
      <c r="M410" s="13">
        <f>IF(OR($A410="",$E410=""),"",IFERROR(E410*INDEX(CONTRATOS!$AA$2:$AA$601,MATCH($A410,CONTRATOS!$A$2:$A$601,0)),""))</f>
        <v/>
      </c>
      <c r="N410" s="19">
        <f>IF($A410="","",SUMIFS($E$2:$E$601,$A$2:$A$601,$A410))</f>
        <v/>
      </c>
      <c r="O410" s="12">
        <f>IF($A410="","",IFERROR(INDEX(CONTRATOS!$F$2:$F$601,MATCH($A410,CONTRATOS!$A$2:$A$601,0)),""))</f>
        <v/>
      </c>
      <c r="P410" s="12">
        <f>IF($A410="","",IFERROR(INDEX(CONTRATOS!$M$2:$M$601,MATCH($A410,CONTRATOS!$A$2:$A$601,0)),""))</f>
        <v/>
      </c>
      <c r="Q410" s="12">
        <f>IF($A410="","",IF(COUNTIF(CONTRATOS!$A$2:$A$601,$A410)=0,"El contrato no existe en CONTRATOS; ","")&amp;IF($B410="","Falta sujeto; ",IF(COUNTIF(SUJETOS!$A$2:$A$601,$B410)=0,"El sujeto no existe en SUJETOS; ",""))&amp;IF($E410="","Falta porcentaje; ","")&amp;IF(N410&gt;1.0001,"Los porcentajes del contrato suman más de 100 %; ","")&amp;IF(AND($C410="Individual",$E410&lt;&gt;"",$E410&lt;&gt;1),"Individual debe ser 100 %; ","")&amp;IF(AND($C410&lt;&gt;"Individual",$C410&lt;&gt;"",$E410=1),"Consorcio o UT con 100 %: revise; ","")&amp;IF(COUNTIFS($A$2:$A$601,$A410,$B$2:$B$601,$B410)&gt;1,"Participación repetida; ","")&amp;IF(AND(IFERROR(INDEX(SUJETOS!$B$2:$B$601,MATCH($B410,SUJETOS!$A$2:$A$601,0)),"")="Persona natural",$G410=""),"Persona natural sin cargo; ",""))</f>
        <v/>
      </c>
      <c r="R410" s="12">
        <f>IF($A410="","",IFERROR(IF(LEN(INDEX(SUJETOS!$F$2:$F$601,MATCH($B410,SUJETOS!$A$2:$A$601,0)))&gt;0,INDEX(SUJETOS!$F$2:$F$601,MATCH($B410,SUJETOS!$A$2:$A$601,0)),$B410),$B410))</f>
        <v/>
      </c>
    </row>
    <row r="411">
      <c r="E411" s="18" t="n"/>
      <c r="K411" s="13">
        <f>IF(OR($A411="",$E411=""),"",IFERROR(E411*INDEX(CONTRATOS!$P$2:$P$601,MATCH($A411,CONTRATOS!$A$2:$A$601,0)),""))</f>
        <v/>
      </c>
      <c r="L411" s="17">
        <f>IF(OR($A411="",$E411=""),"",IFERROR(E411*INDEX(CONTRATOS!$Z$2:$Z$601,MATCH($A411,CONTRATOS!$A$2:$A$601,0)),""))</f>
        <v/>
      </c>
      <c r="M411" s="13">
        <f>IF(OR($A411="",$E411=""),"",IFERROR(E411*INDEX(CONTRATOS!$AA$2:$AA$601,MATCH($A411,CONTRATOS!$A$2:$A$601,0)),""))</f>
        <v/>
      </c>
      <c r="N411" s="19">
        <f>IF($A411="","",SUMIFS($E$2:$E$601,$A$2:$A$601,$A411))</f>
        <v/>
      </c>
      <c r="O411" s="12">
        <f>IF($A411="","",IFERROR(INDEX(CONTRATOS!$F$2:$F$601,MATCH($A411,CONTRATOS!$A$2:$A$601,0)),""))</f>
        <v/>
      </c>
      <c r="P411" s="12">
        <f>IF($A411="","",IFERROR(INDEX(CONTRATOS!$M$2:$M$601,MATCH($A411,CONTRATOS!$A$2:$A$601,0)),""))</f>
        <v/>
      </c>
      <c r="Q411" s="12">
        <f>IF($A411="","",IF(COUNTIF(CONTRATOS!$A$2:$A$601,$A411)=0,"El contrato no existe en CONTRATOS; ","")&amp;IF($B411="","Falta sujeto; ",IF(COUNTIF(SUJETOS!$A$2:$A$601,$B411)=0,"El sujeto no existe en SUJETOS; ",""))&amp;IF($E411="","Falta porcentaje; ","")&amp;IF(N411&gt;1.0001,"Los porcentajes del contrato suman más de 100 %; ","")&amp;IF(AND($C411="Individual",$E411&lt;&gt;"",$E411&lt;&gt;1),"Individual debe ser 100 %; ","")&amp;IF(AND($C411&lt;&gt;"Individual",$C411&lt;&gt;"",$E411=1),"Consorcio o UT con 100 %: revise; ","")&amp;IF(COUNTIFS($A$2:$A$601,$A411,$B$2:$B$601,$B411)&gt;1,"Participación repetida; ","")&amp;IF(AND(IFERROR(INDEX(SUJETOS!$B$2:$B$601,MATCH($B411,SUJETOS!$A$2:$A$601,0)),"")="Persona natural",$G411=""),"Persona natural sin cargo; ",""))</f>
        <v/>
      </c>
      <c r="R411" s="12">
        <f>IF($A411="","",IFERROR(IF(LEN(INDEX(SUJETOS!$F$2:$F$601,MATCH($B411,SUJETOS!$A$2:$A$601,0)))&gt;0,INDEX(SUJETOS!$F$2:$F$601,MATCH($B411,SUJETOS!$A$2:$A$601,0)),$B411),$B411))</f>
        <v/>
      </c>
    </row>
    <row r="412">
      <c r="E412" s="18" t="n"/>
      <c r="K412" s="13">
        <f>IF(OR($A412="",$E412=""),"",IFERROR(E412*INDEX(CONTRATOS!$P$2:$P$601,MATCH($A412,CONTRATOS!$A$2:$A$601,0)),""))</f>
        <v/>
      </c>
      <c r="L412" s="17">
        <f>IF(OR($A412="",$E412=""),"",IFERROR(E412*INDEX(CONTRATOS!$Z$2:$Z$601,MATCH($A412,CONTRATOS!$A$2:$A$601,0)),""))</f>
        <v/>
      </c>
      <c r="M412" s="13">
        <f>IF(OR($A412="",$E412=""),"",IFERROR(E412*INDEX(CONTRATOS!$AA$2:$AA$601,MATCH($A412,CONTRATOS!$A$2:$A$601,0)),""))</f>
        <v/>
      </c>
      <c r="N412" s="19">
        <f>IF($A412="","",SUMIFS($E$2:$E$601,$A$2:$A$601,$A412))</f>
        <v/>
      </c>
      <c r="O412" s="12">
        <f>IF($A412="","",IFERROR(INDEX(CONTRATOS!$F$2:$F$601,MATCH($A412,CONTRATOS!$A$2:$A$601,0)),""))</f>
        <v/>
      </c>
      <c r="P412" s="12">
        <f>IF($A412="","",IFERROR(INDEX(CONTRATOS!$M$2:$M$601,MATCH($A412,CONTRATOS!$A$2:$A$601,0)),""))</f>
        <v/>
      </c>
      <c r="Q412" s="12">
        <f>IF($A412="","",IF(COUNTIF(CONTRATOS!$A$2:$A$601,$A412)=0,"El contrato no existe en CONTRATOS; ","")&amp;IF($B412="","Falta sujeto; ",IF(COUNTIF(SUJETOS!$A$2:$A$601,$B412)=0,"El sujeto no existe en SUJETOS; ",""))&amp;IF($E412="","Falta porcentaje; ","")&amp;IF(N412&gt;1.0001,"Los porcentajes del contrato suman más de 100 %; ","")&amp;IF(AND($C412="Individual",$E412&lt;&gt;"",$E412&lt;&gt;1),"Individual debe ser 100 %; ","")&amp;IF(AND($C412&lt;&gt;"Individual",$C412&lt;&gt;"",$E412=1),"Consorcio o UT con 100 %: revise; ","")&amp;IF(COUNTIFS($A$2:$A$601,$A412,$B$2:$B$601,$B412)&gt;1,"Participación repetida; ","")&amp;IF(AND(IFERROR(INDEX(SUJETOS!$B$2:$B$601,MATCH($B412,SUJETOS!$A$2:$A$601,0)),"")="Persona natural",$G412=""),"Persona natural sin cargo; ",""))</f>
        <v/>
      </c>
      <c r="R412" s="12">
        <f>IF($A412="","",IFERROR(IF(LEN(INDEX(SUJETOS!$F$2:$F$601,MATCH($B412,SUJETOS!$A$2:$A$601,0)))&gt;0,INDEX(SUJETOS!$F$2:$F$601,MATCH($B412,SUJETOS!$A$2:$A$601,0)),$B412),$B412))</f>
        <v/>
      </c>
    </row>
    <row r="413">
      <c r="E413" s="18" t="n"/>
      <c r="K413" s="13">
        <f>IF(OR($A413="",$E413=""),"",IFERROR(E413*INDEX(CONTRATOS!$P$2:$P$601,MATCH($A413,CONTRATOS!$A$2:$A$601,0)),""))</f>
        <v/>
      </c>
      <c r="L413" s="17">
        <f>IF(OR($A413="",$E413=""),"",IFERROR(E413*INDEX(CONTRATOS!$Z$2:$Z$601,MATCH($A413,CONTRATOS!$A$2:$A$601,0)),""))</f>
        <v/>
      </c>
      <c r="M413" s="13">
        <f>IF(OR($A413="",$E413=""),"",IFERROR(E413*INDEX(CONTRATOS!$AA$2:$AA$601,MATCH($A413,CONTRATOS!$A$2:$A$601,0)),""))</f>
        <v/>
      </c>
      <c r="N413" s="19">
        <f>IF($A413="","",SUMIFS($E$2:$E$601,$A$2:$A$601,$A413))</f>
        <v/>
      </c>
      <c r="O413" s="12">
        <f>IF($A413="","",IFERROR(INDEX(CONTRATOS!$F$2:$F$601,MATCH($A413,CONTRATOS!$A$2:$A$601,0)),""))</f>
        <v/>
      </c>
      <c r="P413" s="12">
        <f>IF($A413="","",IFERROR(INDEX(CONTRATOS!$M$2:$M$601,MATCH($A413,CONTRATOS!$A$2:$A$601,0)),""))</f>
        <v/>
      </c>
      <c r="Q413" s="12">
        <f>IF($A413="","",IF(COUNTIF(CONTRATOS!$A$2:$A$601,$A413)=0,"El contrato no existe en CONTRATOS; ","")&amp;IF($B413="","Falta sujeto; ",IF(COUNTIF(SUJETOS!$A$2:$A$601,$B413)=0,"El sujeto no existe en SUJETOS; ",""))&amp;IF($E413="","Falta porcentaje; ","")&amp;IF(N413&gt;1.0001,"Los porcentajes del contrato suman más de 100 %; ","")&amp;IF(AND($C413="Individual",$E413&lt;&gt;"",$E413&lt;&gt;1),"Individual debe ser 100 %; ","")&amp;IF(AND($C413&lt;&gt;"Individual",$C413&lt;&gt;"",$E413=1),"Consorcio o UT con 100 %: revise; ","")&amp;IF(COUNTIFS($A$2:$A$601,$A413,$B$2:$B$601,$B413)&gt;1,"Participación repetida; ","")&amp;IF(AND(IFERROR(INDEX(SUJETOS!$B$2:$B$601,MATCH($B413,SUJETOS!$A$2:$A$601,0)),"")="Persona natural",$G413=""),"Persona natural sin cargo; ",""))</f>
        <v/>
      </c>
      <c r="R413" s="12">
        <f>IF($A413="","",IFERROR(IF(LEN(INDEX(SUJETOS!$F$2:$F$601,MATCH($B413,SUJETOS!$A$2:$A$601,0)))&gt;0,INDEX(SUJETOS!$F$2:$F$601,MATCH($B413,SUJETOS!$A$2:$A$601,0)),$B413),$B413))</f>
        <v/>
      </c>
    </row>
    <row r="414">
      <c r="E414" s="18" t="n"/>
      <c r="K414" s="13">
        <f>IF(OR($A414="",$E414=""),"",IFERROR(E414*INDEX(CONTRATOS!$P$2:$P$601,MATCH($A414,CONTRATOS!$A$2:$A$601,0)),""))</f>
        <v/>
      </c>
      <c r="L414" s="17">
        <f>IF(OR($A414="",$E414=""),"",IFERROR(E414*INDEX(CONTRATOS!$Z$2:$Z$601,MATCH($A414,CONTRATOS!$A$2:$A$601,0)),""))</f>
        <v/>
      </c>
      <c r="M414" s="13">
        <f>IF(OR($A414="",$E414=""),"",IFERROR(E414*INDEX(CONTRATOS!$AA$2:$AA$601,MATCH($A414,CONTRATOS!$A$2:$A$601,0)),""))</f>
        <v/>
      </c>
      <c r="N414" s="19">
        <f>IF($A414="","",SUMIFS($E$2:$E$601,$A$2:$A$601,$A414))</f>
        <v/>
      </c>
      <c r="O414" s="12">
        <f>IF($A414="","",IFERROR(INDEX(CONTRATOS!$F$2:$F$601,MATCH($A414,CONTRATOS!$A$2:$A$601,0)),""))</f>
        <v/>
      </c>
      <c r="P414" s="12">
        <f>IF($A414="","",IFERROR(INDEX(CONTRATOS!$M$2:$M$601,MATCH($A414,CONTRATOS!$A$2:$A$601,0)),""))</f>
        <v/>
      </c>
      <c r="Q414" s="12">
        <f>IF($A414="","",IF(COUNTIF(CONTRATOS!$A$2:$A$601,$A414)=0,"El contrato no existe en CONTRATOS; ","")&amp;IF($B414="","Falta sujeto; ",IF(COUNTIF(SUJETOS!$A$2:$A$601,$B414)=0,"El sujeto no existe en SUJETOS; ",""))&amp;IF($E414="","Falta porcentaje; ","")&amp;IF(N414&gt;1.0001,"Los porcentajes del contrato suman más de 100 %; ","")&amp;IF(AND($C414="Individual",$E414&lt;&gt;"",$E414&lt;&gt;1),"Individual debe ser 100 %; ","")&amp;IF(AND($C414&lt;&gt;"Individual",$C414&lt;&gt;"",$E414=1),"Consorcio o UT con 100 %: revise; ","")&amp;IF(COUNTIFS($A$2:$A$601,$A414,$B$2:$B$601,$B414)&gt;1,"Participación repetida; ","")&amp;IF(AND(IFERROR(INDEX(SUJETOS!$B$2:$B$601,MATCH($B414,SUJETOS!$A$2:$A$601,0)),"")="Persona natural",$G414=""),"Persona natural sin cargo; ",""))</f>
        <v/>
      </c>
      <c r="R414" s="12">
        <f>IF($A414="","",IFERROR(IF(LEN(INDEX(SUJETOS!$F$2:$F$601,MATCH($B414,SUJETOS!$A$2:$A$601,0)))&gt;0,INDEX(SUJETOS!$F$2:$F$601,MATCH($B414,SUJETOS!$A$2:$A$601,0)),$B414),$B414))</f>
        <v/>
      </c>
    </row>
    <row r="415">
      <c r="E415" s="18" t="n"/>
      <c r="K415" s="13">
        <f>IF(OR($A415="",$E415=""),"",IFERROR(E415*INDEX(CONTRATOS!$P$2:$P$601,MATCH($A415,CONTRATOS!$A$2:$A$601,0)),""))</f>
        <v/>
      </c>
      <c r="L415" s="17">
        <f>IF(OR($A415="",$E415=""),"",IFERROR(E415*INDEX(CONTRATOS!$Z$2:$Z$601,MATCH($A415,CONTRATOS!$A$2:$A$601,0)),""))</f>
        <v/>
      </c>
      <c r="M415" s="13">
        <f>IF(OR($A415="",$E415=""),"",IFERROR(E415*INDEX(CONTRATOS!$AA$2:$AA$601,MATCH($A415,CONTRATOS!$A$2:$A$601,0)),""))</f>
        <v/>
      </c>
      <c r="N415" s="19">
        <f>IF($A415="","",SUMIFS($E$2:$E$601,$A$2:$A$601,$A415))</f>
        <v/>
      </c>
      <c r="O415" s="12">
        <f>IF($A415="","",IFERROR(INDEX(CONTRATOS!$F$2:$F$601,MATCH($A415,CONTRATOS!$A$2:$A$601,0)),""))</f>
        <v/>
      </c>
      <c r="P415" s="12">
        <f>IF($A415="","",IFERROR(INDEX(CONTRATOS!$M$2:$M$601,MATCH($A415,CONTRATOS!$A$2:$A$601,0)),""))</f>
        <v/>
      </c>
      <c r="Q415" s="12">
        <f>IF($A415="","",IF(COUNTIF(CONTRATOS!$A$2:$A$601,$A415)=0,"El contrato no existe en CONTRATOS; ","")&amp;IF($B415="","Falta sujeto; ",IF(COUNTIF(SUJETOS!$A$2:$A$601,$B415)=0,"El sujeto no existe en SUJETOS; ",""))&amp;IF($E415="","Falta porcentaje; ","")&amp;IF(N415&gt;1.0001,"Los porcentajes del contrato suman más de 100 %; ","")&amp;IF(AND($C415="Individual",$E415&lt;&gt;"",$E415&lt;&gt;1),"Individual debe ser 100 %; ","")&amp;IF(AND($C415&lt;&gt;"Individual",$C415&lt;&gt;"",$E415=1),"Consorcio o UT con 100 %: revise; ","")&amp;IF(COUNTIFS($A$2:$A$601,$A415,$B$2:$B$601,$B415)&gt;1,"Participación repetida; ","")&amp;IF(AND(IFERROR(INDEX(SUJETOS!$B$2:$B$601,MATCH($B415,SUJETOS!$A$2:$A$601,0)),"")="Persona natural",$G415=""),"Persona natural sin cargo; ",""))</f>
        <v/>
      </c>
      <c r="R415" s="12">
        <f>IF($A415="","",IFERROR(IF(LEN(INDEX(SUJETOS!$F$2:$F$601,MATCH($B415,SUJETOS!$A$2:$A$601,0)))&gt;0,INDEX(SUJETOS!$F$2:$F$601,MATCH($B415,SUJETOS!$A$2:$A$601,0)),$B415),$B415))</f>
        <v/>
      </c>
    </row>
    <row r="416">
      <c r="E416" s="18" t="n"/>
      <c r="K416" s="13">
        <f>IF(OR($A416="",$E416=""),"",IFERROR(E416*INDEX(CONTRATOS!$P$2:$P$601,MATCH($A416,CONTRATOS!$A$2:$A$601,0)),""))</f>
        <v/>
      </c>
      <c r="L416" s="17">
        <f>IF(OR($A416="",$E416=""),"",IFERROR(E416*INDEX(CONTRATOS!$Z$2:$Z$601,MATCH($A416,CONTRATOS!$A$2:$A$601,0)),""))</f>
        <v/>
      </c>
      <c r="M416" s="13">
        <f>IF(OR($A416="",$E416=""),"",IFERROR(E416*INDEX(CONTRATOS!$AA$2:$AA$601,MATCH($A416,CONTRATOS!$A$2:$A$601,0)),""))</f>
        <v/>
      </c>
      <c r="N416" s="19">
        <f>IF($A416="","",SUMIFS($E$2:$E$601,$A$2:$A$601,$A416))</f>
        <v/>
      </c>
      <c r="O416" s="12">
        <f>IF($A416="","",IFERROR(INDEX(CONTRATOS!$F$2:$F$601,MATCH($A416,CONTRATOS!$A$2:$A$601,0)),""))</f>
        <v/>
      </c>
      <c r="P416" s="12">
        <f>IF($A416="","",IFERROR(INDEX(CONTRATOS!$M$2:$M$601,MATCH($A416,CONTRATOS!$A$2:$A$601,0)),""))</f>
        <v/>
      </c>
      <c r="Q416" s="12">
        <f>IF($A416="","",IF(COUNTIF(CONTRATOS!$A$2:$A$601,$A416)=0,"El contrato no existe en CONTRATOS; ","")&amp;IF($B416="","Falta sujeto; ",IF(COUNTIF(SUJETOS!$A$2:$A$601,$B416)=0,"El sujeto no existe en SUJETOS; ",""))&amp;IF($E416="","Falta porcentaje; ","")&amp;IF(N416&gt;1.0001,"Los porcentajes del contrato suman más de 100 %; ","")&amp;IF(AND($C416="Individual",$E416&lt;&gt;"",$E416&lt;&gt;1),"Individual debe ser 100 %; ","")&amp;IF(AND($C416&lt;&gt;"Individual",$C416&lt;&gt;"",$E416=1),"Consorcio o UT con 100 %: revise; ","")&amp;IF(COUNTIFS($A$2:$A$601,$A416,$B$2:$B$601,$B416)&gt;1,"Participación repetida; ","")&amp;IF(AND(IFERROR(INDEX(SUJETOS!$B$2:$B$601,MATCH($B416,SUJETOS!$A$2:$A$601,0)),"")="Persona natural",$G416=""),"Persona natural sin cargo; ",""))</f>
        <v/>
      </c>
      <c r="R416" s="12">
        <f>IF($A416="","",IFERROR(IF(LEN(INDEX(SUJETOS!$F$2:$F$601,MATCH($B416,SUJETOS!$A$2:$A$601,0)))&gt;0,INDEX(SUJETOS!$F$2:$F$601,MATCH($B416,SUJETOS!$A$2:$A$601,0)),$B416),$B416))</f>
        <v/>
      </c>
    </row>
    <row r="417">
      <c r="E417" s="18" t="n"/>
      <c r="K417" s="13">
        <f>IF(OR($A417="",$E417=""),"",IFERROR(E417*INDEX(CONTRATOS!$P$2:$P$601,MATCH($A417,CONTRATOS!$A$2:$A$601,0)),""))</f>
        <v/>
      </c>
      <c r="L417" s="17">
        <f>IF(OR($A417="",$E417=""),"",IFERROR(E417*INDEX(CONTRATOS!$Z$2:$Z$601,MATCH($A417,CONTRATOS!$A$2:$A$601,0)),""))</f>
        <v/>
      </c>
      <c r="M417" s="13">
        <f>IF(OR($A417="",$E417=""),"",IFERROR(E417*INDEX(CONTRATOS!$AA$2:$AA$601,MATCH($A417,CONTRATOS!$A$2:$A$601,0)),""))</f>
        <v/>
      </c>
      <c r="N417" s="19">
        <f>IF($A417="","",SUMIFS($E$2:$E$601,$A$2:$A$601,$A417))</f>
        <v/>
      </c>
      <c r="O417" s="12">
        <f>IF($A417="","",IFERROR(INDEX(CONTRATOS!$F$2:$F$601,MATCH($A417,CONTRATOS!$A$2:$A$601,0)),""))</f>
        <v/>
      </c>
      <c r="P417" s="12">
        <f>IF($A417="","",IFERROR(INDEX(CONTRATOS!$M$2:$M$601,MATCH($A417,CONTRATOS!$A$2:$A$601,0)),""))</f>
        <v/>
      </c>
      <c r="Q417" s="12">
        <f>IF($A417="","",IF(COUNTIF(CONTRATOS!$A$2:$A$601,$A417)=0,"El contrato no existe en CONTRATOS; ","")&amp;IF($B417="","Falta sujeto; ",IF(COUNTIF(SUJETOS!$A$2:$A$601,$B417)=0,"El sujeto no existe en SUJETOS; ",""))&amp;IF($E417="","Falta porcentaje; ","")&amp;IF(N417&gt;1.0001,"Los porcentajes del contrato suman más de 100 %; ","")&amp;IF(AND($C417="Individual",$E417&lt;&gt;"",$E417&lt;&gt;1),"Individual debe ser 100 %; ","")&amp;IF(AND($C417&lt;&gt;"Individual",$C417&lt;&gt;"",$E417=1),"Consorcio o UT con 100 %: revise; ","")&amp;IF(COUNTIFS($A$2:$A$601,$A417,$B$2:$B$601,$B417)&gt;1,"Participación repetida; ","")&amp;IF(AND(IFERROR(INDEX(SUJETOS!$B$2:$B$601,MATCH($B417,SUJETOS!$A$2:$A$601,0)),"")="Persona natural",$G417=""),"Persona natural sin cargo; ",""))</f>
        <v/>
      </c>
      <c r="R417" s="12">
        <f>IF($A417="","",IFERROR(IF(LEN(INDEX(SUJETOS!$F$2:$F$601,MATCH($B417,SUJETOS!$A$2:$A$601,0)))&gt;0,INDEX(SUJETOS!$F$2:$F$601,MATCH($B417,SUJETOS!$A$2:$A$601,0)),$B417),$B417))</f>
        <v/>
      </c>
    </row>
    <row r="418">
      <c r="E418" s="18" t="n"/>
      <c r="K418" s="13">
        <f>IF(OR($A418="",$E418=""),"",IFERROR(E418*INDEX(CONTRATOS!$P$2:$P$601,MATCH($A418,CONTRATOS!$A$2:$A$601,0)),""))</f>
        <v/>
      </c>
      <c r="L418" s="17">
        <f>IF(OR($A418="",$E418=""),"",IFERROR(E418*INDEX(CONTRATOS!$Z$2:$Z$601,MATCH($A418,CONTRATOS!$A$2:$A$601,0)),""))</f>
        <v/>
      </c>
      <c r="M418" s="13">
        <f>IF(OR($A418="",$E418=""),"",IFERROR(E418*INDEX(CONTRATOS!$AA$2:$AA$601,MATCH($A418,CONTRATOS!$A$2:$A$601,0)),""))</f>
        <v/>
      </c>
      <c r="N418" s="19">
        <f>IF($A418="","",SUMIFS($E$2:$E$601,$A$2:$A$601,$A418))</f>
        <v/>
      </c>
      <c r="O418" s="12">
        <f>IF($A418="","",IFERROR(INDEX(CONTRATOS!$F$2:$F$601,MATCH($A418,CONTRATOS!$A$2:$A$601,0)),""))</f>
        <v/>
      </c>
      <c r="P418" s="12">
        <f>IF($A418="","",IFERROR(INDEX(CONTRATOS!$M$2:$M$601,MATCH($A418,CONTRATOS!$A$2:$A$601,0)),""))</f>
        <v/>
      </c>
      <c r="Q418" s="12">
        <f>IF($A418="","",IF(COUNTIF(CONTRATOS!$A$2:$A$601,$A418)=0,"El contrato no existe en CONTRATOS; ","")&amp;IF($B418="","Falta sujeto; ",IF(COUNTIF(SUJETOS!$A$2:$A$601,$B418)=0,"El sujeto no existe en SUJETOS; ",""))&amp;IF($E418="","Falta porcentaje; ","")&amp;IF(N418&gt;1.0001,"Los porcentajes del contrato suman más de 100 %; ","")&amp;IF(AND($C418="Individual",$E418&lt;&gt;"",$E418&lt;&gt;1),"Individual debe ser 100 %; ","")&amp;IF(AND($C418&lt;&gt;"Individual",$C418&lt;&gt;"",$E418=1),"Consorcio o UT con 100 %: revise; ","")&amp;IF(COUNTIFS($A$2:$A$601,$A418,$B$2:$B$601,$B418)&gt;1,"Participación repetida; ","")&amp;IF(AND(IFERROR(INDEX(SUJETOS!$B$2:$B$601,MATCH($B418,SUJETOS!$A$2:$A$601,0)),"")="Persona natural",$G418=""),"Persona natural sin cargo; ",""))</f>
        <v/>
      </c>
      <c r="R418" s="12">
        <f>IF($A418="","",IFERROR(IF(LEN(INDEX(SUJETOS!$F$2:$F$601,MATCH($B418,SUJETOS!$A$2:$A$601,0)))&gt;0,INDEX(SUJETOS!$F$2:$F$601,MATCH($B418,SUJETOS!$A$2:$A$601,0)),$B418),$B418))</f>
        <v/>
      </c>
    </row>
    <row r="419">
      <c r="E419" s="18" t="n"/>
      <c r="K419" s="13">
        <f>IF(OR($A419="",$E419=""),"",IFERROR(E419*INDEX(CONTRATOS!$P$2:$P$601,MATCH($A419,CONTRATOS!$A$2:$A$601,0)),""))</f>
        <v/>
      </c>
      <c r="L419" s="17">
        <f>IF(OR($A419="",$E419=""),"",IFERROR(E419*INDEX(CONTRATOS!$Z$2:$Z$601,MATCH($A419,CONTRATOS!$A$2:$A$601,0)),""))</f>
        <v/>
      </c>
      <c r="M419" s="13">
        <f>IF(OR($A419="",$E419=""),"",IFERROR(E419*INDEX(CONTRATOS!$AA$2:$AA$601,MATCH($A419,CONTRATOS!$A$2:$A$601,0)),""))</f>
        <v/>
      </c>
      <c r="N419" s="19">
        <f>IF($A419="","",SUMIFS($E$2:$E$601,$A$2:$A$601,$A419))</f>
        <v/>
      </c>
      <c r="O419" s="12">
        <f>IF($A419="","",IFERROR(INDEX(CONTRATOS!$F$2:$F$601,MATCH($A419,CONTRATOS!$A$2:$A$601,0)),""))</f>
        <v/>
      </c>
      <c r="P419" s="12">
        <f>IF($A419="","",IFERROR(INDEX(CONTRATOS!$M$2:$M$601,MATCH($A419,CONTRATOS!$A$2:$A$601,0)),""))</f>
        <v/>
      </c>
      <c r="Q419" s="12">
        <f>IF($A419="","",IF(COUNTIF(CONTRATOS!$A$2:$A$601,$A419)=0,"El contrato no existe en CONTRATOS; ","")&amp;IF($B419="","Falta sujeto; ",IF(COUNTIF(SUJETOS!$A$2:$A$601,$B419)=0,"El sujeto no existe en SUJETOS; ",""))&amp;IF($E419="","Falta porcentaje; ","")&amp;IF(N419&gt;1.0001,"Los porcentajes del contrato suman más de 100 %; ","")&amp;IF(AND($C419="Individual",$E419&lt;&gt;"",$E419&lt;&gt;1),"Individual debe ser 100 %; ","")&amp;IF(AND($C419&lt;&gt;"Individual",$C419&lt;&gt;"",$E419=1),"Consorcio o UT con 100 %: revise; ","")&amp;IF(COUNTIFS($A$2:$A$601,$A419,$B$2:$B$601,$B419)&gt;1,"Participación repetida; ","")&amp;IF(AND(IFERROR(INDEX(SUJETOS!$B$2:$B$601,MATCH($B419,SUJETOS!$A$2:$A$601,0)),"")="Persona natural",$G419=""),"Persona natural sin cargo; ",""))</f>
        <v/>
      </c>
      <c r="R419" s="12">
        <f>IF($A419="","",IFERROR(IF(LEN(INDEX(SUJETOS!$F$2:$F$601,MATCH($B419,SUJETOS!$A$2:$A$601,0)))&gt;0,INDEX(SUJETOS!$F$2:$F$601,MATCH($B419,SUJETOS!$A$2:$A$601,0)),$B419),$B419))</f>
        <v/>
      </c>
    </row>
    <row r="420">
      <c r="E420" s="18" t="n"/>
      <c r="K420" s="13">
        <f>IF(OR($A420="",$E420=""),"",IFERROR(E420*INDEX(CONTRATOS!$P$2:$P$601,MATCH($A420,CONTRATOS!$A$2:$A$601,0)),""))</f>
        <v/>
      </c>
      <c r="L420" s="17">
        <f>IF(OR($A420="",$E420=""),"",IFERROR(E420*INDEX(CONTRATOS!$Z$2:$Z$601,MATCH($A420,CONTRATOS!$A$2:$A$601,0)),""))</f>
        <v/>
      </c>
      <c r="M420" s="13">
        <f>IF(OR($A420="",$E420=""),"",IFERROR(E420*INDEX(CONTRATOS!$AA$2:$AA$601,MATCH($A420,CONTRATOS!$A$2:$A$601,0)),""))</f>
        <v/>
      </c>
      <c r="N420" s="19">
        <f>IF($A420="","",SUMIFS($E$2:$E$601,$A$2:$A$601,$A420))</f>
        <v/>
      </c>
      <c r="O420" s="12">
        <f>IF($A420="","",IFERROR(INDEX(CONTRATOS!$F$2:$F$601,MATCH($A420,CONTRATOS!$A$2:$A$601,0)),""))</f>
        <v/>
      </c>
      <c r="P420" s="12">
        <f>IF($A420="","",IFERROR(INDEX(CONTRATOS!$M$2:$M$601,MATCH($A420,CONTRATOS!$A$2:$A$601,0)),""))</f>
        <v/>
      </c>
      <c r="Q420" s="12">
        <f>IF($A420="","",IF(COUNTIF(CONTRATOS!$A$2:$A$601,$A420)=0,"El contrato no existe en CONTRATOS; ","")&amp;IF($B420="","Falta sujeto; ",IF(COUNTIF(SUJETOS!$A$2:$A$601,$B420)=0,"El sujeto no existe en SUJETOS; ",""))&amp;IF($E420="","Falta porcentaje; ","")&amp;IF(N420&gt;1.0001,"Los porcentajes del contrato suman más de 100 %; ","")&amp;IF(AND($C420="Individual",$E420&lt;&gt;"",$E420&lt;&gt;1),"Individual debe ser 100 %; ","")&amp;IF(AND($C420&lt;&gt;"Individual",$C420&lt;&gt;"",$E420=1),"Consorcio o UT con 100 %: revise; ","")&amp;IF(COUNTIFS($A$2:$A$601,$A420,$B$2:$B$601,$B420)&gt;1,"Participación repetida; ","")&amp;IF(AND(IFERROR(INDEX(SUJETOS!$B$2:$B$601,MATCH($B420,SUJETOS!$A$2:$A$601,0)),"")="Persona natural",$G420=""),"Persona natural sin cargo; ",""))</f>
        <v/>
      </c>
      <c r="R420" s="12">
        <f>IF($A420="","",IFERROR(IF(LEN(INDEX(SUJETOS!$F$2:$F$601,MATCH($B420,SUJETOS!$A$2:$A$601,0)))&gt;0,INDEX(SUJETOS!$F$2:$F$601,MATCH($B420,SUJETOS!$A$2:$A$601,0)),$B420),$B420))</f>
        <v/>
      </c>
    </row>
    <row r="421">
      <c r="E421" s="18" t="n"/>
      <c r="K421" s="13">
        <f>IF(OR($A421="",$E421=""),"",IFERROR(E421*INDEX(CONTRATOS!$P$2:$P$601,MATCH($A421,CONTRATOS!$A$2:$A$601,0)),""))</f>
        <v/>
      </c>
      <c r="L421" s="17">
        <f>IF(OR($A421="",$E421=""),"",IFERROR(E421*INDEX(CONTRATOS!$Z$2:$Z$601,MATCH($A421,CONTRATOS!$A$2:$A$601,0)),""))</f>
        <v/>
      </c>
      <c r="M421" s="13">
        <f>IF(OR($A421="",$E421=""),"",IFERROR(E421*INDEX(CONTRATOS!$AA$2:$AA$601,MATCH($A421,CONTRATOS!$A$2:$A$601,0)),""))</f>
        <v/>
      </c>
      <c r="N421" s="19">
        <f>IF($A421="","",SUMIFS($E$2:$E$601,$A$2:$A$601,$A421))</f>
        <v/>
      </c>
      <c r="O421" s="12">
        <f>IF($A421="","",IFERROR(INDEX(CONTRATOS!$F$2:$F$601,MATCH($A421,CONTRATOS!$A$2:$A$601,0)),""))</f>
        <v/>
      </c>
      <c r="P421" s="12">
        <f>IF($A421="","",IFERROR(INDEX(CONTRATOS!$M$2:$M$601,MATCH($A421,CONTRATOS!$A$2:$A$601,0)),""))</f>
        <v/>
      </c>
      <c r="Q421" s="12">
        <f>IF($A421="","",IF(COUNTIF(CONTRATOS!$A$2:$A$601,$A421)=0,"El contrato no existe en CONTRATOS; ","")&amp;IF($B421="","Falta sujeto; ",IF(COUNTIF(SUJETOS!$A$2:$A$601,$B421)=0,"El sujeto no existe en SUJETOS; ",""))&amp;IF($E421="","Falta porcentaje; ","")&amp;IF(N421&gt;1.0001,"Los porcentajes del contrato suman más de 100 %; ","")&amp;IF(AND($C421="Individual",$E421&lt;&gt;"",$E421&lt;&gt;1),"Individual debe ser 100 %; ","")&amp;IF(AND($C421&lt;&gt;"Individual",$C421&lt;&gt;"",$E421=1),"Consorcio o UT con 100 %: revise; ","")&amp;IF(COUNTIFS($A$2:$A$601,$A421,$B$2:$B$601,$B421)&gt;1,"Participación repetida; ","")&amp;IF(AND(IFERROR(INDEX(SUJETOS!$B$2:$B$601,MATCH($B421,SUJETOS!$A$2:$A$601,0)),"")="Persona natural",$G421=""),"Persona natural sin cargo; ",""))</f>
        <v/>
      </c>
      <c r="R421" s="12">
        <f>IF($A421="","",IFERROR(IF(LEN(INDEX(SUJETOS!$F$2:$F$601,MATCH($B421,SUJETOS!$A$2:$A$601,0)))&gt;0,INDEX(SUJETOS!$F$2:$F$601,MATCH($B421,SUJETOS!$A$2:$A$601,0)),$B421),$B421))</f>
        <v/>
      </c>
    </row>
    <row r="422">
      <c r="E422" s="18" t="n"/>
      <c r="K422" s="13">
        <f>IF(OR($A422="",$E422=""),"",IFERROR(E422*INDEX(CONTRATOS!$P$2:$P$601,MATCH($A422,CONTRATOS!$A$2:$A$601,0)),""))</f>
        <v/>
      </c>
      <c r="L422" s="17">
        <f>IF(OR($A422="",$E422=""),"",IFERROR(E422*INDEX(CONTRATOS!$Z$2:$Z$601,MATCH($A422,CONTRATOS!$A$2:$A$601,0)),""))</f>
        <v/>
      </c>
      <c r="M422" s="13">
        <f>IF(OR($A422="",$E422=""),"",IFERROR(E422*INDEX(CONTRATOS!$AA$2:$AA$601,MATCH($A422,CONTRATOS!$A$2:$A$601,0)),""))</f>
        <v/>
      </c>
      <c r="N422" s="19">
        <f>IF($A422="","",SUMIFS($E$2:$E$601,$A$2:$A$601,$A422))</f>
        <v/>
      </c>
      <c r="O422" s="12">
        <f>IF($A422="","",IFERROR(INDEX(CONTRATOS!$F$2:$F$601,MATCH($A422,CONTRATOS!$A$2:$A$601,0)),""))</f>
        <v/>
      </c>
      <c r="P422" s="12">
        <f>IF($A422="","",IFERROR(INDEX(CONTRATOS!$M$2:$M$601,MATCH($A422,CONTRATOS!$A$2:$A$601,0)),""))</f>
        <v/>
      </c>
      <c r="Q422" s="12">
        <f>IF($A422="","",IF(COUNTIF(CONTRATOS!$A$2:$A$601,$A422)=0,"El contrato no existe en CONTRATOS; ","")&amp;IF($B422="","Falta sujeto; ",IF(COUNTIF(SUJETOS!$A$2:$A$601,$B422)=0,"El sujeto no existe en SUJETOS; ",""))&amp;IF($E422="","Falta porcentaje; ","")&amp;IF(N422&gt;1.0001,"Los porcentajes del contrato suman más de 100 %; ","")&amp;IF(AND($C422="Individual",$E422&lt;&gt;"",$E422&lt;&gt;1),"Individual debe ser 100 %; ","")&amp;IF(AND($C422&lt;&gt;"Individual",$C422&lt;&gt;"",$E422=1),"Consorcio o UT con 100 %: revise; ","")&amp;IF(COUNTIFS($A$2:$A$601,$A422,$B$2:$B$601,$B422)&gt;1,"Participación repetida; ","")&amp;IF(AND(IFERROR(INDEX(SUJETOS!$B$2:$B$601,MATCH($B422,SUJETOS!$A$2:$A$601,0)),"")="Persona natural",$G422=""),"Persona natural sin cargo; ",""))</f>
        <v/>
      </c>
      <c r="R422" s="12">
        <f>IF($A422="","",IFERROR(IF(LEN(INDEX(SUJETOS!$F$2:$F$601,MATCH($B422,SUJETOS!$A$2:$A$601,0)))&gt;0,INDEX(SUJETOS!$F$2:$F$601,MATCH($B422,SUJETOS!$A$2:$A$601,0)),$B422),$B422))</f>
        <v/>
      </c>
    </row>
    <row r="423">
      <c r="E423" s="18" t="n"/>
      <c r="K423" s="13">
        <f>IF(OR($A423="",$E423=""),"",IFERROR(E423*INDEX(CONTRATOS!$P$2:$P$601,MATCH($A423,CONTRATOS!$A$2:$A$601,0)),""))</f>
        <v/>
      </c>
      <c r="L423" s="17">
        <f>IF(OR($A423="",$E423=""),"",IFERROR(E423*INDEX(CONTRATOS!$Z$2:$Z$601,MATCH($A423,CONTRATOS!$A$2:$A$601,0)),""))</f>
        <v/>
      </c>
      <c r="M423" s="13">
        <f>IF(OR($A423="",$E423=""),"",IFERROR(E423*INDEX(CONTRATOS!$AA$2:$AA$601,MATCH($A423,CONTRATOS!$A$2:$A$601,0)),""))</f>
        <v/>
      </c>
      <c r="N423" s="19">
        <f>IF($A423="","",SUMIFS($E$2:$E$601,$A$2:$A$601,$A423))</f>
        <v/>
      </c>
      <c r="O423" s="12">
        <f>IF($A423="","",IFERROR(INDEX(CONTRATOS!$F$2:$F$601,MATCH($A423,CONTRATOS!$A$2:$A$601,0)),""))</f>
        <v/>
      </c>
      <c r="P423" s="12">
        <f>IF($A423="","",IFERROR(INDEX(CONTRATOS!$M$2:$M$601,MATCH($A423,CONTRATOS!$A$2:$A$601,0)),""))</f>
        <v/>
      </c>
      <c r="Q423" s="12">
        <f>IF($A423="","",IF(COUNTIF(CONTRATOS!$A$2:$A$601,$A423)=0,"El contrato no existe en CONTRATOS; ","")&amp;IF($B423="","Falta sujeto; ",IF(COUNTIF(SUJETOS!$A$2:$A$601,$B423)=0,"El sujeto no existe en SUJETOS; ",""))&amp;IF($E423="","Falta porcentaje; ","")&amp;IF(N423&gt;1.0001,"Los porcentajes del contrato suman más de 100 %; ","")&amp;IF(AND($C423="Individual",$E423&lt;&gt;"",$E423&lt;&gt;1),"Individual debe ser 100 %; ","")&amp;IF(AND($C423&lt;&gt;"Individual",$C423&lt;&gt;"",$E423=1),"Consorcio o UT con 100 %: revise; ","")&amp;IF(COUNTIFS($A$2:$A$601,$A423,$B$2:$B$601,$B423)&gt;1,"Participación repetida; ","")&amp;IF(AND(IFERROR(INDEX(SUJETOS!$B$2:$B$601,MATCH($B423,SUJETOS!$A$2:$A$601,0)),"")="Persona natural",$G423=""),"Persona natural sin cargo; ",""))</f>
        <v/>
      </c>
      <c r="R423" s="12">
        <f>IF($A423="","",IFERROR(IF(LEN(INDEX(SUJETOS!$F$2:$F$601,MATCH($B423,SUJETOS!$A$2:$A$601,0)))&gt;0,INDEX(SUJETOS!$F$2:$F$601,MATCH($B423,SUJETOS!$A$2:$A$601,0)),$B423),$B423))</f>
        <v/>
      </c>
    </row>
    <row r="424">
      <c r="E424" s="18" t="n"/>
      <c r="K424" s="13">
        <f>IF(OR($A424="",$E424=""),"",IFERROR(E424*INDEX(CONTRATOS!$P$2:$P$601,MATCH($A424,CONTRATOS!$A$2:$A$601,0)),""))</f>
        <v/>
      </c>
      <c r="L424" s="17">
        <f>IF(OR($A424="",$E424=""),"",IFERROR(E424*INDEX(CONTRATOS!$Z$2:$Z$601,MATCH($A424,CONTRATOS!$A$2:$A$601,0)),""))</f>
        <v/>
      </c>
      <c r="M424" s="13">
        <f>IF(OR($A424="",$E424=""),"",IFERROR(E424*INDEX(CONTRATOS!$AA$2:$AA$601,MATCH($A424,CONTRATOS!$A$2:$A$601,0)),""))</f>
        <v/>
      </c>
      <c r="N424" s="19">
        <f>IF($A424="","",SUMIFS($E$2:$E$601,$A$2:$A$601,$A424))</f>
        <v/>
      </c>
      <c r="O424" s="12">
        <f>IF($A424="","",IFERROR(INDEX(CONTRATOS!$F$2:$F$601,MATCH($A424,CONTRATOS!$A$2:$A$601,0)),""))</f>
        <v/>
      </c>
      <c r="P424" s="12">
        <f>IF($A424="","",IFERROR(INDEX(CONTRATOS!$M$2:$M$601,MATCH($A424,CONTRATOS!$A$2:$A$601,0)),""))</f>
        <v/>
      </c>
      <c r="Q424" s="12">
        <f>IF($A424="","",IF(COUNTIF(CONTRATOS!$A$2:$A$601,$A424)=0,"El contrato no existe en CONTRATOS; ","")&amp;IF($B424="","Falta sujeto; ",IF(COUNTIF(SUJETOS!$A$2:$A$601,$B424)=0,"El sujeto no existe en SUJETOS; ",""))&amp;IF($E424="","Falta porcentaje; ","")&amp;IF(N424&gt;1.0001,"Los porcentajes del contrato suman más de 100 %; ","")&amp;IF(AND($C424="Individual",$E424&lt;&gt;"",$E424&lt;&gt;1),"Individual debe ser 100 %; ","")&amp;IF(AND($C424&lt;&gt;"Individual",$C424&lt;&gt;"",$E424=1),"Consorcio o UT con 100 %: revise; ","")&amp;IF(COUNTIFS($A$2:$A$601,$A424,$B$2:$B$601,$B424)&gt;1,"Participación repetida; ","")&amp;IF(AND(IFERROR(INDEX(SUJETOS!$B$2:$B$601,MATCH($B424,SUJETOS!$A$2:$A$601,0)),"")="Persona natural",$G424=""),"Persona natural sin cargo; ",""))</f>
        <v/>
      </c>
      <c r="R424" s="12">
        <f>IF($A424="","",IFERROR(IF(LEN(INDEX(SUJETOS!$F$2:$F$601,MATCH($B424,SUJETOS!$A$2:$A$601,0)))&gt;0,INDEX(SUJETOS!$F$2:$F$601,MATCH($B424,SUJETOS!$A$2:$A$601,0)),$B424),$B424))</f>
        <v/>
      </c>
    </row>
    <row r="425">
      <c r="E425" s="18" t="n"/>
      <c r="K425" s="13">
        <f>IF(OR($A425="",$E425=""),"",IFERROR(E425*INDEX(CONTRATOS!$P$2:$P$601,MATCH($A425,CONTRATOS!$A$2:$A$601,0)),""))</f>
        <v/>
      </c>
      <c r="L425" s="17">
        <f>IF(OR($A425="",$E425=""),"",IFERROR(E425*INDEX(CONTRATOS!$Z$2:$Z$601,MATCH($A425,CONTRATOS!$A$2:$A$601,0)),""))</f>
        <v/>
      </c>
      <c r="M425" s="13">
        <f>IF(OR($A425="",$E425=""),"",IFERROR(E425*INDEX(CONTRATOS!$AA$2:$AA$601,MATCH($A425,CONTRATOS!$A$2:$A$601,0)),""))</f>
        <v/>
      </c>
      <c r="N425" s="19">
        <f>IF($A425="","",SUMIFS($E$2:$E$601,$A$2:$A$601,$A425))</f>
        <v/>
      </c>
      <c r="O425" s="12">
        <f>IF($A425="","",IFERROR(INDEX(CONTRATOS!$F$2:$F$601,MATCH($A425,CONTRATOS!$A$2:$A$601,0)),""))</f>
        <v/>
      </c>
      <c r="P425" s="12">
        <f>IF($A425="","",IFERROR(INDEX(CONTRATOS!$M$2:$M$601,MATCH($A425,CONTRATOS!$A$2:$A$601,0)),""))</f>
        <v/>
      </c>
      <c r="Q425" s="12">
        <f>IF($A425="","",IF(COUNTIF(CONTRATOS!$A$2:$A$601,$A425)=0,"El contrato no existe en CONTRATOS; ","")&amp;IF($B425="","Falta sujeto; ",IF(COUNTIF(SUJETOS!$A$2:$A$601,$B425)=0,"El sujeto no existe en SUJETOS; ",""))&amp;IF($E425="","Falta porcentaje; ","")&amp;IF(N425&gt;1.0001,"Los porcentajes del contrato suman más de 100 %; ","")&amp;IF(AND($C425="Individual",$E425&lt;&gt;"",$E425&lt;&gt;1),"Individual debe ser 100 %; ","")&amp;IF(AND($C425&lt;&gt;"Individual",$C425&lt;&gt;"",$E425=1),"Consorcio o UT con 100 %: revise; ","")&amp;IF(COUNTIFS($A$2:$A$601,$A425,$B$2:$B$601,$B425)&gt;1,"Participación repetida; ","")&amp;IF(AND(IFERROR(INDEX(SUJETOS!$B$2:$B$601,MATCH($B425,SUJETOS!$A$2:$A$601,0)),"")="Persona natural",$G425=""),"Persona natural sin cargo; ",""))</f>
        <v/>
      </c>
      <c r="R425" s="12">
        <f>IF($A425="","",IFERROR(IF(LEN(INDEX(SUJETOS!$F$2:$F$601,MATCH($B425,SUJETOS!$A$2:$A$601,0)))&gt;0,INDEX(SUJETOS!$F$2:$F$601,MATCH($B425,SUJETOS!$A$2:$A$601,0)),$B425),$B425))</f>
        <v/>
      </c>
    </row>
    <row r="426">
      <c r="E426" s="18" t="n"/>
      <c r="K426" s="13">
        <f>IF(OR($A426="",$E426=""),"",IFERROR(E426*INDEX(CONTRATOS!$P$2:$P$601,MATCH($A426,CONTRATOS!$A$2:$A$601,0)),""))</f>
        <v/>
      </c>
      <c r="L426" s="17">
        <f>IF(OR($A426="",$E426=""),"",IFERROR(E426*INDEX(CONTRATOS!$Z$2:$Z$601,MATCH($A426,CONTRATOS!$A$2:$A$601,0)),""))</f>
        <v/>
      </c>
      <c r="M426" s="13">
        <f>IF(OR($A426="",$E426=""),"",IFERROR(E426*INDEX(CONTRATOS!$AA$2:$AA$601,MATCH($A426,CONTRATOS!$A$2:$A$601,0)),""))</f>
        <v/>
      </c>
      <c r="N426" s="19">
        <f>IF($A426="","",SUMIFS($E$2:$E$601,$A$2:$A$601,$A426))</f>
        <v/>
      </c>
      <c r="O426" s="12">
        <f>IF($A426="","",IFERROR(INDEX(CONTRATOS!$F$2:$F$601,MATCH($A426,CONTRATOS!$A$2:$A$601,0)),""))</f>
        <v/>
      </c>
      <c r="P426" s="12">
        <f>IF($A426="","",IFERROR(INDEX(CONTRATOS!$M$2:$M$601,MATCH($A426,CONTRATOS!$A$2:$A$601,0)),""))</f>
        <v/>
      </c>
      <c r="Q426" s="12">
        <f>IF($A426="","",IF(COUNTIF(CONTRATOS!$A$2:$A$601,$A426)=0,"El contrato no existe en CONTRATOS; ","")&amp;IF($B426="","Falta sujeto; ",IF(COUNTIF(SUJETOS!$A$2:$A$601,$B426)=0,"El sujeto no existe en SUJETOS; ",""))&amp;IF($E426="","Falta porcentaje; ","")&amp;IF(N426&gt;1.0001,"Los porcentajes del contrato suman más de 100 %; ","")&amp;IF(AND($C426="Individual",$E426&lt;&gt;"",$E426&lt;&gt;1),"Individual debe ser 100 %; ","")&amp;IF(AND($C426&lt;&gt;"Individual",$C426&lt;&gt;"",$E426=1),"Consorcio o UT con 100 %: revise; ","")&amp;IF(COUNTIFS($A$2:$A$601,$A426,$B$2:$B$601,$B426)&gt;1,"Participación repetida; ","")&amp;IF(AND(IFERROR(INDEX(SUJETOS!$B$2:$B$601,MATCH($B426,SUJETOS!$A$2:$A$601,0)),"")="Persona natural",$G426=""),"Persona natural sin cargo; ",""))</f>
        <v/>
      </c>
      <c r="R426" s="12">
        <f>IF($A426="","",IFERROR(IF(LEN(INDEX(SUJETOS!$F$2:$F$601,MATCH($B426,SUJETOS!$A$2:$A$601,0)))&gt;0,INDEX(SUJETOS!$F$2:$F$601,MATCH($B426,SUJETOS!$A$2:$A$601,0)),$B426),$B426))</f>
        <v/>
      </c>
    </row>
    <row r="427">
      <c r="E427" s="18" t="n"/>
      <c r="K427" s="13">
        <f>IF(OR($A427="",$E427=""),"",IFERROR(E427*INDEX(CONTRATOS!$P$2:$P$601,MATCH($A427,CONTRATOS!$A$2:$A$601,0)),""))</f>
        <v/>
      </c>
      <c r="L427" s="17">
        <f>IF(OR($A427="",$E427=""),"",IFERROR(E427*INDEX(CONTRATOS!$Z$2:$Z$601,MATCH($A427,CONTRATOS!$A$2:$A$601,0)),""))</f>
        <v/>
      </c>
      <c r="M427" s="13">
        <f>IF(OR($A427="",$E427=""),"",IFERROR(E427*INDEX(CONTRATOS!$AA$2:$AA$601,MATCH($A427,CONTRATOS!$A$2:$A$601,0)),""))</f>
        <v/>
      </c>
      <c r="N427" s="19">
        <f>IF($A427="","",SUMIFS($E$2:$E$601,$A$2:$A$601,$A427))</f>
        <v/>
      </c>
      <c r="O427" s="12">
        <f>IF($A427="","",IFERROR(INDEX(CONTRATOS!$F$2:$F$601,MATCH($A427,CONTRATOS!$A$2:$A$601,0)),""))</f>
        <v/>
      </c>
      <c r="P427" s="12">
        <f>IF($A427="","",IFERROR(INDEX(CONTRATOS!$M$2:$M$601,MATCH($A427,CONTRATOS!$A$2:$A$601,0)),""))</f>
        <v/>
      </c>
      <c r="Q427" s="12">
        <f>IF($A427="","",IF(COUNTIF(CONTRATOS!$A$2:$A$601,$A427)=0,"El contrato no existe en CONTRATOS; ","")&amp;IF($B427="","Falta sujeto; ",IF(COUNTIF(SUJETOS!$A$2:$A$601,$B427)=0,"El sujeto no existe en SUJETOS; ",""))&amp;IF($E427="","Falta porcentaje; ","")&amp;IF(N427&gt;1.0001,"Los porcentajes del contrato suman más de 100 %; ","")&amp;IF(AND($C427="Individual",$E427&lt;&gt;"",$E427&lt;&gt;1),"Individual debe ser 100 %; ","")&amp;IF(AND($C427&lt;&gt;"Individual",$C427&lt;&gt;"",$E427=1),"Consorcio o UT con 100 %: revise; ","")&amp;IF(COUNTIFS($A$2:$A$601,$A427,$B$2:$B$601,$B427)&gt;1,"Participación repetida; ","")&amp;IF(AND(IFERROR(INDEX(SUJETOS!$B$2:$B$601,MATCH($B427,SUJETOS!$A$2:$A$601,0)),"")="Persona natural",$G427=""),"Persona natural sin cargo; ",""))</f>
        <v/>
      </c>
      <c r="R427" s="12">
        <f>IF($A427="","",IFERROR(IF(LEN(INDEX(SUJETOS!$F$2:$F$601,MATCH($B427,SUJETOS!$A$2:$A$601,0)))&gt;0,INDEX(SUJETOS!$F$2:$F$601,MATCH($B427,SUJETOS!$A$2:$A$601,0)),$B427),$B427))</f>
        <v/>
      </c>
    </row>
    <row r="428">
      <c r="E428" s="18" t="n"/>
      <c r="K428" s="13">
        <f>IF(OR($A428="",$E428=""),"",IFERROR(E428*INDEX(CONTRATOS!$P$2:$P$601,MATCH($A428,CONTRATOS!$A$2:$A$601,0)),""))</f>
        <v/>
      </c>
      <c r="L428" s="17">
        <f>IF(OR($A428="",$E428=""),"",IFERROR(E428*INDEX(CONTRATOS!$Z$2:$Z$601,MATCH($A428,CONTRATOS!$A$2:$A$601,0)),""))</f>
        <v/>
      </c>
      <c r="M428" s="13">
        <f>IF(OR($A428="",$E428=""),"",IFERROR(E428*INDEX(CONTRATOS!$AA$2:$AA$601,MATCH($A428,CONTRATOS!$A$2:$A$601,0)),""))</f>
        <v/>
      </c>
      <c r="N428" s="19">
        <f>IF($A428="","",SUMIFS($E$2:$E$601,$A$2:$A$601,$A428))</f>
        <v/>
      </c>
      <c r="O428" s="12">
        <f>IF($A428="","",IFERROR(INDEX(CONTRATOS!$F$2:$F$601,MATCH($A428,CONTRATOS!$A$2:$A$601,0)),""))</f>
        <v/>
      </c>
      <c r="P428" s="12">
        <f>IF($A428="","",IFERROR(INDEX(CONTRATOS!$M$2:$M$601,MATCH($A428,CONTRATOS!$A$2:$A$601,0)),""))</f>
        <v/>
      </c>
      <c r="Q428" s="12">
        <f>IF($A428="","",IF(COUNTIF(CONTRATOS!$A$2:$A$601,$A428)=0,"El contrato no existe en CONTRATOS; ","")&amp;IF($B428="","Falta sujeto; ",IF(COUNTIF(SUJETOS!$A$2:$A$601,$B428)=0,"El sujeto no existe en SUJETOS; ",""))&amp;IF($E428="","Falta porcentaje; ","")&amp;IF(N428&gt;1.0001,"Los porcentajes del contrato suman más de 100 %; ","")&amp;IF(AND($C428="Individual",$E428&lt;&gt;"",$E428&lt;&gt;1),"Individual debe ser 100 %; ","")&amp;IF(AND($C428&lt;&gt;"Individual",$C428&lt;&gt;"",$E428=1),"Consorcio o UT con 100 %: revise; ","")&amp;IF(COUNTIFS($A$2:$A$601,$A428,$B$2:$B$601,$B428)&gt;1,"Participación repetida; ","")&amp;IF(AND(IFERROR(INDEX(SUJETOS!$B$2:$B$601,MATCH($B428,SUJETOS!$A$2:$A$601,0)),"")="Persona natural",$G428=""),"Persona natural sin cargo; ",""))</f>
        <v/>
      </c>
      <c r="R428" s="12">
        <f>IF($A428="","",IFERROR(IF(LEN(INDEX(SUJETOS!$F$2:$F$601,MATCH($B428,SUJETOS!$A$2:$A$601,0)))&gt;0,INDEX(SUJETOS!$F$2:$F$601,MATCH($B428,SUJETOS!$A$2:$A$601,0)),$B428),$B428))</f>
        <v/>
      </c>
    </row>
    <row r="429">
      <c r="E429" s="18" t="n"/>
      <c r="K429" s="13">
        <f>IF(OR($A429="",$E429=""),"",IFERROR(E429*INDEX(CONTRATOS!$P$2:$P$601,MATCH($A429,CONTRATOS!$A$2:$A$601,0)),""))</f>
        <v/>
      </c>
      <c r="L429" s="17">
        <f>IF(OR($A429="",$E429=""),"",IFERROR(E429*INDEX(CONTRATOS!$Z$2:$Z$601,MATCH($A429,CONTRATOS!$A$2:$A$601,0)),""))</f>
        <v/>
      </c>
      <c r="M429" s="13">
        <f>IF(OR($A429="",$E429=""),"",IFERROR(E429*INDEX(CONTRATOS!$AA$2:$AA$601,MATCH($A429,CONTRATOS!$A$2:$A$601,0)),""))</f>
        <v/>
      </c>
      <c r="N429" s="19">
        <f>IF($A429="","",SUMIFS($E$2:$E$601,$A$2:$A$601,$A429))</f>
        <v/>
      </c>
      <c r="O429" s="12">
        <f>IF($A429="","",IFERROR(INDEX(CONTRATOS!$F$2:$F$601,MATCH($A429,CONTRATOS!$A$2:$A$601,0)),""))</f>
        <v/>
      </c>
      <c r="P429" s="12">
        <f>IF($A429="","",IFERROR(INDEX(CONTRATOS!$M$2:$M$601,MATCH($A429,CONTRATOS!$A$2:$A$601,0)),""))</f>
        <v/>
      </c>
      <c r="Q429" s="12">
        <f>IF($A429="","",IF(COUNTIF(CONTRATOS!$A$2:$A$601,$A429)=0,"El contrato no existe en CONTRATOS; ","")&amp;IF($B429="","Falta sujeto; ",IF(COUNTIF(SUJETOS!$A$2:$A$601,$B429)=0,"El sujeto no existe en SUJETOS; ",""))&amp;IF($E429="","Falta porcentaje; ","")&amp;IF(N429&gt;1.0001,"Los porcentajes del contrato suman más de 100 %; ","")&amp;IF(AND($C429="Individual",$E429&lt;&gt;"",$E429&lt;&gt;1),"Individual debe ser 100 %; ","")&amp;IF(AND($C429&lt;&gt;"Individual",$C429&lt;&gt;"",$E429=1),"Consorcio o UT con 100 %: revise; ","")&amp;IF(COUNTIFS($A$2:$A$601,$A429,$B$2:$B$601,$B429)&gt;1,"Participación repetida; ","")&amp;IF(AND(IFERROR(INDEX(SUJETOS!$B$2:$B$601,MATCH($B429,SUJETOS!$A$2:$A$601,0)),"")="Persona natural",$G429=""),"Persona natural sin cargo; ",""))</f>
        <v/>
      </c>
      <c r="R429" s="12">
        <f>IF($A429="","",IFERROR(IF(LEN(INDEX(SUJETOS!$F$2:$F$601,MATCH($B429,SUJETOS!$A$2:$A$601,0)))&gt;0,INDEX(SUJETOS!$F$2:$F$601,MATCH($B429,SUJETOS!$A$2:$A$601,0)),$B429),$B429))</f>
        <v/>
      </c>
    </row>
    <row r="430">
      <c r="E430" s="18" t="n"/>
      <c r="K430" s="13">
        <f>IF(OR($A430="",$E430=""),"",IFERROR(E430*INDEX(CONTRATOS!$P$2:$P$601,MATCH($A430,CONTRATOS!$A$2:$A$601,0)),""))</f>
        <v/>
      </c>
      <c r="L430" s="17">
        <f>IF(OR($A430="",$E430=""),"",IFERROR(E430*INDEX(CONTRATOS!$Z$2:$Z$601,MATCH($A430,CONTRATOS!$A$2:$A$601,0)),""))</f>
        <v/>
      </c>
      <c r="M430" s="13">
        <f>IF(OR($A430="",$E430=""),"",IFERROR(E430*INDEX(CONTRATOS!$AA$2:$AA$601,MATCH($A430,CONTRATOS!$A$2:$A$601,0)),""))</f>
        <v/>
      </c>
      <c r="N430" s="19">
        <f>IF($A430="","",SUMIFS($E$2:$E$601,$A$2:$A$601,$A430))</f>
        <v/>
      </c>
      <c r="O430" s="12">
        <f>IF($A430="","",IFERROR(INDEX(CONTRATOS!$F$2:$F$601,MATCH($A430,CONTRATOS!$A$2:$A$601,0)),""))</f>
        <v/>
      </c>
      <c r="P430" s="12">
        <f>IF($A430="","",IFERROR(INDEX(CONTRATOS!$M$2:$M$601,MATCH($A430,CONTRATOS!$A$2:$A$601,0)),""))</f>
        <v/>
      </c>
      <c r="Q430" s="12">
        <f>IF($A430="","",IF(COUNTIF(CONTRATOS!$A$2:$A$601,$A430)=0,"El contrato no existe en CONTRATOS; ","")&amp;IF($B430="","Falta sujeto; ",IF(COUNTIF(SUJETOS!$A$2:$A$601,$B430)=0,"El sujeto no existe en SUJETOS; ",""))&amp;IF($E430="","Falta porcentaje; ","")&amp;IF(N430&gt;1.0001,"Los porcentajes del contrato suman más de 100 %; ","")&amp;IF(AND($C430="Individual",$E430&lt;&gt;"",$E430&lt;&gt;1),"Individual debe ser 100 %; ","")&amp;IF(AND($C430&lt;&gt;"Individual",$C430&lt;&gt;"",$E430=1),"Consorcio o UT con 100 %: revise; ","")&amp;IF(COUNTIFS($A$2:$A$601,$A430,$B$2:$B$601,$B430)&gt;1,"Participación repetida; ","")&amp;IF(AND(IFERROR(INDEX(SUJETOS!$B$2:$B$601,MATCH($B430,SUJETOS!$A$2:$A$601,0)),"")="Persona natural",$G430=""),"Persona natural sin cargo; ",""))</f>
        <v/>
      </c>
      <c r="R430" s="12">
        <f>IF($A430="","",IFERROR(IF(LEN(INDEX(SUJETOS!$F$2:$F$601,MATCH($B430,SUJETOS!$A$2:$A$601,0)))&gt;0,INDEX(SUJETOS!$F$2:$F$601,MATCH($B430,SUJETOS!$A$2:$A$601,0)),$B430),$B430))</f>
        <v/>
      </c>
    </row>
    <row r="431">
      <c r="E431" s="18" t="n"/>
      <c r="K431" s="13">
        <f>IF(OR($A431="",$E431=""),"",IFERROR(E431*INDEX(CONTRATOS!$P$2:$P$601,MATCH($A431,CONTRATOS!$A$2:$A$601,0)),""))</f>
        <v/>
      </c>
      <c r="L431" s="17">
        <f>IF(OR($A431="",$E431=""),"",IFERROR(E431*INDEX(CONTRATOS!$Z$2:$Z$601,MATCH($A431,CONTRATOS!$A$2:$A$601,0)),""))</f>
        <v/>
      </c>
      <c r="M431" s="13">
        <f>IF(OR($A431="",$E431=""),"",IFERROR(E431*INDEX(CONTRATOS!$AA$2:$AA$601,MATCH($A431,CONTRATOS!$A$2:$A$601,0)),""))</f>
        <v/>
      </c>
      <c r="N431" s="19">
        <f>IF($A431="","",SUMIFS($E$2:$E$601,$A$2:$A$601,$A431))</f>
        <v/>
      </c>
      <c r="O431" s="12">
        <f>IF($A431="","",IFERROR(INDEX(CONTRATOS!$F$2:$F$601,MATCH($A431,CONTRATOS!$A$2:$A$601,0)),""))</f>
        <v/>
      </c>
      <c r="P431" s="12">
        <f>IF($A431="","",IFERROR(INDEX(CONTRATOS!$M$2:$M$601,MATCH($A431,CONTRATOS!$A$2:$A$601,0)),""))</f>
        <v/>
      </c>
      <c r="Q431" s="12">
        <f>IF($A431="","",IF(COUNTIF(CONTRATOS!$A$2:$A$601,$A431)=0,"El contrato no existe en CONTRATOS; ","")&amp;IF($B431="","Falta sujeto; ",IF(COUNTIF(SUJETOS!$A$2:$A$601,$B431)=0,"El sujeto no existe en SUJETOS; ",""))&amp;IF($E431="","Falta porcentaje; ","")&amp;IF(N431&gt;1.0001,"Los porcentajes del contrato suman más de 100 %; ","")&amp;IF(AND($C431="Individual",$E431&lt;&gt;"",$E431&lt;&gt;1),"Individual debe ser 100 %; ","")&amp;IF(AND($C431&lt;&gt;"Individual",$C431&lt;&gt;"",$E431=1),"Consorcio o UT con 100 %: revise; ","")&amp;IF(COUNTIFS($A$2:$A$601,$A431,$B$2:$B$601,$B431)&gt;1,"Participación repetida; ","")&amp;IF(AND(IFERROR(INDEX(SUJETOS!$B$2:$B$601,MATCH($B431,SUJETOS!$A$2:$A$601,0)),"")="Persona natural",$G431=""),"Persona natural sin cargo; ",""))</f>
        <v/>
      </c>
      <c r="R431" s="12">
        <f>IF($A431="","",IFERROR(IF(LEN(INDEX(SUJETOS!$F$2:$F$601,MATCH($B431,SUJETOS!$A$2:$A$601,0)))&gt;0,INDEX(SUJETOS!$F$2:$F$601,MATCH($B431,SUJETOS!$A$2:$A$601,0)),$B431),$B431))</f>
        <v/>
      </c>
    </row>
    <row r="432">
      <c r="E432" s="18" t="n"/>
      <c r="K432" s="13">
        <f>IF(OR($A432="",$E432=""),"",IFERROR(E432*INDEX(CONTRATOS!$P$2:$P$601,MATCH($A432,CONTRATOS!$A$2:$A$601,0)),""))</f>
        <v/>
      </c>
      <c r="L432" s="17">
        <f>IF(OR($A432="",$E432=""),"",IFERROR(E432*INDEX(CONTRATOS!$Z$2:$Z$601,MATCH($A432,CONTRATOS!$A$2:$A$601,0)),""))</f>
        <v/>
      </c>
      <c r="M432" s="13">
        <f>IF(OR($A432="",$E432=""),"",IFERROR(E432*INDEX(CONTRATOS!$AA$2:$AA$601,MATCH($A432,CONTRATOS!$A$2:$A$601,0)),""))</f>
        <v/>
      </c>
      <c r="N432" s="19">
        <f>IF($A432="","",SUMIFS($E$2:$E$601,$A$2:$A$601,$A432))</f>
        <v/>
      </c>
      <c r="O432" s="12">
        <f>IF($A432="","",IFERROR(INDEX(CONTRATOS!$F$2:$F$601,MATCH($A432,CONTRATOS!$A$2:$A$601,0)),""))</f>
        <v/>
      </c>
      <c r="P432" s="12">
        <f>IF($A432="","",IFERROR(INDEX(CONTRATOS!$M$2:$M$601,MATCH($A432,CONTRATOS!$A$2:$A$601,0)),""))</f>
        <v/>
      </c>
      <c r="Q432" s="12">
        <f>IF($A432="","",IF(COUNTIF(CONTRATOS!$A$2:$A$601,$A432)=0,"El contrato no existe en CONTRATOS; ","")&amp;IF($B432="","Falta sujeto; ",IF(COUNTIF(SUJETOS!$A$2:$A$601,$B432)=0,"El sujeto no existe en SUJETOS; ",""))&amp;IF($E432="","Falta porcentaje; ","")&amp;IF(N432&gt;1.0001,"Los porcentajes del contrato suman más de 100 %; ","")&amp;IF(AND($C432="Individual",$E432&lt;&gt;"",$E432&lt;&gt;1),"Individual debe ser 100 %; ","")&amp;IF(AND($C432&lt;&gt;"Individual",$C432&lt;&gt;"",$E432=1),"Consorcio o UT con 100 %: revise; ","")&amp;IF(COUNTIFS($A$2:$A$601,$A432,$B$2:$B$601,$B432)&gt;1,"Participación repetida; ","")&amp;IF(AND(IFERROR(INDEX(SUJETOS!$B$2:$B$601,MATCH($B432,SUJETOS!$A$2:$A$601,0)),"")="Persona natural",$G432=""),"Persona natural sin cargo; ",""))</f>
        <v/>
      </c>
      <c r="R432" s="12">
        <f>IF($A432="","",IFERROR(IF(LEN(INDEX(SUJETOS!$F$2:$F$601,MATCH($B432,SUJETOS!$A$2:$A$601,0)))&gt;0,INDEX(SUJETOS!$F$2:$F$601,MATCH($B432,SUJETOS!$A$2:$A$601,0)),$B432),$B432))</f>
        <v/>
      </c>
    </row>
    <row r="433">
      <c r="E433" s="18" t="n"/>
      <c r="K433" s="13">
        <f>IF(OR($A433="",$E433=""),"",IFERROR(E433*INDEX(CONTRATOS!$P$2:$P$601,MATCH($A433,CONTRATOS!$A$2:$A$601,0)),""))</f>
        <v/>
      </c>
      <c r="L433" s="17">
        <f>IF(OR($A433="",$E433=""),"",IFERROR(E433*INDEX(CONTRATOS!$Z$2:$Z$601,MATCH($A433,CONTRATOS!$A$2:$A$601,0)),""))</f>
        <v/>
      </c>
      <c r="M433" s="13">
        <f>IF(OR($A433="",$E433=""),"",IFERROR(E433*INDEX(CONTRATOS!$AA$2:$AA$601,MATCH($A433,CONTRATOS!$A$2:$A$601,0)),""))</f>
        <v/>
      </c>
      <c r="N433" s="19">
        <f>IF($A433="","",SUMIFS($E$2:$E$601,$A$2:$A$601,$A433))</f>
        <v/>
      </c>
      <c r="O433" s="12">
        <f>IF($A433="","",IFERROR(INDEX(CONTRATOS!$F$2:$F$601,MATCH($A433,CONTRATOS!$A$2:$A$601,0)),""))</f>
        <v/>
      </c>
      <c r="P433" s="12">
        <f>IF($A433="","",IFERROR(INDEX(CONTRATOS!$M$2:$M$601,MATCH($A433,CONTRATOS!$A$2:$A$601,0)),""))</f>
        <v/>
      </c>
      <c r="Q433" s="12">
        <f>IF($A433="","",IF(COUNTIF(CONTRATOS!$A$2:$A$601,$A433)=0,"El contrato no existe en CONTRATOS; ","")&amp;IF($B433="","Falta sujeto; ",IF(COUNTIF(SUJETOS!$A$2:$A$601,$B433)=0,"El sujeto no existe en SUJETOS; ",""))&amp;IF($E433="","Falta porcentaje; ","")&amp;IF(N433&gt;1.0001,"Los porcentajes del contrato suman más de 100 %; ","")&amp;IF(AND($C433="Individual",$E433&lt;&gt;"",$E433&lt;&gt;1),"Individual debe ser 100 %; ","")&amp;IF(AND($C433&lt;&gt;"Individual",$C433&lt;&gt;"",$E433=1),"Consorcio o UT con 100 %: revise; ","")&amp;IF(COUNTIFS($A$2:$A$601,$A433,$B$2:$B$601,$B433)&gt;1,"Participación repetida; ","")&amp;IF(AND(IFERROR(INDEX(SUJETOS!$B$2:$B$601,MATCH($B433,SUJETOS!$A$2:$A$601,0)),"")="Persona natural",$G433=""),"Persona natural sin cargo; ",""))</f>
        <v/>
      </c>
      <c r="R433" s="12">
        <f>IF($A433="","",IFERROR(IF(LEN(INDEX(SUJETOS!$F$2:$F$601,MATCH($B433,SUJETOS!$A$2:$A$601,0)))&gt;0,INDEX(SUJETOS!$F$2:$F$601,MATCH($B433,SUJETOS!$A$2:$A$601,0)),$B433),$B433))</f>
        <v/>
      </c>
    </row>
    <row r="434">
      <c r="E434" s="18" t="n"/>
      <c r="K434" s="13">
        <f>IF(OR($A434="",$E434=""),"",IFERROR(E434*INDEX(CONTRATOS!$P$2:$P$601,MATCH($A434,CONTRATOS!$A$2:$A$601,0)),""))</f>
        <v/>
      </c>
      <c r="L434" s="17">
        <f>IF(OR($A434="",$E434=""),"",IFERROR(E434*INDEX(CONTRATOS!$Z$2:$Z$601,MATCH($A434,CONTRATOS!$A$2:$A$601,0)),""))</f>
        <v/>
      </c>
      <c r="M434" s="13">
        <f>IF(OR($A434="",$E434=""),"",IFERROR(E434*INDEX(CONTRATOS!$AA$2:$AA$601,MATCH($A434,CONTRATOS!$A$2:$A$601,0)),""))</f>
        <v/>
      </c>
      <c r="N434" s="19">
        <f>IF($A434="","",SUMIFS($E$2:$E$601,$A$2:$A$601,$A434))</f>
        <v/>
      </c>
      <c r="O434" s="12">
        <f>IF($A434="","",IFERROR(INDEX(CONTRATOS!$F$2:$F$601,MATCH($A434,CONTRATOS!$A$2:$A$601,0)),""))</f>
        <v/>
      </c>
      <c r="P434" s="12">
        <f>IF($A434="","",IFERROR(INDEX(CONTRATOS!$M$2:$M$601,MATCH($A434,CONTRATOS!$A$2:$A$601,0)),""))</f>
        <v/>
      </c>
      <c r="Q434" s="12">
        <f>IF($A434="","",IF(COUNTIF(CONTRATOS!$A$2:$A$601,$A434)=0,"El contrato no existe en CONTRATOS; ","")&amp;IF($B434="","Falta sujeto; ",IF(COUNTIF(SUJETOS!$A$2:$A$601,$B434)=0,"El sujeto no existe en SUJETOS; ",""))&amp;IF($E434="","Falta porcentaje; ","")&amp;IF(N434&gt;1.0001,"Los porcentajes del contrato suman más de 100 %; ","")&amp;IF(AND($C434="Individual",$E434&lt;&gt;"",$E434&lt;&gt;1),"Individual debe ser 100 %; ","")&amp;IF(AND($C434&lt;&gt;"Individual",$C434&lt;&gt;"",$E434=1),"Consorcio o UT con 100 %: revise; ","")&amp;IF(COUNTIFS($A$2:$A$601,$A434,$B$2:$B$601,$B434)&gt;1,"Participación repetida; ","")&amp;IF(AND(IFERROR(INDEX(SUJETOS!$B$2:$B$601,MATCH($B434,SUJETOS!$A$2:$A$601,0)),"")="Persona natural",$G434=""),"Persona natural sin cargo; ",""))</f>
        <v/>
      </c>
      <c r="R434" s="12">
        <f>IF($A434="","",IFERROR(IF(LEN(INDEX(SUJETOS!$F$2:$F$601,MATCH($B434,SUJETOS!$A$2:$A$601,0)))&gt;0,INDEX(SUJETOS!$F$2:$F$601,MATCH($B434,SUJETOS!$A$2:$A$601,0)),$B434),$B434))</f>
        <v/>
      </c>
    </row>
    <row r="435">
      <c r="E435" s="18" t="n"/>
      <c r="K435" s="13">
        <f>IF(OR($A435="",$E435=""),"",IFERROR(E435*INDEX(CONTRATOS!$P$2:$P$601,MATCH($A435,CONTRATOS!$A$2:$A$601,0)),""))</f>
        <v/>
      </c>
      <c r="L435" s="17">
        <f>IF(OR($A435="",$E435=""),"",IFERROR(E435*INDEX(CONTRATOS!$Z$2:$Z$601,MATCH($A435,CONTRATOS!$A$2:$A$601,0)),""))</f>
        <v/>
      </c>
      <c r="M435" s="13">
        <f>IF(OR($A435="",$E435=""),"",IFERROR(E435*INDEX(CONTRATOS!$AA$2:$AA$601,MATCH($A435,CONTRATOS!$A$2:$A$601,0)),""))</f>
        <v/>
      </c>
      <c r="N435" s="19">
        <f>IF($A435="","",SUMIFS($E$2:$E$601,$A$2:$A$601,$A435))</f>
        <v/>
      </c>
      <c r="O435" s="12">
        <f>IF($A435="","",IFERROR(INDEX(CONTRATOS!$F$2:$F$601,MATCH($A435,CONTRATOS!$A$2:$A$601,0)),""))</f>
        <v/>
      </c>
      <c r="P435" s="12">
        <f>IF($A435="","",IFERROR(INDEX(CONTRATOS!$M$2:$M$601,MATCH($A435,CONTRATOS!$A$2:$A$601,0)),""))</f>
        <v/>
      </c>
      <c r="Q435" s="12">
        <f>IF($A435="","",IF(COUNTIF(CONTRATOS!$A$2:$A$601,$A435)=0,"El contrato no existe en CONTRATOS; ","")&amp;IF($B435="","Falta sujeto; ",IF(COUNTIF(SUJETOS!$A$2:$A$601,$B435)=0,"El sujeto no existe en SUJETOS; ",""))&amp;IF($E435="","Falta porcentaje; ","")&amp;IF(N435&gt;1.0001,"Los porcentajes del contrato suman más de 100 %; ","")&amp;IF(AND($C435="Individual",$E435&lt;&gt;"",$E435&lt;&gt;1),"Individual debe ser 100 %; ","")&amp;IF(AND($C435&lt;&gt;"Individual",$C435&lt;&gt;"",$E435=1),"Consorcio o UT con 100 %: revise; ","")&amp;IF(COUNTIFS($A$2:$A$601,$A435,$B$2:$B$601,$B435)&gt;1,"Participación repetida; ","")&amp;IF(AND(IFERROR(INDEX(SUJETOS!$B$2:$B$601,MATCH($B435,SUJETOS!$A$2:$A$601,0)),"")="Persona natural",$G435=""),"Persona natural sin cargo; ",""))</f>
        <v/>
      </c>
      <c r="R435" s="12">
        <f>IF($A435="","",IFERROR(IF(LEN(INDEX(SUJETOS!$F$2:$F$601,MATCH($B435,SUJETOS!$A$2:$A$601,0)))&gt;0,INDEX(SUJETOS!$F$2:$F$601,MATCH($B435,SUJETOS!$A$2:$A$601,0)),$B435),$B435))</f>
        <v/>
      </c>
    </row>
    <row r="436">
      <c r="E436" s="18" t="n"/>
      <c r="K436" s="13">
        <f>IF(OR($A436="",$E436=""),"",IFERROR(E436*INDEX(CONTRATOS!$P$2:$P$601,MATCH($A436,CONTRATOS!$A$2:$A$601,0)),""))</f>
        <v/>
      </c>
      <c r="L436" s="17">
        <f>IF(OR($A436="",$E436=""),"",IFERROR(E436*INDEX(CONTRATOS!$Z$2:$Z$601,MATCH($A436,CONTRATOS!$A$2:$A$601,0)),""))</f>
        <v/>
      </c>
      <c r="M436" s="13">
        <f>IF(OR($A436="",$E436=""),"",IFERROR(E436*INDEX(CONTRATOS!$AA$2:$AA$601,MATCH($A436,CONTRATOS!$A$2:$A$601,0)),""))</f>
        <v/>
      </c>
      <c r="N436" s="19">
        <f>IF($A436="","",SUMIFS($E$2:$E$601,$A$2:$A$601,$A436))</f>
        <v/>
      </c>
      <c r="O436" s="12">
        <f>IF($A436="","",IFERROR(INDEX(CONTRATOS!$F$2:$F$601,MATCH($A436,CONTRATOS!$A$2:$A$601,0)),""))</f>
        <v/>
      </c>
      <c r="P436" s="12">
        <f>IF($A436="","",IFERROR(INDEX(CONTRATOS!$M$2:$M$601,MATCH($A436,CONTRATOS!$A$2:$A$601,0)),""))</f>
        <v/>
      </c>
      <c r="Q436" s="12">
        <f>IF($A436="","",IF(COUNTIF(CONTRATOS!$A$2:$A$601,$A436)=0,"El contrato no existe en CONTRATOS; ","")&amp;IF($B436="","Falta sujeto; ",IF(COUNTIF(SUJETOS!$A$2:$A$601,$B436)=0,"El sujeto no existe en SUJETOS; ",""))&amp;IF($E436="","Falta porcentaje; ","")&amp;IF(N436&gt;1.0001,"Los porcentajes del contrato suman más de 100 %; ","")&amp;IF(AND($C436="Individual",$E436&lt;&gt;"",$E436&lt;&gt;1),"Individual debe ser 100 %; ","")&amp;IF(AND($C436&lt;&gt;"Individual",$C436&lt;&gt;"",$E436=1),"Consorcio o UT con 100 %: revise; ","")&amp;IF(COUNTIFS($A$2:$A$601,$A436,$B$2:$B$601,$B436)&gt;1,"Participación repetida; ","")&amp;IF(AND(IFERROR(INDEX(SUJETOS!$B$2:$B$601,MATCH($B436,SUJETOS!$A$2:$A$601,0)),"")="Persona natural",$G436=""),"Persona natural sin cargo; ",""))</f>
        <v/>
      </c>
      <c r="R436" s="12">
        <f>IF($A436="","",IFERROR(IF(LEN(INDEX(SUJETOS!$F$2:$F$601,MATCH($B436,SUJETOS!$A$2:$A$601,0)))&gt;0,INDEX(SUJETOS!$F$2:$F$601,MATCH($B436,SUJETOS!$A$2:$A$601,0)),$B436),$B436))</f>
        <v/>
      </c>
    </row>
    <row r="437">
      <c r="E437" s="18" t="n"/>
      <c r="K437" s="13">
        <f>IF(OR($A437="",$E437=""),"",IFERROR(E437*INDEX(CONTRATOS!$P$2:$P$601,MATCH($A437,CONTRATOS!$A$2:$A$601,0)),""))</f>
        <v/>
      </c>
      <c r="L437" s="17">
        <f>IF(OR($A437="",$E437=""),"",IFERROR(E437*INDEX(CONTRATOS!$Z$2:$Z$601,MATCH($A437,CONTRATOS!$A$2:$A$601,0)),""))</f>
        <v/>
      </c>
      <c r="M437" s="13">
        <f>IF(OR($A437="",$E437=""),"",IFERROR(E437*INDEX(CONTRATOS!$AA$2:$AA$601,MATCH($A437,CONTRATOS!$A$2:$A$601,0)),""))</f>
        <v/>
      </c>
      <c r="N437" s="19">
        <f>IF($A437="","",SUMIFS($E$2:$E$601,$A$2:$A$601,$A437))</f>
        <v/>
      </c>
      <c r="O437" s="12">
        <f>IF($A437="","",IFERROR(INDEX(CONTRATOS!$F$2:$F$601,MATCH($A437,CONTRATOS!$A$2:$A$601,0)),""))</f>
        <v/>
      </c>
      <c r="P437" s="12">
        <f>IF($A437="","",IFERROR(INDEX(CONTRATOS!$M$2:$M$601,MATCH($A437,CONTRATOS!$A$2:$A$601,0)),""))</f>
        <v/>
      </c>
      <c r="Q437" s="12">
        <f>IF($A437="","",IF(COUNTIF(CONTRATOS!$A$2:$A$601,$A437)=0,"El contrato no existe en CONTRATOS; ","")&amp;IF($B437="","Falta sujeto; ",IF(COUNTIF(SUJETOS!$A$2:$A$601,$B437)=0,"El sujeto no existe en SUJETOS; ",""))&amp;IF($E437="","Falta porcentaje; ","")&amp;IF(N437&gt;1.0001,"Los porcentajes del contrato suman más de 100 %; ","")&amp;IF(AND($C437="Individual",$E437&lt;&gt;"",$E437&lt;&gt;1),"Individual debe ser 100 %; ","")&amp;IF(AND($C437&lt;&gt;"Individual",$C437&lt;&gt;"",$E437=1),"Consorcio o UT con 100 %: revise; ","")&amp;IF(COUNTIFS($A$2:$A$601,$A437,$B$2:$B$601,$B437)&gt;1,"Participación repetida; ","")&amp;IF(AND(IFERROR(INDEX(SUJETOS!$B$2:$B$601,MATCH($B437,SUJETOS!$A$2:$A$601,0)),"")="Persona natural",$G437=""),"Persona natural sin cargo; ",""))</f>
        <v/>
      </c>
      <c r="R437" s="12">
        <f>IF($A437="","",IFERROR(IF(LEN(INDEX(SUJETOS!$F$2:$F$601,MATCH($B437,SUJETOS!$A$2:$A$601,0)))&gt;0,INDEX(SUJETOS!$F$2:$F$601,MATCH($B437,SUJETOS!$A$2:$A$601,0)),$B437),$B437))</f>
        <v/>
      </c>
    </row>
    <row r="438">
      <c r="E438" s="18" t="n"/>
      <c r="K438" s="13">
        <f>IF(OR($A438="",$E438=""),"",IFERROR(E438*INDEX(CONTRATOS!$P$2:$P$601,MATCH($A438,CONTRATOS!$A$2:$A$601,0)),""))</f>
        <v/>
      </c>
      <c r="L438" s="17">
        <f>IF(OR($A438="",$E438=""),"",IFERROR(E438*INDEX(CONTRATOS!$Z$2:$Z$601,MATCH($A438,CONTRATOS!$A$2:$A$601,0)),""))</f>
        <v/>
      </c>
      <c r="M438" s="13">
        <f>IF(OR($A438="",$E438=""),"",IFERROR(E438*INDEX(CONTRATOS!$AA$2:$AA$601,MATCH($A438,CONTRATOS!$A$2:$A$601,0)),""))</f>
        <v/>
      </c>
      <c r="N438" s="19">
        <f>IF($A438="","",SUMIFS($E$2:$E$601,$A$2:$A$601,$A438))</f>
        <v/>
      </c>
      <c r="O438" s="12">
        <f>IF($A438="","",IFERROR(INDEX(CONTRATOS!$F$2:$F$601,MATCH($A438,CONTRATOS!$A$2:$A$601,0)),""))</f>
        <v/>
      </c>
      <c r="P438" s="12">
        <f>IF($A438="","",IFERROR(INDEX(CONTRATOS!$M$2:$M$601,MATCH($A438,CONTRATOS!$A$2:$A$601,0)),""))</f>
        <v/>
      </c>
      <c r="Q438" s="12">
        <f>IF($A438="","",IF(COUNTIF(CONTRATOS!$A$2:$A$601,$A438)=0,"El contrato no existe en CONTRATOS; ","")&amp;IF($B438="","Falta sujeto; ",IF(COUNTIF(SUJETOS!$A$2:$A$601,$B438)=0,"El sujeto no existe en SUJETOS; ",""))&amp;IF($E438="","Falta porcentaje; ","")&amp;IF(N438&gt;1.0001,"Los porcentajes del contrato suman más de 100 %; ","")&amp;IF(AND($C438="Individual",$E438&lt;&gt;"",$E438&lt;&gt;1),"Individual debe ser 100 %; ","")&amp;IF(AND($C438&lt;&gt;"Individual",$C438&lt;&gt;"",$E438=1),"Consorcio o UT con 100 %: revise; ","")&amp;IF(COUNTIFS($A$2:$A$601,$A438,$B$2:$B$601,$B438)&gt;1,"Participación repetida; ","")&amp;IF(AND(IFERROR(INDEX(SUJETOS!$B$2:$B$601,MATCH($B438,SUJETOS!$A$2:$A$601,0)),"")="Persona natural",$G438=""),"Persona natural sin cargo; ",""))</f>
        <v/>
      </c>
      <c r="R438" s="12">
        <f>IF($A438="","",IFERROR(IF(LEN(INDEX(SUJETOS!$F$2:$F$601,MATCH($B438,SUJETOS!$A$2:$A$601,0)))&gt;0,INDEX(SUJETOS!$F$2:$F$601,MATCH($B438,SUJETOS!$A$2:$A$601,0)),$B438),$B438))</f>
        <v/>
      </c>
    </row>
    <row r="439">
      <c r="E439" s="18" t="n"/>
      <c r="K439" s="13">
        <f>IF(OR($A439="",$E439=""),"",IFERROR(E439*INDEX(CONTRATOS!$P$2:$P$601,MATCH($A439,CONTRATOS!$A$2:$A$601,0)),""))</f>
        <v/>
      </c>
      <c r="L439" s="17">
        <f>IF(OR($A439="",$E439=""),"",IFERROR(E439*INDEX(CONTRATOS!$Z$2:$Z$601,MATCH($A439,CONTRATOS!$A$2:$A$601,0)),""))</f>
        <v/>
      </c>
      <c r="M439" s="13">
        <f>IF(OR($A439="",$E439=""),"",IFERROR(E439*INDEX(CONTRATOS!$AA$2:$AA$601,MATCH($A439,CONTRATOS!$A$2:$A$601,0)),""))</f>
        <v/>
      </c>
      <c r="N439" s="19">
        <f>IF($A439="","",SUMIFS($E$2:$E$601,$A$2:$A$601,$A439))</f>
        <v/>
      </c>
      <c r="O439" s="12">
        <f>IF($A439="","",IFERROR(INDEX(CONTRATOS!$F$2:$F$601,MATCH($A439,CONTRATOS!$A$2:$A$601,0)),""))</f>
        <v/>
      </c>
      <c r="P439" s="12">
        <f>IF($A439="","",IFERROR(INDEX(CONTRATOS!$M$2:$M$601,MATCH($A439,CONTRATOS!$A$2:$A$601,0)),""))</f>
        <v/>
      </c>
      <c r="Q439" s="12">
        <f>IF($A439="","",IF(COUNTIF(CONTRATOS!$A$2:$A$601,$A439)=0,"El contrato no existe en CONTRATOS; ","")&amp;IF($B439="","Falta sujeto; ",IF(COUNTIF(SUJETOS!$A$2:$A$601,$B439)=0,"El sujeto no existe en SUJETOS; ",""))&amp;IF($E439="","Falta porcentaje; ","")&amp;IF(N439&gt;1.0001,"Los porcentajes del contrato suman más de 100 %; ","")&amp;IF(AND($C439="Individual",$E439&lt;&gt;"",$E439&lt;&gt;1),"Individual debe ser 100 %; ","")&amp;IF(AND($C439&lt;&gt;"Individual",$C439&lt;&gt;"",$E439=1),"Consorcio o UT con 100 %: revise; ","")&amp;IF(COUNTIFS($A$2:$A$601,$A439,$B$2:$B$601,$B439)&gt;1,"Participación repetida; ","")&amp;IF(AND(IFERROR(INDEX(SUJETOS!$B$2:$B$601,MATCH($B439,SUJETOS!$A$2:$A$601,0)),"")="Persona natural",$G439=""),"Persona natural sin cargo; ",""))</f>
        <v/>
      </c>
      <c r="R439" s="12">
        <f>IF($A439="","",IFERROR(IF(LEN(INDEX(SUJETOS!$F$2:$F$601,MATCH($B439,SUJETOS!$A$2:$A$601,0)))&gt;0,INDEX(SUJETOS!$F$2:$F$601,MATCH($B439,SUJETOS!$A$2:$A$601,0)),$B439),$B439))</f>
        <v/>
      </c>
    </row>
    <row r="440">
      <c r="E440" s="18" t="n"/>
      <c r="K440" s="13">
        <f>IF(OR($A440="",$E440=""),"",IFERROR(E440*INDEX(CONTRATOS!$P$2:$P$601,MATCH($A440,CONTRATOS!$A$2:$A$601,0)),""))</f>
        <v/>
      </c>
      <c r="L440" s="17">
        <f>IF(OR($A440="",$E440=""),"",IFERROR(E440*INDEX(CONTRATOS!$Z$2:$Z$601,MATCH($A440,CONTRATOS!$A$2:$A$601,0)),""))</f>
        <v/>
      </c>
      <c r="M440" s="13">
        <f>IF(OR($A440="",$E440=""),"",IFERROR(E440*INDEX(CONTRATOS!$AA$2:$AA$601,MATCH($A440,CONTRATOS!$A$2:$A$601,0)),""))</f>
        <v/>
      </c>
      <c r="N440" s="19">
        <f>IF($A440="","",SUMIFS($E$2:$E$601,$A$2:$A$601,$A440))</f>
        <v/>
      </c>
      <c r="O440" s="12">
        <f>IF($A440="","",IFERROR(INDEX(CONTRATOS!$F$2:$F$601,MATCH($A440,CONTRATOS!$A$2:$A$601,0)),""))</f>
        <v/>
      </c>
      <c r="P440" s="12">
        <f>IF($A440="","",IFERROR(INDEX(CONTRATOS!$M$2:$M$601,MATCH($A440,CONTRATOS!$A$2:$A$601,0)),""))</f>
        <v/>
      </c>
      <c r="Q440" s="12">
        <f>IF($A440="","",IF(COUNTIF(CONTRATOS!$A$2:$A$601,$A440)=0,"El contrato no existe en CONTRATOS; ","")&amp;IF($B440="","Falta sujeto; ",IF(COUNTIF(SUJETOS!$A$2:$A$601,$B440)=0,"El sujeto no existe en SUJETOS; ",""))&amp;IF($E440="","Falta porcentaje; ","")&amp;IF(N440&gt;1.0001,"Los porcentajes del contrato suman más de 100 %; ","")&amp;IF(AND($C440="Individual",$E440&lt;&gt;"",$E440&lt;&gt;1),"Individual debe ser 100 %; ","")&amp;IF(AND($C440&lt;&gt;"Individual",$C440&lt;&gt;"",$E440=1),"Consorcio o UT con 100 %: revise; ","")&amp;IF(COUNTIFS($A$2:$A$601,$A440,$B$2:$B$601,$B440)&gt;1,"Participación repetida; ","")&amp;IF(AND(IFERROR(INDEX(SUJETOS!$B$2:$B$601,MATCH($B440,SUJETOS!$A$2:$A$601,0)),"")="Persona natural",$G440=""),"Persona natural sin cargo; ",""))</f>
        <v/>
      </c>
      <c r="R440" s="12">
        <f>IF($A440="","",IFERROR(IF(LEN(INDEX(SUJETOS!$F$2:$F$601,MATCH($B440,SUJETOS!$A$2:$A$601,0)))&gt;0,INDEX(SUJETOS!$F$2:$F$601,MATCH($B440,SUJETOS!$A$2:$A$601,0)),$B440),$B440))</f>
        <v/>
      </c>
    </row>
    <row r="441">
      <c r="E441" s="18" t="n"/>
      <c r="K441" s="13">
        <f>IF(OR($A441="",$E441=""),"",IFERROR(E441*INDEX(CONTRATOS!$P$2:$P$601,MATCH($A441,CONTRATOS!$A$2:$A$601,0)),""))</f>
        <v/>
      </c>
      <c r="L441" s="17">
        <f>IF(OR($A441="",$E441=""),"",IFERROR(E441*INDEX(CONTRATOS!$Z$2:$Z$601,MATCH($A441,CONTRATOS!$A$2:$A$601,0)),""))</f>
        <v/>
      </c>
      <c r="M441" s="13">
        <f>IF(OR($A441="",$E441=""),"",IFERROR(E441*INDEX(CONTRATOS!$AA$2:$AA$601,MATCH($A441,CONTRATOS!$A$2:$A$601,0)),""))</f>
        <v/>
      </c>
      <c r="N441" s="19">
        <f>IF($A441="","",SUMIFS($E$2:$E$601,$A$2:$A$601,$A441))</f>
        <v/>
      </c>
      <c r="O441" s="12">
        <f>IF($A441="","",IFERROR(INDEX(CONTRATOS!$F$2:$F$601,MATCH($A441,CONTRATOS!$A$2:$A$601,0)),""))</f>
        <v/>
      </c>
      <c r="P441" s="12">
        <f>IF($A441="","",IFERROR(INDEX(CONTRATOS!$M$2:$M$601,MATCH($A441,CONTRATOS!$A$2:$A$601,0)),""))</f>
        <v/>
      </c>
      <c r="Q441" s="12">
        <f>IF($A441="","",IF(COUNTIF(CONTRATOS!$A$2:$A$601,$A441)=0,"El contrato no existe en CONTRATOS; ","")&amp;IF($B441="","Falta sujeto; ",IF(COUNTIF(SUJETOS!$A$2:$A$601,$B441)=0,"El sujeto no existe en SUJETOS; ",""))&amp;IF($E441="","Falta porcentaje; ","")&amp;IF(N441&gt;1.0001,"Los porcentajes del contrato suman más de 100 %; ","")&amp;IF(AND($C441="Individual",$E441&lt;&gt;"",$E441&lt;&gt;1),"Individual debe ser 100 %; ","")&amp;IF(AND($C441&lt;&gt;"Individual",$C441&lt;&gt;"",$E441=1),"Consorcio o UT con 100 %: revise; ","")&amp;IF(COUNTIFS($A$2:$A$601,$A441,$B$2:$B$601,$B441)&gt;1,"Participación repetida; ","")&amp;IF(AND(IFERROR(INDEX(SUJETOS!$B$2:$B$601,MATCH($B441,SUJETOS!$A$2:$A$601,0)),"")="Persona natural",$G441=""),"Persona natural sin cargo; ",""))</f>
        <v/>
      </c>
      <c r="R441" s="12">
        <f>IF($A441="","",IFERROR(IF(LEN(INDEX(SUJETOS!$F$2:$F$601,MATCH($B441,SUJETOS!$A$2:$A$601,0)))&gt;0,INDEX(SUJETOS!$F$2:$F$601,MATCH($B441,SUJETOS!$A$2:$A$601,0)),$B441),$B441))</f>
        <v/>
      </c>
    </row>
    <row r="442">
      <c r="E442" s="18" t="n"/>
      <c r="K442" s="13">
        <f>IF(OR($A442="",$E442=""),"",IFERROR(E442*INDEX(CONTRATOS!$P$2:$P$601,MATCH($A442,CONTRATOS!$A$2:$A$601,0)),""))</f>
        <v/>
      </c>
      <c r="L442" s="17">
        <f>IF(OR($A442="",$E442=""),"",IFERROR(E442*INDEX(CONTRATOS!$Z$2:$Z$601,MATCH($A442,CONTRATOS!$A$2:$A$601,0)),""))</f>
        <v/>
      </c>
      <c r="M442" s="13">
        <f>IF(OR($A442="",$E442=""),"",IFERROR(E442*INDEX(CONTRATOS!$AA$2:$AA$601,MATCH($A442,CONTRATOS!$A$2:$A$601,0)),""))</f>
        <v/>
      </c>
      <c r="N442" s="19">
        <f>IF($A442="","",SUMIFS($E$2:$E$601,$A$2:$A$601,$A442))</f>
        <v/>
      </c>
      <c r="O442" s="12">
        <f>IF($A442="","",IFERROR(INDEX(CONTRATOS!$F$2:$F$601,MATCH($A442,CONTRATOS!$A$2:$A$601,0)),""))</f>
        <v/>
      </c>
      <c r="P442" s="12">
        <f>IF($A442="","",IFERROR(INDEX(CONTRATOS!$M$2:$M$601,MATCH($A442,CONTRATOS!$A$2:$A$601,0)),""))</f>
        <v/>
      </c>
      <c r="Q442" s="12">
        <f>IF($A442="","",IF(COUNTIF(CONTRATOS!$A$2:$A$601,$A442)=0,"El contrato no existe en CONTRATOS; ","")&amp;IF($B442="","Falta sujeto; ",IF(COUNTIF(SUJETOS!$A$2:$A$601,$B442)=0,"El sujeto no existe en SUJETOS; ",""))&amp;IF($E442="","Falta porcentaje; ","")&amp;IF(N442&gt;1.0001,"Los porcentajes del contrato suman más de 100 %; ","")&amp;IF(AND($C442="Individual",$E442&lt;&gt;"",$E442&lt;&gt;1),"Individual debe ser 100 %; ","")&amp;IF(AND($C442&lt;&gt;"Individual",$C442&lt;&gt;"",$E442=1),"Consorcio o UT con 100 %: revise; ","")&amp;IF(COUNTIFS($A$2:$A$601,$A442,$B$2:$B$601,$B442)&gt;1,"Participación repetida; ","")&amp;IF(AND(IFERROR(INDEX(SUJETOS!$B$2:$B$601,MATCH($B442,SUJETOS!$A$2:$A$601,0)),"")="Persona natural",$G442=""),"Persona natural sin cargo; ",""))</f>
        <v/>
      </c>
      <c r="R442" s="12">
        <f>IF($A442="","",IFERROR(IF(LEN(INDEX(SUJETOS!$F$2:$F$601,MATCH($B442,SUJETOS!$A$2:$A$601,0)))&gt;0,INDEX(SUJETOS!$F$2:$F$601,MATCH($B442,SUJETOS!$A$2:$A$601,0)),$B442),$B442))</f>
        <v/>
      </c>
    </row>
    <row r="443">
      <c r="E443" s="18" t="n"/>
      <c r="K443" s="13">
        <f>IF(OR($A443="",$E443=""),"",IFERROR(E443*INDEX(CONTRATOS!$P$2:$P$601,MATCH($A443,CONTRATOS!$A$2:$A$601,0)),""))</f>
        <v/>
      </c>
      <c r="L443" s="17">
        <f>IF(OR($A443="",$E443=""),"",IFERROR(E443*INDEX(CONTRATOS!$Z$2:$Z$601,MATCH($A443,CONTRATOS!$A$2:$A$601,0)),""))</f>
        <v/>
      </c>
      <c r="M443" s="13">
        <f>IF(OR($A443="",$E443=""),"",IFERROR(E443*INDEX(CONTRATOS!$AA$2:$AA$601,MATCH($A443,CONTRATOS!$A$2:$A$601,0)),""))</f>
        <v/>
      </c>
      <c r="N443" s="19">
        <f>IF($A443="","",SUMIFS($E$2:$E$601,$A$2:$A$601,$A443))</f>
        <v/>
      </c>
      <c r="O443" s="12">
        <f>IF($A443="","",IFERROR(INDEX(CONTRATOS!$F$2:$F$601,MATCH($A443,CONTRATOS!$A$2:$A$601,0)),""))</f>
        <v/>
      </c>
      <c r="P443" s="12">
        <f>IF($A443="","",IFERROR(INDEX(CONTRATOS!$M$2:$M$601,MATCH($A443,CONTRATOS!$A$2:$A$601,0)),""))</f>
        <v/>
      </c>
      <c r="Q443" s="12">
        <f>IF($A443="","",IF(COUNTIF(CONTRATOS!$A$2:$A$601,$A443)=0,"El contrato no existe en CONTRATOS; ","")&amp;IF($B443="","Falta sujeto; ",IF(COUNTIF(SUJETOS!$A$2:$A$601,$B443)=0,"El sujeto no existe en SUJETOS; ",""))&amp;IF($E443="","Falta porcentaje; ","")&amp;IF(N443&gt;1.0001,"Los porcentajes del contrato suman más de 100 %; ","")&amp;IF(AND($C443="Individual",$E443&lt;&gt;"",$E443&lt;&gt;1),"Individual debe ser 100 %; ","")&amp;IF(AND($C443&lt;&gt;"Individual",$C443&lt;&gt;"",$E443=1),"Consorcio o UT con 100 %: revise; ","")&amp;IF(COUNTIFS($A$2:$A$601,$A443,$B$2:$B$601,$B443)&gt;1,"Participación repetida; ","")&amp;IF(AND(IFERROR(INDEX(SUJETOS!$B$2:$B$601,MATCH($B443,SUJETOS!$A$2:$A$601,0)),"")="Persona natural",$G443=""),"Persona natural sin cargo; ",""))</f>
        <v/>
      </c>
      <c r="R443" s="12">
        <f>IF($A443="","",IFERROR(IF(LEN(INDEX(SUJETOS!$F$2:$F$601,MATCH($B443,SUJETOS!$A$2:$A$601,0)))&gt;0,INDEX(SUJETOS!$F$2:$F$601,MATCH($B443,SUJETOS!$A$2:$A$601,0)),$B443),$B443))</f>
        <v/>
      </c>
    </row>
    <row r="444">
      <c r="E444" s="18" t="n"/>
      <c r="K444" s="13">
        <f>IF(OR($A444="",$E444=""),"",IFERROR(E444*INDEX(CONTRATOS!$P$2:$P$601,MATCH($A444,CONTRATOS!$A$2:$A$601,0)),""))</f>
        <v/>
      </c>
      <c r="L444" s="17">
        <f>IF(OR($A444="",$E444=""),"",IFERROR(E444*INDEX(CONTRATOS!$Z$2:$Z$601,MATCH($A444,CONTRATOS!$A$2:$A$601,0)),""))</f>
        <v/>
      </c>
      <c r="M444" s="13">
        <f>IF(OR($A444="",$E444=""),"",IFERROR(E444*INDEX(CONTRATOS!$AA$2:$AA$601,MATCH($A444,CONTRATOS!$A$2:$A$601,0)),""))</f>
        <v/>
      </c>
      <c r="N444" s="19">
        <f>IF($A444="","",SUMIFS($E$2:$E$601,$A$2:$A$601,$A444))</f>
        <v/>
      </c>
      <c r="O444" s="12">
        <f>IF($A444="","",IFERROR(INDEX(CONTRATOS!$F$2:$F$601,MATCH($A444,CONTRATOS!$A$2:$A$601,0)),""))</f>
        <v/>
      </c>
      <c r="P444" s="12">
        <f>IF($A444="","",IFERROR(INDEX(CONTRATOS!$M$2:$M$601,MATCH($A444,CONTRATOS!$A$2:$A$601,0)),""))</f>
        <v/>
      </c>
      <c r="Q444" s="12">
        <f>IF($A444="","",IF(COUNTIF(CONTRATOS!$A$2:$A$601,$A444)=0,"El contrato no existe en CONTRATOS; ","")&amp;IF($B444="","Falta sujeto; ",IF(COUNTIF(SUJETOS!$A$2:$A$601,$B444)=0,"El sujeto no existe en SUJETOS; ",""))&amp;IF($E444="","Falta porcentaje; ","")&amp;IF(N444&gt;1.0001,"Los porcentajes del contrato suman más de 100 %; ","")&amp;IF(AND($C444="Individual",$E444&lt;&gt;"",$E444&lt;&gt;1),"Individual debe ser 100 %; ","")&amp;IF(AND($C444&lt;&gt;"Individual",$C444&lt;&gt;"",$E444=1),"Consorcio o UT con 100 %: revise; ","")&amp;IF(COUNTIFS($A$2:$A$601,$A444,$B$2:$B$601,$B444)&gt;1,"Participación repetida; ","")&amp;IF(AND(IFERROR(INDEX(SUJETOS!$B$2:$B$601,MATCH($B444,SUJETOS!$A$2:$A$601,0)),"")="Persona natural",$G444=""),"Persona natural sin cargo; ",""))</f>
        <v/>
      </c>
      <c r="R444" s="12">
        <f>IF($A444="","",IFERROR(IF(LEN(INDEX(SUJETOS!$F$2:$F$601,MATCH($B444,SUJETOS!$A$2:$A$601,0)))&gt;0,INDEX(SUJETOS!$F$2:$F$601,MATCH($B444,SUJETOS!$A$2:$A$601,0)),$B444),$B444))</f>
        <v/>
      </c>
    </row>
    <row r="445">
      <c r="E445" s="18" t="n"/>
      <c r="K445" s="13">
        <f>IF(OR($A445="",$E445=""),"",IFERROR(E445*INDEX(CONTRATOS!$P$2:$P$601,MATCH($A445,CONTRATOS!$A$2:$A$601,0)),""))</f>
        <v/>
      </c>
      <c r="L445" s="17">
        <f>IF(OR($A445="",$E445=""),"",IFERROR(E445*INDEX(CONTRATOS!$Z$2:$Z$601,MATCH($A445,CONTRATOS!$A$2:$A$601,0)),""))</f>
        <v/>
      </c>
      <c r="M445" s="13">
        <f>IF(OR($A445="",$E445=""),"",IFERROR(E445*INDEX(CONTRATOS!$AA$2:$AA$601,MATCH($A445,CONTRATOS!$A$2:$A$601,0)),""))</f>
        <v/>
      </c>
      <c r="N445" s="19">
        <f>IF($A445="","",SUMIFS($E$2:$E$601,$A$2:$A$601,$A445))</f>
        <v/>
      </c>
      <c r="O445" s="12">
        <f>IF($A445="","",IFERROR(INDEX(CONTRATOS!$F$2:$F$601,MATCH($A445,CONTRATOS!$A$2:$A$601,0)),""))</f>
        <v/>
      </c>
      <c r="P445" s="12">
        <f>IF($A445="","",IFERROR(INDEX(CONTRATOS!$M$2:$M$601,MATCH($A445,CONTRATOS!$A$2:$A$601,0)),""))</f>
        <v/>
      </c>
      <c r="Q445" s="12">
        <f>IF($A445="","",IF(COUNTIF(CONTRATOS!$A$2:$A$601,$A445)=0,"El contrato no existe en CONTRATOS; ","")&amp;IF($B445="","Falta sujeto; ",IF(COUNTIF(SUJETOS!$A$2:$A$601,$B445)=0,"El sujeto no existe en SUJETOS; ",""))&amp;IF($E445="","Falta porcentaje; ","")&amp;IF(N445&gt;1.0001,"Los porcentajes del contrato suman más de 100 %; ","")&amp;IF(AND($C445="Individual",$E445&lt;&gt;"",$E445&lt;&gt;1),"Individual debe ser 100 %; ","")&amp;IF(AND($C445&lt;&gt;"Individual",$C445&lt;&gt;"",$E445=1),"Consorcio o UT con 100 %: revise; ","")&amp;IF(COUNTIFS($A$2:$A$601,$A445,$B$2:$B$601,$B445)&gt;1,"Participación repetida; ","")&amp;IF(AND(IFERROR(INDEX(SUJETOS!$B$2:$B$601,MATCH($B445,SUJETOS!$A$2:$A$601,0)),"")="Persona natural",$G445=""),"Persona natural sin cargo; ",""))</f>
        <v/>
      </c>
      <c r="R445" s="12">
        <f>IF($A445="","",IFERROR(IF(LEN(INDEX(SUJETOS!$F$2:$F$601,MATCH($B445,SUJETOS!$A$2:$A$601,0)))&gt;0,INDEX(SUJETOS!$F$2:$F$601,MATCH($B445,SUJETOS!$A$2:$A$601,0)),$B445),$B445))</f>
        <v/>
      </c>
    </row>
    <row r="446">
      <c r="E446" s="18" t="n"/>
      <c r="K446" s="13">
        <f>IF(OR($A446="",$E446=""),"",IFERROR(E446*INDEX(CONTRATOS!$P$2:$P$601,MATCH($A446,CONTRATOS!$A$2:$A$601,0)),""))</f>
        <v/>
      </c>
      <c r="L446" s="17">
        <f>IF(OR($A446="",$E446=""),"",IFERROR(E446*INDEX(CONTRATOS!$Z$2:$Z$601,MATCH($A446,CONTRATOS!$A$2:$A$601,0)),""))</f>
        <v/>
      </c>
      <c r="M446" s="13">
        <f>IF(OR($A446="",$E446=""),"",IFERROR(E446*INDEX(CONTRATOS!$AA$2:$AA$601,MATCH($A446,CONTRATOS!$A$2:$A$601,0)),""))</f>
        <v/>
      </c>
      <c r="N446" s="19">
        <f>IF($A446="","",SUMIFS($E$2:$E$601,$A$2:$A$601,$A446))</f>
        <v/>
      </c>
      <c r="O446" s="12">
        <f>IF($A446="","",IFERROR(INDEX(CONTRATOS!$F$2:$F$601,MATCH($A446,CONTRATOS!$A$2:$A$601,0)),""))</f>
        <v/>
      </c>
      <c r="P446" s="12">
        <f>IF($A446="","",IFERROR(INDEX(CONTRATOS!$M$2:$M$601,MATCH($A446,CONTRATOS!$A$2:$A$601,0)),""))</f>
        <v/>
      </c>
      <c r="Q446" s="12">
        <f>IF($A446="","",IF(COUNTIF(CONTRATOS!$A$2:$A$601,$A446)=0,"El contrato no existe en CONTRATOS; ","")&amp;IF($B446="","Falta sujeto; ",IF(COUNTIF(SUJETOS!$A$2:$A$601,$B446)=0,"El sujeto no existe en SUJETOS; ",""))&amp;IF($E446="","Falta porcentaje; ","")&amp;IF(N446&gt;1.0001,"Los porcentajes del contrato suman más de 100 %; ","")&amp;IF(AND($C446="Individual",$E446&lt;&gt;"",$E446&lt;&gt;1),"Individual debe ser 100 %; ","")&amp;IF(AND($C446&lt;&gt;"Individual",$C446&lt;&gt;"",$E446=1),"Consorcio o UT con 100 %: revise; ","")&amp;IF(COUNTIFS($A$2:$A$601,$A446,$B$2:$B$601,$B446)&gt;1,"Participación repetida; ","")&amp;IF(AND(IFERROR(INDEX(SUJETOS!$B$2:$B$601,MATCH($B446,SUJETOS!$A$2:$A$601,0)),"")="Persona natural",$G446=""),"Persona natural sin cargo; ",""))</f>
        <v/>
      </c>
      <c r="R446" s="12">
        <f>IF($A446="","",IFERROR(IF(LEN(INDEX(SUJETOS!$F$2:$F$601,MATCH($B446,SUJETOS!$A$2:$A$601,0)))&gt;0,INDEX(SUJETOS!$F$2:$F$601,MATCH($B446,SUJETOS!$A$2:$A$601,0)),$B446),$B446))</f>
        <v/>
      </c>
    </row>
    <row r="447">
      <c r="E447" s="18" t="n"/>
      <c r="K447" s="13">
        <f>IF(OR($A447="",$E447=""),"",IFERROR(E447*INDEX(CONTRATOS!$P$2:$P$601,MATCH($A447,CONTRATOS!$A$2:$A$601,0)),""))</f>
        <v/>
      </c>
      <c r="L447" s="17">
        <f>IF(OR($A447="",$E447=""),"",IFERROR(E447*INDEX(CONTRATOS!$Z$2:$Z$601,MATCH($A447,CONTRATOS!$A$2:$A$601,0)),""))</f>
        <v/>
      </c>
      <c r="M447" s="13">
        <f>IF(OR($A447="",$E447=""),"",IFERROR(E447*INDEX(CONTRATOS!$AA$2:$AA$601,MATCH($A447,CONTRATOS!$A$2:$A$601,0)),""))</f>
        <v/>
      </c>
      <c r="N447" s="19">
        <f>IF($A447="","",SUMIFS($E$2:$E$601,$A$2:$A$601,$A447))</f>
        <v/>
      </c>
      <c r="O447" s="12">
        <f>IF($A447="","",IFERROR(INDEX(CONTRATOS!$F$2:$F$601,MATCH($A447,CONTRATOS!$A$2:$A$601,0)),""))</f>
        <v/>
      </c>
      <c r="P447" s="12">
        <f>IF($A447="","",IFERROR(INDEX(CONTRATOS!$M$2:$M$601,MATCH($A447,CONTRATOS!$A$2:$A$601,0)),""))</f>
        <v/>
      </c>
      <c r="Q447" s="12">
        <f>IF($A447="","",IF(COUNTIF(CONTRATOS!$A$2:$A$601,$A447)=0,"El contrato no existe en CONTRATOS; ","")&amp;IF($B447="","Falta sujeto; ",IF(COUNTIF(SUJETOS!$A$2:$A$601,$B447)=0,"El sujeto no existe en SUJETOS; ",""))&amp;IF($E447="","Falta porcentaje; ","")&amp;IF(N447&gt;1.0001,"Los porcentajes del contrato suman más de 100 %; ","")&amp;IF(AND($C447="Individual",$E447&lt;&gt;"",$E447&lt;&gt;1),"Individual debe ser 100 %; ","")&amp;IF(AND($C447&lt;&gt;"Individual",$C447&lt;&gt;"",$E447=1),"Consorcio o UT con 100 %: revise; ","")&amp;IF(COUNTIFS($A$2:$A$601,$A447,$B$2:$B$601,$B447)&gt;1,"Participación repetida; ","")&amp;IF(AND(IFERROR(INDEX(SUJETOS!$B$2:$B$601,MATCH($B447,SUJETOS!$A$2:$A$601,0)),"")="Persona natural",$G447=""),"Persona natural sin cargo; ",""))</f>
        <v/>
      </c>
      <c r="R447" s="12">
        <f>IF($A447="","",IFERROR(IF(LEN(INDEX(SUJETOS!$F$2:$F$601,MATCH($B447,SUJETOS!$A$2:$A$601,0)))&gt;0,INDEX(SUJETOS!$F$2:$F$601,MATCH($B447,SUJETOS!$A$2:$A$601,0)),$B447),$B447))</f>
        <v/>
      </c>
    </row>
    <row r="448">
      <c r="E448" s="18" t="n"/>
      <c r="K448" s="13">
        <f>IF(OR($A448="",$E448=""),"",IFERROR(E448*INDEX(CONTRATOS!$P$2:$P$601,MATCH($A448,CONTRATOS!$A$2:$A$601,0)),""))</f>
        <v/>
      </c>
      <c r="L448" s="17">
        <f>IF(OR($A448="",$E448=""),"",IFERROR(E448*INDEX(CONTRATOS!$Z$2:$Z$601,MATCH($A448,CONTRATOS!$A$2:$A$601,0)),""))</f>
        <v/>
      </c>
      <c r="M448" s="13">
        <f>IF(OR($A448="",$E448=""),"",IFERROR(E448*INDEX(CONTRATOS!$AA$2:$AA$601,MATCH($A448,CONTRATOS!$A$2:$A$601,0)),""))</f>
        <v/>
      </c>
      <c r="N448" s="19">
        <f>IF($A448="","",SUMIFS($E$2:$E$601,$A$2:$A$601,$A448))</f>
        <v/>
      </c>
      <c r="O448" s="12">
        <f>IF($A448="","",IFERROR(INDEX(CONTRATOS!$F$2:$F$601,MATCH($A448,CONTRATOS!$A$2:$A$601,0)),""))</f>
        <v/>
      </c>
      <c r="P448" s="12">
        <f>IF($A448="","",IFERROR(INDEX(CONTRATOS!$M$2:$M$601,MATCH($A448,CONTRATOS!$A$2:$A$601,0)),""))</f>
        <v/>
      </c>
      <c r="Q448" s="12">
        <f>IF($A448="","",IF(COUNTIF(CONTRATOS!$A$2:$A$601,$A448)=0,"El contrato no existe en CONTRATOS; ","")&amp;IF($B448="","Falta sujeto; ",IF(COUNTIF(SUJETOS!$A$2:$A$601,$B448)=0,"El sujeto no existe en SUJETOS; ",""))&amp;IF($E448="","Falta porcentaje; ","")&amp;IF(N448&gt;1.0001,"Los porcentajes del contrato suman más de 100 %; ","")&amp;IF(AND($C448="Individual",$E448&lt;&gt;"",$E448&lt;&gt;1),"Individual debe ser 100 %; ","")&amp;IF(AND($C448&lt;&gt;"Individual",$C448&lt;&gt;"",$E448=1),"Consorcio o UT con 100 %: revise; ","")&amp;IF(COUNTIFS($A$2:$A$601,$A448,$B$2:$B$601,$B448)&gt;1,"Participación repetida; ","")&amp;IF(AND(IFERROR(INDEX(SUJETOS!$B$2:$B$601,MATCH($B448,SUJETOS!$A$2:$A$601,0)),"")="Persona natural",$G448=""),"Persona natural sin cargo; ",""))</f>
        <v/>
      </c>
      <c r="R448" s="12">
        <f>IF($A448="","",IFERROR(IF(LEN(INDEX(SUJETOS!$F$2:$F$601,MATCH($B448,SUJETOS!$A$2:$A$601,0)))&gt;0,INDEX(SUJETOS!$F$2:$F$601,MATCH($B448,SUJETOS!$A$2:$A$601,0)),$B448),$B448))</f>
        <v/>
      </c>
    </row>
    <row r="449">
      <c r="E449" s="18" t="n"/>
      <c r="K449" s="13">
        <f>IF(OR($A449="",$E449=""),"",IFERROR(E449*INDEX(CONTRATOS!$P$2:$P$601,MATCH($A449,CONTRATOS!$A$2:$A$601,0)),""))</f>
        <v/>
      </c>
      <c r="L449" s="17">
        <f>IF(OR($A449="",$E449=""),"",IFERROR(E449*INDEX(CONTRATOS!$Z$2:$Z$601,MATCH($A449,CONTRATOS!$A$2:$A$601,0)),""))</f>
        <v/>
      </c>
      <c r="M449" s="13">
        <f>IF(OR($A449="",$E449=""),"",IFERROR(E449*INDEX(CONTRATOS!$AA$2:$AA$601,MATCH($A449,CONTRATOS!$A$2:$A$601,0)),""))</f>
        <v/>
      </c>
      <c r="N449" s="19">
        <f>IF($A449="","",SUMIFS($E$2:$E$601,$A$2:$A$601,$A449))</f>
        <v/>
      </c>
      <c r="O449" s="12">
        <f>IF($A449="","",IFERROR(INDEX(CONTRATOS!$F$2:$F$601,MATCH($A449,CONTRATOS!$A$2:$A$601,0)),""))</f>
        <v/>
      </c>
      <c r="P449" s="12">
        <f>IF($A449="","",IFERROR(INDEX(CONTRATOS!$M$2:$M$601,MATCH($A449,CONTRATOS!$A$2:$A$601,0)),""))</f>
        <v/>
      </c>
      <c r="Q449" s="12">
        <f>IF($A449="","",IF(COUNTIF(CONTRATOS!$A$2:$A$601,$A449)=0,"El contrato no existe en CONTRATOS; ","")&amp;IF($B449="","Falta sujeto; ",IF(COUNTIF(SUJETOS!$A$2:$A$601,$B449)=0,"El sujeto no existe en SUJETOS; ",""))&amp;IF($E449="","Falta porcentaje; ","")&amp;IF(N449&gt;1.0001,"Los porcentajes del contrato suman más de 100 %; ","")&amp;IF(AND($C449="Individual",$E449&lt;&gt;"",$E449&lt;&gt;1),"Individual debe ser 100 %; ","")&amp;IF(AND($C449&lt;&gt;"Individual",$C449&lt;&gt;"",$E449=1),"Consorcio o UT con 100 %: revise; ","")&amp;IF(COUNTIFS($A$2:$A$601,$A449,$B$2:$B$601,$B449)&gt;1,"Participación repetida; ","")&amp;IF(AND(IFERROR(INDEX(SUJETOS!$B$2:$B$601,MATCH($B449,SUJETOS!$A$2:$A$601,0)),"")="Persona natural",$G449=""),"Persona natural sin cargo; ",""))</f>
        <v/>
      </c>
      <c r="R449" s="12">
        <f>IF($A449="","",IFERROR(IF(LEN(INDEX(SUJETOS!$F$2:$F$601,MATCH($B449,SUJETOS!$A$2:$A$601,0)))&gt;0,INDEX(SUJETOS!$F$2:$F$601,MATCH($B449,SUJETOS!$A$2:$A$601,0)),$B449),$B449))</f>
        <v/>
      </c>
    </row>
    <row r="450">
      <c r="E450" s="18" t="n"/>
      <c r="K450" s="13">
        <f>IF(OR($A450="",$E450=""),"",IFERROR(E450*INDEX(CONTRATOS!$P$2:$P$601,MATCH($A450,CONTRATOS!$A$2:$A$601,0)),""))</f>
        <v/>
      </c>
      <c r="L450" s="17">
        <f>IF(OR($A450="",$E450=""),"",IFERROR(E450*INDEX(CONTRATOS!$Z$2:$Z$601,MATCH($A450,CONTRATOS!$A$2:$A$601,0)),""))</f>
        <v/>
      </c>
      <c r="M450" s="13">
        <f>IF(OR($A450="",$E450=""),"",IFERROR(E450*INDEX(CONTRATOS!$AA$2:$AA$601,MATCH($A450,CONTRATOS!$A$2:$A$601,0)),""))</f>
        <v/>
      </c>
      <c r="N450" s="19">
        <f>IF($A450="","",SUMIFS($E$2:$E$601,$A$2:$A$601,$A450))</f>
        <v/>
      </c>
      <c r="O450" s="12">
        <f>IF($A450="","",IFERROR(INDEX(CONTRATOS!$F$2:$F$601,MATCH($A450,CONTRATOS!$A$2:$A$601,0)),""))</f>
        <v/>
      </c>
      <c r="P450" s="12">
        <f>IF($A450="","",IFERROR(INDEX(CONTRATOS!$M$2:$M$601,MATCH($A450,CONTRATOS!$A$2:$A$601,0)),""))</f>
        <v/>
      </c>
      <c r="Q450" s="12">
        <f>IF($A450="","",IF(COUNTIF(CONTRATOS!$A$2:$A$601,$A450)=0,"El contrato no existe en CONTRATOS; ","")&amp;IF($B450="","Falta sujeto; ",IF(COUNTIF(SUJETOS!$A$2:$A$601,$B450)=0,"El sujeto no existe en SUJETOS; ",""))&amp;IF($E450="","Falta porcentaje; ","")&amp;IF(N450&gt;1.0001,"Los porcentajes del contrato suman más de 100 %; ","")&amp;IF(AND($C450="Individual",$E450&lt;&gt;"",$E450&lt;&gt;1),"Individual debe ser 100 %; ","")&amp;IF(AND($C450&lt;&gt;"Individual",$C450&lt;&gt;"",$E450=1),"Consorcio o UT con 100 %: revise; ","")&amp;IF(COUNTIFS($A$2:$A$601,$A450,$B$2:$B$601,$B450)&gt;1,"Participación repetida; ","")&amp;IF(AND(IFERROR(INDEX(SUJETOS!$B$2:$B$601,MATCH($B450,SUJETOS!$A$2:$A$601,0)),"")="Persona natural",$G450=""),"Persona natural sin cargo; ",""))</f>
        <v/>
      </c>
      <c r="R450" s="12">
        <f>IF($A450="","",IFERROR(IF(LEN(INDEX(SUJETOS!$F$2:$F$601,MATCH($B450,SUJETOS!$A$2:$A$601,0)))&gt;0,INDEX(SUJETOS!$F$2:$F$601,MATCH($B450,SUJETOS!$A$2:$A$601,0)),$B450),$B450))</f>
        <v/>
      </c>
    </row>
    <row r="451">
      <c r="E451" s="18" t="n"/>
      <c r="K451" s="13">
        <f>IF(OR($A451="",$E451=""),"",IFERROR(E451*INDEX(CONTRATOS!$P$2:$P$601,MATCH($A451,CONTRATOS!$A$2:$A$601,0)),""))</f>
        <v/>
      </c>
      <c r="L451" s="17">
        <f>IF(OR($A451="",$E451=""),"",IFERROR(E451*INDEX(CONTRATOS!$Z$2:$Z$601,MATCH($A451,CONTRATOS!$A$2:$A$601,0)),""))</f>
        <v/>
      </c>
      <c r="M451" s="13">
        <f>IF(OR($A451="",$E451=""),"",IFERROR(E451*INDEX(CONTRATOS!$AA$2:$AA$601,MATCH($A451,CONTRATOS!$A$2:$A$601,0)),""))</f>
        <v/>
      </c>
      <c r="N451" s="19">
        <f>IF($A451="","",SUMIFS($E$2:$E$601,$A$2:$A$601,$A451))</f>
        <v/>
      </c>
      <c r="O451" s="12">
        <f>IF($A451="","",IFERROR(INDEX(CONTRATOS!$F$2:$F$601,MATCH($A451,CONTRATOS!$A$2:$A$601,0)),""))</f>
        <v/>
      </c>
      <c r="P451" s="12">
        <f>IF($A451="","",IFERROR(INDEX(CONTRATOS!$M$2:$M$601,MATCH($A451,CONTRATOS!$A$2:$A$601,0)),""))</f>
        <v/>
      </c>
      <c r="Q451" s="12">
        <f>IF($A451="","",IF(COUNTIF(CONTRATOS!$A$2:$A$601,$A451)=0,"El contrato no existe en CONTRATOS; ","")&amp;IF($B451="","Falta sujeto; ",IF(COUNTIF(SUJETOS!$A$2:$A$601,$B451)=0,"El sujeto no existe en SUJETOS; ",""))&amp;IF($E451="","Falta porcentaje; ","")&amp;IF(N451&gt;1.0001,"Los porcentajes del contrato suman más de 100 %; ","")&amp;IF(AND($C451="Individual",$E451&lt;&gt;"",$E451&lt;&gt;1),"Individual debe ser 100 %; ","")&amp;IF(AND($C451&lt;&gt;"Individual",$C451&lt;&gt;"",$E451=1),"Consorcio o UT con 100 %: revise; ","")&amp;IF(COUNTIFS($A$2:$A$601,$A451,$B$2:$B$601,$B451)&gt;1,"Participación repetida; ","")&amp;IF(AND(IFERROR(INDEX(SUJETOS!$B$2:$B$601,MATCH($B451,SUJETOS!$A$2:$A$601,0)),"")="Persona natural",$G451=""),"Persona natural sin cargo; ",""))</f>
        <v/>
      </c>
      <c r="R451" s="12">
        <f>IF($A451="","",IFERROR(IF(LEN(INDEX(SUJETOS!$F$2:$F$601,MATCH($B451,SUJETOS!$A$2:$A$601,0)))&gt;0,INDEX(SUJETOS!$F$2:$F$601,MATCH($B451,SUJETOS!$A$2:$A$601,0)),$B451),$B451))</f>
        <v/>
      </c>
    </row>
    <row r="452">
      <c r="E452" s="18" t="n"/>
      <c r="K452" s="13">
        <f>IF(OR($A452="",$E452=""),"",IFERROR(E452*INDEX(CONTRATOS!$P$2:$P$601,MATCH($A452,CONTRATOS!$A$2:$A$601,0)),""))</f>
        <v/>
      </c>
      <c r="L452" s="17">
        <f>IF(OR($A452="",$E452=""),"",IFERROR(E452*INDEX(CONTRATOS!$Z$2:$Z$601,MATCH($A452,CONTRATOS!$A$2:$A$601,0)),""))</f>
        <v/>
      </c>
      <c r="M452" s="13">
        <f>IF(OR($A452="",$E452=""),"",IFERROR(E452*INDEX(CONTRATOS!$AA$2:$AA$601,MATCH($A452,CONTRATOS!$A$2:$A$601,0)),""))</f>
        <v/>
      </c>
      <c r="N452" s="19">
        <f>IF($A452="","",SUMIFS($E$2:$E$601,$A$2:$A$601,$A452))</f>
        <v/>
      </c>
      <c r="O452" s="12">
        <f>IF($A452="","",IFERROR(INDEX(CONTRATOS!$F$2:$F$601,MATCH($A452,CONTRATOS!$A$2:$A$601,0)),""))</f>
        <v/>
      </c>
      <c r="P452" s="12">
        <f>IF($A452="","",IFERROR(INDEX(CONTRATOS!$M$2:$M$601,MATCH($A452,CONTRATOS!$A$2:$A$601,0)),""))</f>
        <v/>
      </c>
      <c r="Q452" s="12">
        <f>IF($A452="","",IF(COUNTIF(CONTRATOS!$A$2:$A$601,$A452)=0,"El contrato no existe en CONTRATOS; ","")&amp;IF($B452="","Falta sujeto; ",IF(COUNTIF(SUJETOS!$A$2:$A$601,$B452)=0,"El sujeto no existe en SUJETOS; ",""))&amp;IF($E452="","Falta porcentaje; ","")&amp;IF(N452&gt;1.0001,"Los porcentajes del contrato suman más de 100 %; ","")&amp;IF(AND($C452="Individual",$E452&lt;&gt;"",$E452&lt;&gt;1),"Individual debe ser 100 %; ","")&amp;IF(AND($C452&lt;&gt;"Individual",$C452&lt;&gt;"",$E452=1),"Consorcio o UT con 100 %: revise; ","")&amp;IF(COUNTIFS($A$2:$A$601,$A452,$B$2:$B$601,$B452)&gt;1,"Participación repetida; ","")&amp;IF(AND(IFERROR(INDEX(SUJETOS!$B$2:$B$601,MATCH($B452,SUJETOS!$A$2:$A$601,0)),"")="Persona natural",$G452=""),"Persona natural sin cargo; ",""))</f>
        <v/>
      </c>
      <c r="R452" s="12">
        <f>IF($A452="","",IFERROR(IF(LEN(INDEX(SUJETOS!$F$2:$F$601,MATCH($B452,SUJETOS!$A$2:$A$601,0)))&gt;0,INDEX(SUJETOS!$F$2:$F$601,MATCH($B452,SUJETOS!$A$2:$A$601,0)),$B452),$B452))</f>
        <v/>
      </c>
    </row>
    <row r="453">
      <c r="E453" s="18" t="n"/>
      <c r="K453" s="13">
        <f>IF(OR($A453="",$E453=""),"",IFERROR(E453*INDEX(CONTRATOS!$P$2:$P$601,MATCH($A453,CONTRATOS!$A$2:$A$601,0)),""))</f>
        <v/>
      </c>
      <c r="L453" s="17">
        <f>IF(OR($A453="",$E453=""),"",IFERROR(E453*INDEX(CONTRATOS!$Z$2:$Z$601,MATCH($A453,CONTRATOS!$A$2:$A$601,0)),""))</f>
        <v/>
      </c>
      <c r="M453" s="13">
        <f>IF(OR($A453="",$E453=""),"",IFERROR(E453*INDEX(CONTRATOS!$AA$2:$AA$601,MATCH($A453,CONTRATOS!$A$2:$A$601,0)),""))</f>
        <v/>
      </c>
      <c r="N453" s="19">
        <f>IF($A453="","",SUMIFS($E$2:$E$601,$A$2:$A$601,$A453))</f>
        <v/>
      </c>
      <c r="O453" s="12">
        <f>IF($A453="","",IFERROR(INDEX(CONTRATOS!$F$2:$F$601,MATCH($A453,CONTRATOS!$A$2:$A$601,0)),""))</f>
        <v/>
      </c>
      <c r="P453" s="12">
        <f>IF($A453="","",IFERROR(INDEX(CONTRATOS!$M$2:$M$601,MATCH($A453,CONTRATOS!$A$2:$A$601,0)),""))</f>
        <v/>
      </c>
      <c r="Q453" s="12">
        <f>IF($A453="","",IF(COUNTIF(CONTRATOS!$A$2:$A$601,$A453)=0,"El contrato no existe en CONTRATOS; ","")&amp;IF($B453="","Falta sujeto; ",IF(COUNTIF(SUJETOS!$A$2:$A$601,$B453)=0,"El sujeto no existe en SUJETOS; ",""))&amp;IF($E453="","Falta porcentaje; ","")&amp;IF(N453&gt;1.0001,"Los porcentajes del contrato suman más de 100 %; ","")&amp;IF(AND($C453="Individual",$E453&lt;&gt;"",$E453&lt;&gt;1),"Individual debe ser 100 %; ","")&amp;IF(AND($C453&lt;&gt;"Individual",$C453&lt;&gt;"",$E453=1),"Consorcio o UT con 100 %: revise; ","")&amp;IF(COUNTIFS($A$2:$A$601,$A453,$B$2:$B$601,$B453)&gt;1,"Participación repetida; ","")&amp;IF(AND(IFERROR(INDEX(SUJETOS!$B$2:$B$601,MATCH($B453,SUJETOS!$A$2:$A$601,0)),"")="Persona natural",$G453=""),"Persona natural sin cargo; ",""))</f>
        <v/>
      </c>
      <c r="R453" s="12">
        <f>IF($A453="","",IFERROR(IF(LEN(INDEX(SUJETOS!$F$2:$F$601,MATCH($B453,SUJETOS!$A$2:$A$601,0)))&gt;0,INDEX(SUJETOS!$F$2:$F$601,MATCH($B453,SUJETOS!$A$2:$A$601,0)),$B453),$B453))</f>
        <v/>
      </c>
    </row>
    <row r="454">
      <c r="E454" s="18" t="n"/>
      <c r="K454" s="13">
        <f>IF(OR($A454="",$E454=""),"",IFERROR(E454*INDEX(CONTRATOS!$P$2:$P$601,MATCH($A454,CONTRATOS!$A$2:$A$601,0)),""))</f>
        <v/>
      </c>
      <c r="L454" s="17">
        <f>IF(OR($A454="",$E454=""),"",IFERROR(E454*INDEX(CONTRATOS!$Z$2:$Z$601,MATCH($A454,CONTRATOS!$A$2:$A$601,0)),""))</f>
        <v/>
      </c>
      <c r="M454" s="13">
        <f>IF(OR($A454="",$E454=""),"",IFERROR(E454*INDEX(CONTRATOS!$AA$2:$AA$601,MATCH($A454,CONTRATOS!$A$2:$A$601,0)),""))</f>
        <v/>
      </c>
      <c r="N454" s="19">
        <f>IF($A454="","",SUMIFS($E$2:$E$601,$A$2:$A$601,$A454))</f>
        <v/>
      </c>
      <c r="O454" s="12">
        <f>IF($A454="","",IFERROR(INDEX(CONTRATOS!$F$2:$F$601,MATCH($A454,CONTRATOS!$A$2:$A$601,0)),""))</f>
        <v/>
      </c>
      <c r="P454" s="12">
        <f>IF($A454="","",IFERROR(INDEX(CONTRATOS!$M$2:$M$601,MATCH($A454,CONTRATOS!$A$2:$A$601,0)),""))</f>
        <v/>
      </c>
      <c r="Q454" s="12">
        <f>IF($A454="","",IF(COUNTIF(CONTRATOS!$A$2:$A$601,$A454)=0,"El contrato no existe en CONTRATOS; ","")&amp;IF($B454="","Falta sujeto; ",IF(COUNTIF(SUJETOS!$A$2:$A$601,$B454)=0,"El sujeto no existe en SUJETOS; ",""))&amp;IF($E454="","Falta porcentaje; ","")&amp;IF(N454&gt;1.0001,"Los porcentajes del contrato suman más de 100 %; ","")&amp;IF(AND($C454="Individual",$E454&lt;&gt;"",$E454&lt;&gt;1),"Individual debe ser 100 %; ","")&amp;IF(AND($C454&lt;&gt;"Individual",$C454&lt;&gt;"",$E454=1),"Consorcio o UT con 100 %: revise; ","")&amp;IF(COUNTIFS($A$2:$A$601,$A454,$B$2:$B$601,$B454)&gt;1,"Participación repetida; ","")&amp;IF(AND(IFERROR(INDEX(SUJETOS!$B$2:$B$601,MATCH($B454,SUJETOS!$A$2:$A$601,0)),"")="Persona natural",$G454=""),"Persona natural sin cargo; ",""))</f>
        <v/>
      </c>
      <c r="R454" s="12">
        <f>IF($A454="","",IFERROR(IF(LEN(INDEX(SUJETOS!$F$2:$F$601,MATCH($B454,SUJETOS!$A$2:$A$601,0)))&gt;0,INDEX(SUJETOS!$F$2:$F$601,MATCH($B454,SUJETOS!$A$2:$A$601,0)),$B454),$B454))</f>
        <v/>
      </c>
    </row>
    <row r="455">
      <c r="E455" s="18" t="n"/>
      <c r="K455" s="13">
        <f>IF(OR($A455="",$E455=""),"",IFERROR(E455*INDEX(CONTRATOS!$P$2:$P$601,MATCH($A455,CONTRATOS!$A$2:$A$601,0)),""))</f>
        <v/>
      </c>
      <c r="L455" s="17">
        <f>IF(OR($A455="",$E455=""),"",IFERROR(E455*INDEX(CONTRATOS!$Z$2:$Z$601,MATCH($A455,CONTRATOS!$A$2:$A$601,0)),""))</f>
        <v/>
      </c>
      <c r="M455" s="13">
        <f>IF(OR($A455="",$E455=""),"",IFERROR(E455*INDEX(CONTRATOS!$AA$2:$AA$601,MATCH($A455,CONTRATOS!$A$2:$A$601,0)),""))</f>
        <v/>
      </c>
      <c r="N455" s="19">
        <f>IF($A455="","",SUMIFS($E$2:$E$601,$A$2:$A$601,$A455))</f>
        <v/>
      </c>
      <c r="O455" s="12">
        <f>IF($A455="","",IFERROR(INDEX(CONTRATOS!$F$2:$F$601,MATCH($A455,CONTRATOS!$A$2:$A$601,0)),""))</f>
        <v/>
      </c>
      <c r="P455" s="12">
        <f>IF($A455="","",IFERROR(INDEX(CONTRATOS!$M$2:$M$601,MATCH($A455,CONTRATOS!$A$2:$A$601,0)),""))</f>
        <v/>
      </c>
      <c r="Q455" s="12">
        <f>IF($A455="","",IF(COUNTIF(CONTRATOS!$A$2:$A$601,$A455)=0,"El contrato no existe en CONTRATOS; ","")&amp;IF($B455="","Falta sujeto; ",IF(COUNTIF(SUJETOS!$A$2:$A$601,$B455)=0,"El sujeto no existe en SUJETOS; ",""))&amp;IF($E455="","Falta porcentaje; ","")&amp;IF(N455&gt;1.0001,"Los porcentajes del contrato suman más de 100 %; ","")&amp;IF(AND($C455="Individual",$E455&lt;&gt;"",$E455&lt;&gt;1),"Individual debe ser 100 %; ","")&amp;IF(AND($C455&lt;&gt;"Individual",$C455&lt;&gt;"",$E455=1),"Consorcio o UT con 100 %: revise; ","")&amp;IF(COUNTIFS($A$2:$A$601,$A455,$B$2:$B$601,$B455)&gt;1,"Participación repetida; ","")&amp;IF(AND(IFERROR(INDEX(SUJETOS!$B$2:$B$601,MATCH($B455,SUJETOS!$A$2:$A$601,0)),"")="Persona natural",$G455=""),"Persona natural sin cargo; ",""))</f>
        <v/>
      </c>
      <c r="R455" s="12">
        <f>IF($A455="","",IFERROR(IF(LEN(INDEX(SUJETOS!$F$2:$F$601,MATCH($B455,SUJETOS!$A$2:$A$601,0)))&gt;0,INDEX(SUJETOS!$F$2:$F$601,MATCH($B455,SUJETOS!$A$2:$A$601,0)),$B455),$B455))</f>
        <v/>
      </c>
    </row>
    <row r="456">
      <c r="E456" s="18" t="n"/>
      <c r="K456" s="13">
        <f>IF(OR($A456="",$E456=""),"",IFERROR(E456*INDEX(CONTRATOS!$P$2:$P$601,MATCH($A456,CONTRATOS!$A$2:$A$601,0)),""))</f>
        <v/>
      </c>
      <c r="L456" s="17">
        <f>IF(OR($A456="",$E456=""),"",IFERROR(E456*INDEX(CONTRATOS!$Z$2:$Z$601,MATCH($A456,CONTRATOS!$A$2:$A$601,0)),""))</f>
        <v/>
      </c>
      <c r="M456" s="13">
        <f>IF(OR($A456="",$E456=""),"",IFERROR(E456*INDEX(CONTRATOS!$AA$2:$AA$601,MATCH($A456,CONTRATOS!$A$2:$A$601,0)),""))</f>
        <v/>
      </c>
      <c r="N456" s="19">
        <f>IF($A456="","",SUMIFS($E$2:$E$601,$A$2:$A$601,$A456))</f>
        <v/>
      </c>
      <c r="O456" s="12">
        <f>IF($A456="","",IFERROR(INDEX(CONTRATOS!$F$2:$F$601,MATCH($A456,CONTRATOS!$A$2:$A$601,0)),""))</f>
        <v/>
      </c>
      <c r="P456" s="12">
        <f>IF($A456="","",IFERROR(INDEX(CONTRATOS!$M$2:$M$601,MATCH($A456,CONTRATOS!$A$2:$A$601,0)),""))</f>
        <v/>
      </c>
      <c r="Q456" s="12">
        <f>IF($A456="","",IF(COUNTIF(CONTRATOS!$A$2:$A$601,$A456)=0,"El contrato no existe en CONTRATOS; ","")&amp;IF($B456="","Falta sujeto; ",IF(COUNTIF(SUJETOS!$A$2:$A$601,$B456)=0,"El sujeto no existe en SUJETOS; ",""))&amp;IF($E456="","Falta porcentaje; ","")&amp;IF(N456&gt;1.0001,"Los porcentajes del contrato suman más de 100 %; ","")&amp;IF(AND($C456="Individual",$E456&lt;&gt;"",$E456&lt;&gt;1),"Individual debe ser 100 %; ","")&amp;IF(AND($C456&lt;&gt;"Individual",$C456&lt;&gt;"",$E456=1),"Consorcio o UT con 100 %: revise; ","")&amp;IF(COUNTIFS($A$2:$A$601,$A456,$B$2:$B$601,$B456)&gt;1,"Participación repetida; ","")&amp;IF(AND(IFERROR(INDEX(SUJETOS!$B$2:$B$601,MATCH($B456,SUJETOS!$A$2:$A$601,0)),"")="Persona natural",$G456=""),"Persona natural sin cargo; ",""))</f>
        <v/>
      </c>
      <c r="R456" s="12">
        <f>IF($A456="","",IFERROR(IF(LEN(INDEX(SUJETOS!$F$2:$F$601,MATCH($B456,SUJETOS!$A$2:$A$601,0)))&gt;0,INDEX(SUJETOS!$F$2:$F$601,MATCH($B456,SUJETOS!$A$2:$A$601,0)),$B456),$B456))</f>
        <v/>
      </c>
    </row>
    <row r="457">
      <c r="E457" s="18" t="n"/>
      <c r="K457" s="13">
        <f>IF(OR($A457="",$E457=""),"",IFERROR(E457*INDEX(CONTRATOS!$P$2:$P$601,MATCH($A457,CONTRATOS!$A$2:$A$601,0)),""))</f>
        <v/>
      </c>
      <c r="L457" s="17">
        <f>IF(OR($A457="",$E457=""),"",IFERROR(E457*INDEX(CONTRATOS!$Z$2:$Z$601,MATCH($A457,CONTRATOS!$A$2:$A$601,0)),""))</f>
        <v/>
      </c>
      <c r="M457" s="13">
        <f>IF(OR($A457="",$E457=""),"",IFERROR(E457*INDEX(CONTRATOS!$AA$2:$AA$601,MATCH($A457,CONTRATOS!$A$2:$A$601,0)),""))</f>
        <v/>
      </c>
      <c r="N457" s="19">
        <f>IF($A457="","",SUMIFS($E$2:$E$601,$A$2:$A$601,$A457))</f>
        <v/>
      </c>
      <c r="O457" s="12">
        <f>IF($A457="","",IFERROR(INDEX(CONTRATOS!$F$2:$F$601,MATCH($A457,CONTRATOS!$A$2:$A$601,0)),""))</f>
        <v/>
      </c>
      <c r="P457" s="12">
        <f>IF($A457="","",IFERROR(INDEX(CONTRATOS!$M$2:$M$601,MATCH($A457,CONTRATOS!$A$2:$A$601,0)),""))</f>
        <v/>
      </c>
      <c r="Q457" s="12">
        <f>IF($A457="","",IF(COUNTIF(CONTRATOS!$A$2:$A$601,$A457)=0,"El contrato no existe en CONTRATOS; ","")&amp;IF($B457="","Falta sujeto; ",IF(COUNTIF(SUJETOS!$A$2:$A$601,$B457)=0,"El sujeto no existe en SUJETOS; ",""))&amp;IF($E457="","Falta porcentaje; ","")&amp;IF(N457&gt;1.0001,"Los porcentajes del contrato suman más de 100 %; ","")&amp;IF(AND($C457="Individual",$E457&lt;&gt;"",$E457&lt;&gt;1),"Individual debe ser 100 %; ","")&amp;IF(AND($C457&lt;&gt;"Individual",$C457&lt;&gt;"",$E457=1),"Consorcio o UT con 100 %: revise; ","")&amp;IF(COUNTIFS($A$2:$A$601,$A457,$B$2:$B$601,$B457)&gt;1,"Participación repetida; ","")&amp;IF(AND(IFERROR(INDEX(SUJETOS!$B$2:$B$601,MATCH($B457,SUJETOS!$A$2:$A$601,0)),"")="Persona natural",$G457=""),"Persona natural sin cargo; ",""))</f>
        <v/>
      </c>
      <c r="R457" s="12">
        <f>IF($A457="","",IFERROR(IF(LEN(INDEX(SUJETOS!$F$2:$F$601,MATCH($B457,SUJETOS!$A$2:$A$601,0)))&gt;0,INDEX(SUJETOS!$F$2:$F$601,MATCH($B457,SUJETOS!$A$2:$A$601,0)),$B457),$B457))</f>
        <v/>
      </c>
    </row>
    <row r="458">
      <c r="E458" s="18" t="n"/>
      <c r="K458" s="13">
        <f>IF(OR($A458="",$E458=""),"",IFERROR(E458*INDEX(CONTRATOS!$P$2:$P$601,MATCH($A458,CONTRATOS!$A$2:$A$601,0)),""))</f>
        <v/>
      </c>
      <c r="L458" s="17">
        <f>IF(OR($A458="",$E458=""),"",IFERROR(E458*INDEX(CONTRATOS!$Z$2:$Z$601,MATCH($A458,CONTRATOS!$A$2:$A$601,0)),""))</f>
        <v/>
      </c>
      <c r="M458" s="13">
        <f>IF(OR($A458="",$E458=""),"",IFERROR(E458*INDEX(CONTRATOS!$AA$2:$AA$601,MATCH($A458,CONTRATOS!$A$2:$A$601,0)),""))</f>
        <v/>
      </c>
      <c r="N458" s="19">
        <f>IF($A458="","",SUMIFS($E$2:$E$601,$A$2:$A$601,$A458))</f>
        <v/>
      </c>
      <c r="O458" s="12">
        <f>IF($A458="","",IFERROR(INDEX(CONTRATOS!$F$2:$F$601,MATCH($A458,CONTRATOS!$A$2:$A$601,0)),""))</f>
        <v/>
      </c>
      <c r="P458" s="12">
        <f>IF($A458="","",IFERROR(INDEX(CONTRATOS!$M$2:$M$601,MATCH($A458,CONTRATOS!$A$2:$A$601,0)),""))</f>
        <v/>
      </c>
      <c r="Q458" s="12">
        <f>IF($A458="","",IF(COUNTIF(CONTRATOS!$A$2:$A$601,$A458)=0,"El contrato no existe en CONTRATOS; ","")&amp;IF($B458="","Falta sujeto; ",IF(COUNTIF(SUJETOS!$A$2:$A$601,$B458)=0,"El sujeto no existe en SUJETOS; ",""))&amp;IF($E458="","Falta porcentaje; ","")&amp;IF(N458&gt;1.0001,"Los porcentajes del contrato suman más de 100 %; ","")&amp;IF(AND($C458="Individual",$E458&lt;&gt;"",$E458&lt;&gt;1),"Individual debe ser 100 %; ","")&amp;IF(AND($C458&lt;&gt;"Individual",$C458&lt;&gt;"",$E458=1),"Consorcio o UT con 100 %: revise; ","")&amp;IF(COUNTIFS($A$2:$A$601,$A458,$B$2:$B$601,$B458)&gt;1,"Participación repetida; ","")&amp;IF(AND(IFERROR(INDEX(SUJETOS!$B$2:$B$601,MATCH($B458,SUJETOS!$A$2:$A$601,0)),"")="Persona natural",$G458=""),"Persona natural sin cargo; ",""))</f>
        <v/>
      </c>
      <c r="R458" s="12">
        <f>IF($A458="","",IFERROR(IF(LEN(INDEX(SUJETOS!$F$2:$F$601,MATCH($B458,SUJETOS!$A$2:$A$601,0)))&gt;0,INDEX(SUJETOS!$F$2:$F$601,MATCH($B458,SUJETOS!$A$2:$A$601,0)),$B458),$B458))</f>
        <v/>
      </c>
    </row>
    <row r="459">
      <c r="E459" s="18" t="n"/>
      <c r="K459" s="13">
        <f>IF(OR($A459="",$E459=""),"",IFERROR(E459*INDEX(CONTRATOS!$P$2:$P$601,MATCH($A459,CONTRATOS!$A$2:$A$601,0)),""))</f>
        <v/>
      </c>
      <c r="L459" s="17">
        <f>IF(OR($A459="",$E459=""),"",IFERROR(E459*INDEX(CONTRATOS!$Z$2:$Z$601,MATCH($A459,CONTRATOS!$A$2:$A$601,0)),""))</f>
        <v/>
      </c>
      <c r="M459" s="13">
        <f>IF(OR($A459="",$E459=""),"",IFERROR(E459*INDEX(CONTRATOS!$AA$2:$AA$601,MATCH($A459,CONTRATOS!$A$2:$A$601,0)),""))</f>
        <v/>
      </c>
      <c r="N459" s="19">
        <f>IF($A459="","",SUMIFS($E$2:$E$601,$A$2:$A$601,$A459))</f>
        <v/>
      </c>
      <c r="O459" s="12">
        <f>IF($A459="","",IFERROR(INDEX(CONTRATOS!$F$2:$F$601,MATCH($A459,CONTRATOS!$A$2:$A$601,0)),""))</f>
        <v/>
      </c>
      <c r="P459" s="12">
        <f>IF($A459="","",IFERROR(INDEX(CONTRATOS!$M$2:$M$601,MATCH($A459,CONTRATOS!$A$2:$A$601,0)),""))</f>
        <v/>
      </c>
      <c r="Q459" s="12">
        <f>IF($A459="","",IF(COUNTIF(CONTRATOS!$A$2:$A$601,$A459)=0,"El contrato no existe en CONTRATOS; ","")&amp;IF($B459="","Falta sujeto; ",IF(COUNTIF(SUJETOS!$A$2:$A$601,$B459)=0,"El sujeto no existe en SUJETOS; ",""))&amp;IF($E459="","Falta porcentaje; ","")&amp;IF(N459&gt;1.0001,"Los porcentajes del contrato suman más de 100 %; ","")&amp;IF(AND($C459="Individual",$E459&lt;&gt;"",$E459&lt;&gt;1),"Individual debe ser 100 %; ","")&amp;IF(AND($C459&lt;&gt;"Individual",$C459&lt;&gt;"",$E459=1),"Consorcio o UT con 100 %: revise; ","")&amp;IF(COUNTIFS($A$2:$A$601,$A459,$B$2:$B$601,$B459)&gt;1,"Participación repetida; ","")&amp;IF(AND(IFERROR(INDEX(SUJETOS!$B$2:$B$601,MATCH($B459,SUJETOS!$A$2:$A$601,0)),"")="Persona natural",$G459=""),"Persona natural sin cargo; ",""))</f>
        <v/>
      </c>
      <c r="R459" s="12">
        <f>IF($A459="","",IFERROR(IF(LEN(INDEX(SUJETOS!$F$2:$F$601,MATCH($B459,SUJETOS!$A$2:$A$601,0)))&gt;0,INDEX(SUJETOS!$F$2:$F$601,MATCH($B459,SUJETOS!$A$2:$A$601,0)),$B459),$B459))</f>
        <v/>
      </c>
    </row>
    <row r="460">
      <c r="E460" s="18" t="n"/>
      <c r="K460" s="13">
        <f>IF(OR($A460="",$E460=""),"",IFERROR(E460*INDEX(CONTRATOS!$P$2:$P$601,MATCH($A460,CONTRATOS!$A$2:$A$601,0)),""))</f>
        <v/>
      </c>
      <c r="L460" s="17">
        <f>IF(OR($A460="",$E460=""),"",IFERROR(E460*INDEX(CONTRATOS!$Z$2:$Z$601,MATCH($A460,CONTRATOS!$A$2:$A$601,0)),""))</f>
        <v/>
      </c>
      <c r="M460" s="13">
        <f>IF(OR($A460="",$E460=""),"",IFERROR(E460*INDEX(CONTRATOS!$AA$2:$AA$601,MATCH($A460,CONTRATOS!$A$2:$A$601,0)),""))</f>
        <v/>
      </c>
      <c r="N460" s="19">
        <f>IF($A460="","",SUMIFS($E$2:$E$601,$A$2:$A$601,$A460))</f>
        <v/>
      </c>
      <c r="O460" s="12">
        <f>IF($A460="","",IFERROR(INDEX(CONTRATOS!$F$2:$F$601,MATCH($A460,CONTRATOS!$A$2:$A$601,0)),""))</f>
        <v/>
      </c>
      <c r="P460" s="12">
        <f>IF($A460="","",IFERROR(INDEX(CONTRATOS!$M$2:$M$601,MATCH($A460,CONTRATOS!$A$2:$A$601,0)),""))</f>
        <v/>
      </c>
      <c r="Q460" s="12">
        <f>IF($A460="","",IF(COUNTIF(CONTRATOS!$A$2:$A$601,$A460)=0,"El contrato no existe en CONTRATOS; ","")&amp;IF($B460="","Falta sujeto; ",IF(COUNTIF(SUJETOS!$A$2:$A$601,$B460)=0,"El sujeto no existe en SUJETOS; ",""))&amp;IF($E460="","Falta porcentaje; ","")&amp;IF(N460&gt;1.0001,"Los porcentajes del contrato suman más de 100 %; ","")&amp;IF(AND($C460="Individual",$E460&lt;&gt;"",$E460&lt;&gt;1),"Individual debe ser 100 %; ","")&amp;IF(AND($C460&lt;&gt;"Individual",$C460&lt;&gt;"",$E460=1),"Consorcio o UT con 100 %: revise; ","")&amp;IF(COUNTIFS($A$2:$A$601,$A460,$B$2:$B$601,$B460)&gt;1,"Participación repetida; ","")&amp;IF(AND(IFERROR(INDEX(SUJETOS!$B$2:$B$601,MATCH($B460,SUJETOS!$A$2:$A$601,0)),"")="Persona natural",$G460=""),"Persona natural sin cargo; ",""))</f>
        <v/>
      </c>
      <c r="R460" s="12">
        <f>IF($A460="","",IFERROR(IF(LEN(INDEX(SUJETOS!$F$2:$F$601,MATCH($B460,SUJETOS!$A$2:$A$601,0)))&gt;0,INDEX(SUJETOS!$F$2:$F$601,MATCH($B460,SUJETOS!$A$2:$A$601,0)),$B460),$B460))</f>
        <v/>
      </c>
    </row>
    <row r="461">
      <c r="E461" s="18" t="n"/>
      <c r="K461" s="13">
        <f>IF(OR($A461="",$E461=""),"",IFERROR(E461*INDEX(CONTRATOS!$P$2:$P$601,MATCH($A461,CONTRATOS!$A$2:$A$601,0)),""))</f>
        <v/>
      </c>
      <c r="L461" s="17">
        <f>IF(OR($A461="",$E461=""),"",IFERROR(E461*INDEX(CONTRATOS!$Z$2:$Z$601,MATCH($A461,CONTRATOS!$A$2:$A$601,0)),""))</f>
        <v/>
      </c>
      <c r="M461" s="13">
        <f>IF(OR($A461="",$E461=""),"",IFERROR(E461*INDEX(CONTRATOS!$AA$2:$AA$601,MATCH($A461,CONTRATOS!$A$2:$A$601,0)),""))</f>
        <v/>
      </c>
      <c r="N461" s="19">
        <f>IF($A461="","",SUMIFS($E$2:$E$601,$A$2:$A$601,$A461))</f>
        <v/>
      </c>
      <c r="O461" s="12">
        <f>IF($A461="","",IFERROR(INDEX(CONTRATOS!$F$2:$F$601,MATCH($A461,CONTRATOS!$A$2:$A$601,0)),""))</f>
        <v/>
      </c>
      <c r="P461" s="12">
        <f>IF($A461="","",IFERROR(INDEX(CONTRATOS!$M$2:$M$601,MATCH($A461,CONTRATOS!$A$2:$A$601,0)),""))</f>
        <v/>
      </c>
      <c r="Q461" s="12">
        <f>IF($A461="","",IF(COUNTIF(CONTRATOS!$A$2:$A$601,$A461)=0,"El contrato no existe en CONTRATOS; ","")&amp;IF($B461="","Falta sujeto; ",IF(COUNTIF(SUJETOS!$A$2:$A$601,$B461)=0,"El sujeto no existe en SUJETOS; ",""))&amp;IF($E461="","Falta porcentaje; ","")&amp;IF(N461&gt;1.0001,"Los porcentajes del contrato suman más de 100 %; ","")&amp;IF(AND($C461="Individual",$E461&lt;&gt;"",$E461&lt;&gt;1),"Individual debe ser 100 %; ","")&amp;IF(AND($C461&lt;&gt;"Individual",$C461&lt;&gt;"",$E461=1),"Consorcio o UT con 100 %: revise; ","")&amp;IF(COUNTIFS($A$2:$A$601,$A461,$B$2:$B$601,$B461)&gt;1,"Participación repetida; ","")&amp;IF(AND(IFERROR(INDEX(SUJETOS!$B$2:$B$601,MATCH($B461,SUJETOS!$A$2:$A$601,0)),"")="Persona natural",$G461=""),"Persona natural sin cargo; ",""))</f>
        <v/>
      </c>
      <c r="R461" s="12">
        <f>IF($A461="","",IFERROR(IF(LEN(INDEX(SUJETOS!$F$2:$F$601,MATCH($B461,SUJETOS!$A$2:$A$601,0)))&gt;0,INDEX(SUJETOS!$F$2:$F$601,MATCH($B461,SUJETOS!$A$2:$A$601,0)),$B461),$B461))</f>
        <v/>
      </c>
    </row>
    <row r="462">
      <c r="E462" s="18" t="n"/>
      <c r="K462" s="13">
        <f>IF(OR($A462="",$E462=""),"",IFERROR(E462*INDEX(CONTRATOS!$P$2:$P$601,MATCH($A462,CONTRATOS!$A$2:$A$601,0)),""))</f>
        <v/>
      </c>
      <c r="L462" s="17">
        <f>IF(OR($A462="",$E462=""),"",IFERROR(E462*INDEX(CONTRATOS!$Z$2:$Z$601,MATCH($A462,CONTRATOS!$A$2:$A$601,0)),""))</f>
        <v/>
      </c>
      <c r="M462" s="13">
        <f>IF(OR($A462="",$E462=""),"",IFERROR(E462*INDEX(CONTRATOS!$AA$2:$AA$601,MATCH($A462,CONTRATOS!$A$2:$A$601,0)),""))</f>
        <v/>
      </c>
      <c r="N462" s="19">
        <f>IF($A462="","",SUMIFS($E$2:$E$601,$A$2:$A$601,$A462))</f>
        <v/>
      </c>
      <c r="O462" s="12">
        <f>IF($A462="","",IFERROR(INDEX(CONTRATOS!$F$2:$F$601,MATCH($A462,CONTRATOS!$A$2:$A$601,0)),""))</f>
        <v/>
      </c>
      <c r="P462" s="12">
        <f>IF($A462="","",IFERROR(INDEX(CONTRATOS!$M$2:$M$601,MATCH($A462,CONTRATOS!$A$2:$A$601,0)),""))</f>
        <v/>
      </c>
      <c r="Q462" s="12">
        <f>IF($A462="","",IF(COUNTIF(CONTRATOS!$A$2:$A$601,$A462)=0,"El contrato no existe en CONTRATOS; ","")&amp;IF($B462="","Falta sujeto; ",IF(COUNTIF(SUJETOS!$A$2:$A$601,$B462)=0,"El sujeto no existe en SUJETOS; ",""))&amp;IF($E462="","Falta porcentaje; ","")&amp;IF(N462&gt;1.0001,"Los porcentajes del contrato suman más de 100 %; ","")&amp;IF(AND($C462="Individual",$E462&lt;&gt;"",$E462&lt;&gt;1),"Individual debe ser 100 %; ","")&amp;IF(AND($C462&lt;&gt;"Individual",$C462&lt;&gt;"",$E462=1),"Consorcio o UT con 100 %: revise; ","")&amp;IF(COUNTIFS($A$2:$A$601,$A462,$B$2:$B$601,$B462)&gt;1,"Participación repetida; ","")&amp;IF(AND(IFERROR(INDEX(SUJETOS!$B$2:$B$601,MATCH($B462,SUJETOS!$A$2:$A$601,0)),"")="Persona natural",$G462=""),"Persona natural sin cargo; ",""))</f>
        <v/>
      </c>
      <c r="R462" s="12">
        <f>IF($A462="","",IFERROR(IF(LEN(INDEX(SUJETOS!$F$2:$F$601,MATCH($B462,SUJETOS!$A$2:$A$601,0)))&gt;0,INDEX(SUJETOS!$F$2:$F$601,MATCH($B462,SUJETOS!$A$2:$A$601,0)),$B462),$B462))</f>
        <v/>
      </c>
    </row>
    <row r="463">
      <c r="E463" s="18" t="n"/>
      <c r="K463" s="13">
        <f>IF(OR($A463="",$E463=""),"",IFERROR(E463*INDEX(CONTRATOS!$P$2:$P$601,MATCH($A463,CONTRATOS!$A$2:$A$601,0)),""))</f>
        <v/>
      </c>
      <c r="L463" s="17">
        <f>IF(OR($A463="",$E463=""),"",IFERROR(E463*INDEX(CONTRATOS!$Z$2:$Z$601,MATCH($A463,CONTRATOS!$A$2:$A$601,0)),""))</f>
        <v/>
      </c>
      <c r="M463" s="13">
        <f>IF(OR($A463="",$E463=""),"",IFERROR(E463*INDEX(CONTRATOS!$AA$2:$AA$601,MATCH($A463,CONTRATOS!$A$2:$A$601,0)),""))</f>
        <v/>
      </c>
      <c r="N463" s="19">
        <f>IF($A463="","",SUMIFS($E$2:$E$601,$A$2:$A$601,$A463))</f>
        <v/>
      </c>
      <c r="O463" s="12">
        <f>IF($A463="","",IFERROR(INDEX(CONTRATOS!$F$2:$F$601,MATCH($A463,CONTRATOS!$A$2:$A$601,0)),""))</f>
        <v/>
      </c>
      <c r="P463" s="12">
        <f>IF($A463="","",IFERROR(INDEX(CONTRATOS!$M$2:$M$601,MATCH($A463,CONTRATOS!$A$2:$A$601,0)),""))</f>
        <v/>
      </c>
      <c r="Q463" s="12">
        <f>IF($A463="","",IF(COUNTIF(CONTRATOS!$A$2:$A$601,$A463)=0,"El contrato no existe en CONTRATOS; ","")&amp;IF($B463="","Falta sujeto; ",IF(COUNTIF(SUJETOS!$A$2:$A$601,$B463)=0,"El sujeto no existe en SUJETOS; ",""))&amp;IF($E463="","Falta porcentaje; ","")&amp;IF(N463&gt;1.0001,"Los porcentajes del contrato suman más de 100 %; ","")&amp;IF(AND($C463="Individual",$E463&lt;&gt;"",$E463&lt;&gt;1),"Individual debe ser 100 %; ","")&amp;IF(AND($C463&lt;&gt;"Individual",$C463&lt;&gt;"",$E463=1),"Consorcio o UT con 100 %: revise; ","")&amp;IF(COUNTIFS($A$2:$A$601,$A463,$B$2:$B$601,$B463)&gt;1,"Participación repetida; ","")&amp;IF(AND(IFERROR(INDEX(SUJETOS!$B$2:$B$601,MATCH($B463,SUJETOS!$A$2:$A$601,0)),"")="Persona natural",$G463=""),"Persona natural sin cargo; ",""))</f>
        <v/>
      </c>
      <c r="R463" s="12">
        <f>IF($A463="","",IFERROR(IF(LEN(INDEX(SUJETOS!$F$2:$F$601,MATCH($B463,SUJETOS!$A$2:$A$601,0)))&gt;0,INDEX(SUJETOS!$F$2:$F$601,MATCH($B463,SUJETOS!$A$2:$A$601,0)),$B463),$B463))</f>
        <v/>
      </c>
    </row>
    <row r="464">
      <c r="E464" s="18" t="n"/>
      <c r="K464" s="13">
        <f>IF(OR($A464="",$E464=""),"",IFERROR(E464*INDEX(CONTRATOS!$P$2:$P$601,MATCH($A464,CONTRATOS!$A$2:$A$601,0)),""))</f>
        <v/>
      </c>
      <c r="L464" s="17">
        <f>IF(OR($A464="",$E464=""),"",IFERROR(E464*INDEX(CONTRATOS!$Z$2:$Z$601,MATCH($A464,CONTRATOS!$A$2:$A$601,0)),""))</f>
        <v/>
      </c>
      <c r="M464" s="13">
        <f>IF(OR($A464="",$E464=""),"",IFERROR(E464*INDEX(CONTRATOS!$AA$2:$AA$601,MATCH($A464,CONTRATOS!$A$2:$A$601,0)),""))</f>
        <v/>
      </c>
      <c r="N464" s="19">
        <f>IF($A464="","",SUMIFS($E$2:$E$601,$A$2:$A$601,$A464))</f>
        <v/>
      </c>
      <c r="O464" s="12">
        <f>IF($A464="","",IFERROR(INDEX(CONTRATOS!$F$2:$F$601,MATCH($A464,CONTRATOS!$A$2:$A$601,0)),""))</f>
        <v/>
      </c>
      <c r="P464" s="12">
        <f>IF($A464="","",IFERROR(INDEX(CONTRATOS!$M$2:$M$601,MATCH($A464,CONTRATOS!$A$2:$A$601,0)),""))</f>
        <v/>
      </c>
      <c r="Q464" s="12">
        <f>IF($A464="","",IF(COUNTIF(CONTRATOS!$A$2:$A$601,$A464)=0,"El contrato no existe en CONTRATOS; ","")&amp;IF($B464="","Falta sujeto; ",IF(COUNTIF(SUJETOS!$A$2:$A$601,$B464)=0,"El sujeto no existe en SUJETOS; ",""))&amp;IF($E464="","Falta porcentaje; ","")&amp;IF(N464&gt;1.0001,"Los porcentajes del contrato suman más de 100 %; ","")&amp;IF(AND($C464="Individual",$E464&lt;&gt;"",$E464&lt;&gt;1),"Individual debe ser 100 %; ","")&amp;IF(AND($C464&lt;&gt;"Individual",$C464&lt;&gt;"",$E464=1),"Consorcio o UT con 100 %: revise; ","")&amp;IF(COUNTIFS($A$2:$A$601,$A464,$B$2:$B$601,$B464)&gt;1,"Participación repetida; ","")&amp;IF(AND(IFERROR(INDEX(SUJETOS!$B$2:$B$601,MATCH($B464,SUJETOS!$A$2:$A$601,0)),"")="Persona natural",$G464=""),"Persona natural sin cargo; ",""))</f>
        <v/>
      </c>
      <c r="R464" s="12">
        <f>IF($A464="","",IFERROR(IF(LEN(INDEX(SUJETOS!$F$2:$F$601,MATCH($B464,SUJETOS!$A$2:$A$601,0)))&gt;0,INDEX(SUJETOS!$F$2:$F$601,MATCH($B464,SUJETOS!$A$2:$A$601,0)),$B464),$B464))</f>
        <v/>
      </c>
    </row>
    <row r="465">
      <c r="E465" s="18" t="n"/>
      <c r="K465" s="13">
        <f>IF(OR($A465="",$E465=""),"",IFERROR(E465*INDEX(CONTRATOS!$P$2:$P$601,MATCH($A465,CONTRATOS!$A$2:$A$601,0)),""))</f>
        <v/>
      </c>
      <c r="L465" s="17">
        <f>IF(OR($A465="",$E465=""),"",IFERROR(E465*INDEX(CONTRATOS!$Z$2:$Z$601,MATCH($A465,CONTRATOS!$A$2:$A$601,0)),""))</f>
        <v/>
      </c>
      <c r="M465" s="13">
        <f>IF(OR($A465="",$E465=""),"",IFERROR(E465*INDEX(CONTRATOS!$AA$2:$AA$601,MATCH($A465,CONTRATOS!$A$2:$A$601,0)),""))</f>
        <v/>
      </c>
      <c r="N465" s="19">
        <f>IF($A465="","",SUMIFS($E$2:$E$601,$A$2:$A$601,$A465))</f>
        <v/>
      </c>
      <c r="O465" s="12">
        <f>IF($A465="","",IFERROR(INDEX(CONTRATOS!$F$2:$F$601,MATCH($A465,CONTRATOS!$A$2:$A$601,0)),""))</f>
        <v/>
      </c>
      <c r="P465" s="12">
        <f>IF($A465="","",IFERROR(INDEX(CONTRATOS!$M$2:$M$601,MATCH($A465,CONTRATOS!$A$2:$A$601,0)),""))</f>
        <v/>
      </c>
      <c r="Q465" s="12">
        <f>IF($A465="","",IF(COUNTIF(CONTRATOS!$A$2:$A$601,$A465)=0,"El contrato no existe en CONTRATOS; ","")&amp;IF($B465="","Falta sujeto; ",IF(COUNTIF(SUJETOS!$A$2:$A$601,$B465)=0,"El sujeto no existe en SUJETOS; ",""))&amp;IF($E465="","Falta porcentaje; ","")&amp;IF(N465&gt;1.0001,"Los porcentajes del contrato suman más de 100 %; ","")&amp;IF(AND($C465="Individual",$E465&lt;&gt;"",$E465&lt;&gt;1),"Individual debe ser 100 %; ","")&amp;IF(AND($C465&lt;&gt;"Individual",$C465&lt;&gt;"",$E465=1),"Consorcio o UT con 100 %: revise; ","")&amp;IF(COUNTIFS($A$2:$A$601,$A465,$B$2:$B$601,$B465)&gt;1,"Participación repetida; ","")&amp;IF(AND(IFERROR(INDEX(SUJETOS!$B$2:$B$601,MATCH($B465,SUJETOS!$A$2:$A$601,0)),"")="Persona natural",$G465=""),"Persona natural sin cargo; ",""))</f>
        <v/>
      </c>
      <c r="R465" s="12">
        <f>IF($A465="","",IFERROR(IF(LEN(INDEX(SUJETOS!$F$2:$F$601,MATCH($B465,SUJETOS!$A$2:$A$601,0)))&gt;0,INDEX(SUJETOS!$F$2:$F$601,MATCH($B465,SUJETOS!$A$2:$A$601,0)),$B465),$B465))</f>
        <v/>
      </c>
    </row>
    <row r="466">
      <c r="E466" s="18" t="n"/>
      <c r="K466" s="13">
        <f>IF(OR($A466="",$E466=""),"",IFERROR(E466*INDEX(CONTRATOS!$P$2:$P$601,MATCH($A466,CONTRATOS!$A$2:$A$601,0)),""))</f>
        <v/>
      </c>
      <c r="L466" s="17">
        <f>IF(OR($A466="",$E466=""),"",IFERROR(E466*INDEX(CONTRATOS!$Z$2:$Z$601,MATCH($A466,CONTRATOS!$A$2:$A$601,0)),""))</f>
        <v/>
      </c>
      <c r="M466" s="13">
        <f>IF(OR($A466="",$E466=""),"",IFERROR(E466*INDEX(CONTRATOS!$AA$2:$AA$601,MATCH($A466,CONTRATOS!$A$2:$A$601,0)),""))</f>
        <v/>
      </c>
      <c r="N466" s="19">
        <f>IF($A466="","",SUMIFS($E$2:$E$601,$A$2:$A$601,$A466))</f>
        <v/>
      </c>
      <c r="O466" s="12">
        <f>IF($A466="","",IFERROR(INDEX(CONTRATOS!$F$2:$F$601,MATCH($A466,CONTRATOS!$A$2:$A$601,0)),""))</f>
        <v/>
      </c>
      <c r="P466" s="12">
        <f>IF($A466="","",IFERROR(INDEX(CONTRATOS!$M$2:$M$601,MATCH($A466,CONTRATOS!$A$2:$A$601,0)),""))</f>
        <v/>
      </c>
      <c r="Q466" s="12">
        <f>IF($A466="","",IF(COUNTIF(CONTRATOS!$A$2:$A$601,$A466)=0,"El contrato no existe en CONTRATOS; ","")&amp;IF($B466="","Falta sujeto; ",IF(COUNTIF(SUJETOS!$A$2:$A$601,$B466)=0,"El sujeto no existe en SUJETOS; ",""))&amp;IF($E466="","Falta porcentaje; ","")&amp;IF(N466&gt;1.0001,"Los porcentajes del contrato suman más de 100 %; ","")&amp;IF(AND($C466="Individual",$E466&lt;&gt;"",$E466&lt;&gt;1),"Individual debe ser 100 %; ","")&amp;IF(AND($C466&lt;&gt;"Individual",$C466&lt;&gt;"",$E466=1),"Consorcio o UT con 100 %: revise; ","")&amp;IF(COUNTIFS($A$2:$A$601,$A466,$B$2:$B$601,$B466)&gt;1,"Participación repetida; ","")&amp;IF(AND(IFERROR(INDEX(SUJETOS!$B$2:$B$601,MATCH($B466,SUJETOS!$A$2:$A$601,0)),"")="Persona natural",$G466=""),"Persona natural sin cargo; ",""))</f>
        <v/>
      </c>
      <c r="R466" s="12">
        <f>IF($A466="","",IFERROR(IF(LEN(INDEX(SUJETOS!$F$2:$F$601,MATCH($B466,SUJETOS!$A$2:$A$601,0)))&gt;0,INDEX(SUJETOS!$F$2:$F$601,MATCH($B466,SUJETOS!$A$2:$A$601,0)),$B466),$B466))</f>
        <v/>
      </c>
    </row>
    <row r="467">
      <c r="E467" s="18" t="n"/>
      <c r="K467" s="13">
        <f>IF(OR($A467="",$E467=""),"",IFERROR(E467*INDEX(CONTRATOS!$P$2:$P$601,MATCH($A467,CONTRATOS!$A$2:$A$601,0)),""))</f>
        <v/>
      </c>
      <c r="L467" s="17">
        <f>IF(OR($A467="",$E467=""),"",IFERROR(E467*INDEX(CONTRATOS!$Z$2:$Z$601,MATCH($A467,CONTRATOS!$A$2:$A$601,0)),""))</f>
        <v/>
      </c>
      <c r="M467" s="13">
        <f>IF(OR($A467="",$E467=""),"",IFERROR(E467*INDEX(CONTRATOS!$AA$2:$AA$601,MATCH($A467,CONTRATOS!$A$2:$A$601,0)),""))</f>
        <v/>
      </c>
      <c r="N467" s="19">
        <f>IF($A467="","",SUMIFS($E$2:$E$601,$A$2:$A$601,$A467))</f>
        <v/>
      </c>
      <c r="O467" s="12">
        <f>IF($A467="","",IFERROR(INDEX(CONTRATOS!$F$2:$F$601,MATCH($A467,CONTRATOS!$A$2:$A$601,0)),""))</f>
        <v/>
      </c>
      <c r="P467" s="12">
        <f>IF($A467="","",IFERROR(INDEX(CONTRATOS!$M$2:$M$601,MATCH($A467,CONTRATOS!$A$2:$A$601,0)),""))</f>
        <v/>
      </c>
      <c r="Q467" s="12">
        <f>IF($A467="","",IF(COUNTIF(CONTRATOS!$A$2:$A$601,$A467)=0,"El contrato no existe en CONTRATOS; ","")&amp;IF($B467="","Falta sujeto; ",IF(COUNTIF(SUJETOS!$A$2:$A$601,$B467)=0,"El sujeto no existe en SUJETOS; ",""))&amp;IF($E467="","Falta porcentaje; ","")&amp;IF(N467&gt;1.0001,"Los porcentajes del contrato suman más de 100 %; ","")&amp;IF(AND($C467="Individual",$E467&lt;&gt;"",$E467&lt;&gt;1),"Individual debe ser 100 %; ","")&amp;IF(AND($C467&lt;&gt;"Individual",$C467&lt;&gt;"",$E467=1),"Consorcio o UT con 100 %: revise; ","")&amp;IF(COUNTIFS($A$2:$A$601,$A467,$B$2:$B$601,$B467)&gt;1,"Participación repetida; ","")&amp;IF(AND(IFERROR(INDEX(SUJETOS!$B$2:$B$601,MATCH($B467,SUJETOS!$A$2:$A$601,0)),"")="Persona natural",$G467=""),"Persona natural sin cargo; ",""))</f>
        <v/>
      </c>
      <c r="R467" s="12">
        <f>IF($A467="","",IFERROR(IF(LEN(INDEX(SUJETOS!$F$2:$F$601,MATCH($B467,SUJETOS!$A$2:$A$601,0)))&gt;0,INDEX(SUJETOS!$F$2:$F$601,MATCH($B467,SUJETOS!$A$2:$A$601,0)),$B467),$B467))</f>
        <v/>
      </c>
    </row>
    <row r="468">
      <c r="E468" s="18" t="n"/>
      <c r="K468" s="13">
        <f>IF(OR($A468="",$E468=""),"",IFERROR(E468*INDEX(CONTRATOS!$P$2:$P$601,MATCH($A468,CONTRATOS!$A$2:$A$601,0)),""))</f>
        <v/>
      </c>
      <c r="L468" s="17">
        <f>IF(OR($A468="",$E468=""),"",IFERROR(E468*INDEX(CONTRATOS!$Z$2:$Z$601,MATCH($A468,CONTRATOS!$A$2:$A$601,0)),""))</f>
        <v/>
      </c>
      <c r="M468" s="13">
        <f>IF(OR($A468="",$E468=""),"",IFERROR(E468*INDEX(CONTRATOS!$AA$2:$AA$601,MATCH($A468,CONTRATOS!$A$2:$A$601,0)),""))</f>
        <v/>
      </c>
      <c r="N468" s="19">
        <f>IF($A468="","",SUMIFS($E$2:$E$601,$A$2:$A$601,$A468))</f>
        <v/>
      </c>
      <c r="O468" s="12">
        <f>IF($A468="","",IFERROR(INDEX(CONTRATOS!$F$2:$F$601,MATCH($A468,CONTRATOS!$A$2:$A$601,0)),""))</f>
        <v/>
      </c>
      <c r="P468" s="12">
        <f>IF($A468="","",IFERROR(INDEX(CONTRATOS!$M$2:$M$601,MATCH($A468,CONTRATOS!$A$2:$A$601,0)),""))</f>
        <v/>
      </c>
      <c r="Q468" s="12">
        <f>IF($A468="","",IF(COUNTIF(CONTRATOS!$A$2:$A$601,$A468)=0,"El contrato no existe en CONTRATOS; ","")&amp;IF($B468="","Falta sujeto; ",IF(COUNTIF(SUJETOS!$A$2:$A$601,$B468)=0,"El sujeto no existe en SUJETOS; ",""))&amp;IF($E468="","Falta porcentaje; ","")&amp;IF(N468&gt;1.0001,"Los porcentajes del contrato suman más de 100 %; ","")&amp;IF(AND($C468="Individual",$E468&lt;&gt;"",$E468&lt;&gt;1),"Individual debe ser 100 %; ","")&amp;IF(AND($C468&lt;&gt;"Individual",$C468&lt;&gt;"",$E468=1),"Consorcio o UT con 100 %: revise; ","")&amp;IF(COUNTIFS($A$2:$A$601,$A468,$B$2:$B$601,$B468)&gt;1,"Participación repetida; ","")&amp;IF(AND(IFERROR(INDEX(SUJETOS!$B$2:$B$601,MATCH($B468,SUJETOS!$A$2:$A$601,0)),"")="Persona natural",$G468=""),"Persona natural sin cargo; ",""))</f>
        <v/>
      </c>
      <c r="R468" s="12">
        <f>IF($A468="","",IFERROR(IF(LEN(INDEX(SUJETOS!$F$2:$F$601,MATCH($B468,SUJETOS!$A$2:$A$601,0)))&gt;0,INDEX(SUJETOS!$F$2:$F$601,MATCH($B468,SUJETOS!$A$2:$A$601,0)),$B468),$B468))</f>
        <v/>
      </c>
    </row>
    <row r="469">
      <c r="E469" s="18" t="n"/>
      <c r="K469" s="13">
        <f>IF(OR($A469="",$E469=""),"",IFERROR(E469*INDEX(CONTRATOS!$P$2:$P$601,MATCH($A469,CONTRATOS!$A$2:$A$601,0)),""))</f>
        <v/>
      </c>
      <c r="L469" s="17">
        <f>IF(OR($A469="",$E469=""),"",IFERROR(E469*INDEX(CONTRATOS!$Z$2:$Z$601,MATCH($A469,CONTRATOS!$A$2:$A$601,0)),""))</f>
        <v/>
      </c>
      <c r="M469" s="13">
        <f>IF(OR($A469="",$E469=""),"",IFERROR(E469*INDEX(CONTRATOS!$AA$2:$AA$601,MATCH($A469,CONTRATOS!$A$2:$A$601,0)),""))</f>
        <v/>
      </c>
      <c r="N469" s="19">
        <f>IF($A469="","",SUMIFS($E$2:$E$601,$A$2:$A$601,$A469))</f>
        <v/>
      </c>
      <c r="O469" s="12">
        <f>IF($A469="","",IFERROR(INDEX(CONTRATOS!$F$2:$F$601,MATCH($A469,CONTRATOS!$A$2:$A$601,0)),""))</f>
        <v/>
      </c>
      <c r="P469" s="12">
        <f>IF($A469="","",IFERROR(INDEX(CONTRATOS!$M$2:$M$601,MATCH($A469,CONTRATOS!$A$2:$A$601,0)),""))</f>
        <v/>
      </c>
      <c r="Q469" s="12">
        <f>IF($A469="","",IF(COUNTIF(CONTRATOS!$A$2:$A$601,$A469)=0,"El contrato no existe en CONTRATOS; ","")&amp;IF($B469="","Falta sujeto; ",IF(COUNTIF(SUJETOS!$A$2:$A$601,$B469)=0,"El sujeto no existe en SUJETOS; ",""))&amp;IF($E469="","Falta porcentaje; ","")&amp;IF(N469&gt;1.0001,"Los porcentajes del contrato suman más de 100 %; ","")&amp;IF(AND($C469="Individual",$E469&lt;&gt;"",$E469&lt;&gt;1),"Individual debe ser 100 %; ","")&amp;IF(AND($C469&lt;&gt;"Individual",$C469&lt;&gt;"",$E469=1),"Consorcio o UT con 100 %: revise; ","")&amp;IF(COUNTIFS($A$2:$A$601,$A469,$B$2:$B$601,$B469)&gt;1,"Participación repetida; ","")&amp;IF(AND(IFERROR(INDEX(SUJETOS!$B$2:$B$601,MATCH($B469,SUJETOS!$A$2:$A$601,0)),"")="Persona natural",$G469=""),"Persona natural sin cargo; ",""))</f>
        <v/>
      </c>
      <c r="R469" s="12">
        <f>IF($A469="","",IFERROR(IF(LEN(INDEX(SUJETOS!$F$2:$F$601,MATCH($B469,SUJETOS!$A$2:$A$601,0)))&gt;0,INDEX(SUJETOS!$F$2:$F$601,MATCH($B469,SUJETOS!$A$2:$A$601,0)),$B469),$B469))</f>
        <v/>
      </c>
    </row>
    <row r="470">
      <c r="E470" s="18" t="n"/>
      <c r="K470" s="13">
        <f>IF(OR($A470="",$E470=""),"",IFERROR(E470*INDEX(CONTRATOS!$P$2:$P$601,MATCH($A470,CONTRATOS!$A$2:$A$601,0)),""))</f>
        <v/>
      </c>
      <c r="L470" s="17">
        <f>IF(OR($A470="",$E470=""),"",IFERROR(E470*INDEX(CONTRATOS!$Z$2:$Z$601,MATCH($A470,CONTRATOS!$A$2:$A$601,0)),""))</f>
        <v/>
      </c>
      <c r="M470" s="13">
        <f>IF(OR($A470="",$E470=""),"",IFERROR(E470*INDEX(CONTRATOS!$AA$2:$AA$601,MATCH($A470,CONTRATOS!$A$2:$A$601,0)),""))</f>
        <v/>
      </c>
      <c r="N470" s="19">
        <f>IF($A470="","",SUMIFS($E$2:$E$601,$A$2:$A$601,$A470))</f>
        <v/>
      </c>
      <c r="O470" s="12">
        <f>IF($A470="","",IFERROR(INDEX(CONTRATOS!$F$2:$F$601,MATCH($A470,CONTRATOS!$A$2:$A$601,0)),""))</f>
        <v/>
      </c>
      <c r="P470" s="12">
        <f>IF($A470="","",IFERROR(INDEX(CONTRATOS!$M$2:$M$601,MATCH($A470,CONTRATOS!$A$2:$A$601,0)),""))</f>
        <v/>
      </c>
      <c r="Q470" s="12">
        <f>IF($A470="","",IF(COUNTIF(CONTRATOS!$A$2:$A$601,$A470)=0,"El contrato no existe en CONTRATOS; ","")&amp;IF($B470="","Falta sujeto; ",IF(COUNTIF(SUJETOS!$A$2:$A$601,$B470)=0,"El sujeto no existe en SUJETOS; ",""))&amp;IF($E470="","Falta porcentaje; ","")&amp;IF(N470&gt;1.0001,"Los porcentajes del contrato suman más de 100 %; ","")&amp;IF(AND($C470="Individual",$E470&lt;&gt;"",$E470&lt;&gt;1),"Individual debe ser 100 %; ","")&amp;IF(AND($C470&lt;&gt;"Individual",$C470&lt;&gt;"",$E470=1),"Consorcio o UT con 100 %: revise; ","")&amp;IF(COUNTIFS($A$2:$A$601,$A470,$B$2:$B$601,$B470)&gt;1,"Participación repetida; ","")&amp;IF(AND(IFERROR(INDEX(SUJETOS!$B$2:$B$601,MATCH($B470,SUJETOS!$A$2:$A$601,0)),"")="Persona natural",$G470=""),"Persona natural sin cargo; ",""))</f>
        <v/>
      </c>
      <c r="R470" s="12">
        <f>IF($A470="","",IFERROR(IF(LEN(INDEX(SUJETOS!$F$2:$F$601,MATCH($B470,SUJETOS!$A$2:$A$601,0)))&gt;0,INDEX(SUJETOS!$F$2:$F$601,MATCH($B470,SUJETOS!$A$2:$A$601,0)),$B470),$B470))</f>
        <v/>
      </c>
    </row>
    <row r="471">
      <c r="E471" s="18" t="n"/>
      <c r="K471" s="13">
        <f>IF(OR($A471="",$E471=""),"",IFERROR(E471*INDEX(CONTRATOS!$P$2:$P$601,MATCH($A471,CONTRATOS!$A$2:$A$601,0)),""))</f>
        <v/>
      </c>
      <c r="L471" s="17">
        <f>IF(OR($A471="",$E471=""),"",IFERROR(E471*INDEX(CONTRATOS!$Z$2:$Z$601,MATCH($A471,CONTRATOS!$A$2:$A$601,0)),""))</f>
        <v/>
      </c>
      <c r="M471" s="13">
        <f>IF(OR($A471="",$E471=""),"",IFERROR(E471*INDEX(CONTRATOS!$AA$2:$AA$601,MATCH($A471,CONTRATOS!$A$2:$A$601,0)),""))</f>
        <v/>
      </c>
      <c r="N471" s="19">
        <f>IF($A471="","",SUMIFS($E$2:$E$601,$A$2:$A$601,$A471))</f>
        <v/>
      </c>
      <c r="O471" s="12">
        <f>IF($A471="","",IFERROR(INDEX(CONTRATOS!$F$2:$F$601,MATCH($A471,CONTRATOS!$A$2:$A$601,0)),""))</f>
        <v/>
      </c>
      <c r="P471" s="12">
        <f>IF($A471="","",IFERROR(INDEX(CONTRATOS!$M$2:$M$601,MATCH($A471,CONTRATOS!$A$2:$A$601,0)),""))</f>
        <v/>
      </c>
      <c r="Q471" s="12">
        <f>IF($A471="","",IF(COUNTIF(CONTRATOS!$A$2:$A$601,$A471)=0,"El contrato no existe en CONTRATOS; ","")&amp;IF($B471="","Falta sujeto; ",IF(COUNTIF(SUJETOS!$A$2:$A$601,$B471)=0,"El sujeto no existe en SUJETOS; ",""))&amp;IF($E471="","Falta porcentaje; ","")&amp;IF(N471&gt;1.0001,"Los porcentajes del contrato suman más de 100 %; ","")&amp;IF(AND($C471="Individual",$E471&lt;&gt;"",$E471&lt;&gt;1),"Individual debe ser 100 %; ","")&amp;IF(AND($C471&lt;&gt;"Individual",$C471&lt;&gt;"",$E471=1),"Consorcio o UT con 100 %: revise; ","")&amp;IF(COUNTIFS($A$2:$A$601,$A471,$B$2:$B$601,$B471)&gt;1,"Participación repetida; ","")&amp;IF(AND(IFERROR(INDEX(SUJETOS!$B$2:$B$601,MATCH($B471,SUJETOS!$A$2:$A$601,0)),"")="Persona natural",$G471=""),"Persona natural sin cargo; ",""))</f>
        <v/>
      </c>
      <c r="R471" s="12">
        <f>IF($A471="","",IFERROR(IF(LEN(INDEX(SUJETOS!$F$2:$F$601,MATCH($B471,SUJETOS!$A$2:$A$601,0)))&gt;0,INDEX(SUJETOS!$F$2:$F$601,MATCH($B471,SUJETOS!$A$2:$A$601,0)),$B471),$B471))</f>
        <v/>
      </c>
    </row>
    <row r="472">
      <c r="E472" s="18" t="n"/>
      <c r="K472" s="13">
        <f>IF(OR($A472="",$E472=""),"",IFERROR(E472*INDEX(CONTRATOS!$P$2:$P$601,MATCH($A472,CONTRATOS!$A$2:$A$601,0)),""))</f>
        <v/>
      </c>
      <c r="L472" s="17">
        <f>IF(OR($A472="",$E472=""),"",IFERROR(E472*INDEX(CONTRATOS!$Z$2:$Z$601,MATCH($A472,CONTRATOS!$A$2:$A$601,0)),""))</f>
        <v/>
      </c>
      <c r="M472" s="13">
        <f>IF(OR($A472="",$E472=""),"",IFERROR(E472*INDEX(CONTRATOS!$AA$2:$AA$601,MATCH($A472,CONTRATOS!$A$2:$A$601,0)),""))</f>
        <v/>
      </c>
      <c r="N472" s="19">
        <f>IF($A472="","",SUMIFS($E$2:$E$601,$A$2:$A$601,$A472))</f>
        <v/>
      </c>
      <c r="O472" s="12">
        <f>IF($A472="","",IFERROR(INDEX(CONTRATOS!$F$2:$F$601,MATCH($A472,CONTRATOS!$A$2:$A$601,0)),""))</f>
        <v/>
      </c>
      <c r="P472" s="12">
        <f>IF($A472="","",IFERROR(INDEX(CONTRATOS!$M$2:$M$601,MATCH($A472,CONTRATOS!$A$2:$A$601,0)),""))</f>
        <v/>
      </c>
      <c r="Q472" s="12">
        <f>IF($A472="","",IF(COUNTIF(CONTRATOS!$A$2:$A$601,$A472)=0,"El contrato no existe en CONTRATOS; ","")&amp;IF($B472="","Falta sujeto; ",IF(COUNTIF(SUJETOS!$A$2:$A$601,$B472)=0,"El sujeto no existe en SUJETOS; ",""))&amp;IF($E472="","Falta porcentaje; ","")&amp;IF(N472&gt;1.0001,"Los porcentajes del contrato suman más de 100 %; ","")&amp;IF(AND($C472="Individual",$E472&lt;&gt;"",$E472&lt;&gt;1),"Individual debe ser 100 %; ","")&amp;IF(AND($C472&lt;&gt;"Individual",$C472&lt;&gt;"",$E472=1),"Consorcio o UT con 100 %: revise; ","")&amp;IF(COUNTIFS($A$2:$A$601,$A472,$B$2:$B$601,$B472)&gt;1,"Participación repetida; ","")&amp;IF(AND(IFERROR(INDEX(SUJETOS!$B$2:$B$601,MATCH($B472,SUJETOS!$A$2:$A$601,0)),"")="Persona natural",$G472=""),"Persona natural sin cargo; ",""))</f>
        <v/>
      </c>
      <c r="R472" s="12">
        <f>IF($A472="","",IFERROR(IF(LEN(INDEX(SUJETOS!$F$2:$F$601,MATCH($B472,SUJETOS!$A$2:$A$601,0)))&gt;0,INDEX(SUJETOS!$F$2:$F$601,MATCH($B472,SUJETOS!$A$2:$A$601,0)),$B472),$B472))</f>
        <v/>
      </c>
    </row>
    <row r="473">
      <c r="E473" s="18" t="n"/>
      <c r="K473" s="13">
        <f>IF(OR($A473="",$E473=""),"",IFERROR(E473*INDEX(CONTRATOS!$P$2:$P$601,MATCH($A473,CONTRATOS!$A$2:$A$601,0)),""))</f>
        <v/>
      </c>
      <c r="L473" s="17">
        <f>IF(OR($A473="",$E473=""),"",IFERROR(E473*INDEX(CONTRATOS!$Z$2:$Z$601,MATCH($A473,CONTRATOS!$A$2:$A$601,0)),""))</f>
        <v/>
      </c>
      <c r="M473" s="13">
        <f>IF(OR($A473="",$E473=""),"",IFERROR(E473*INDEX(CONTRATOS!$AA$2:$AA$601,MATCH($A473,CONTRATOS!$A$2:$A$601,0)),""))</f>
        <v/>
      </c>
      <c r="N473" s="19">
        <f>IF($A473="","",SUMIFS($E$2:$E$601,$A$2:$A$601,$A473))</f>
        <v/>
      </c>
      <c r="O473" s="12">
        <f>IF($A473="","",IFERROR(INDEX(CONTRATOS!$F$2:$F$601,MATCH($A473,CONTRATOS!$A$2:$A$601,0)),""))</f>
        <v/>
      </c>
      <c r="P473" s="12">
        <f>IF($A473="","",IFERROR(INDEX(CONTRATOS!$M$2:$M$601,MATCH($A473,CONTRATOS!$A$2:$A$601,0)),""))</f>
        <v/>
      </c>
      <c r="Q473" s="12">
        <f>IF($A473="","",IF(COUNTIF(CONTRATOS!$A$2:$A$601,$A473)=0,"El contrato no existe en CONTRATOS; ","")&amp;IF($B473="","Falta sujeto; ",IF(COUNTIF(SUJETOS!$A$2:$A$601,$B473)=0,"El sujeto no existe en SUJETOS; ",""))&amp;IF($E473="","Falta porcentaje; ","")&amp;IF(N473&gt;1.0001,"Los porcentajes del contrato suman más de 100 %; ","")&amp;IF(AND($C473="Individual",$E473&lt;&gt;"",$E473&lt;&gt;1),"Individual debe ser 100 %; ","")&amp;IF(AND($C473&lt;&gt;"Individual",$C473&lt;&gt;"",$E473=1),"Consorcio o UT con 100 %: revise; ","")&amp;IF(COUNTIFS($A$2:$A$601,$A473,$B$2:$B$601,$B473)&gt;1,"Participación repetida; ","")&amp;IF(AND(IFERROR(INDEX(SUJETOS!$B$2:$B$601,MATCH($B473,SUJETOS!$A$2:$A$601,0)),"")="Persona natural",$G473=""),"Persona natural sin cargo; ",""))</f>
        <v/>
      </c>
      <c r="R473" s="12">
        <f>IF($A473="","",IFERROR(IF(LEN(INDEX(SUJETOS!$F$2:$F$601,MATCH($B473,SUJETOS!$A$2:$A$601,0)))&gt;0,INDEX(SUJETOS!$F$2:$F$601,MATCH($B473,SUJETOS!$A$2:$A$601,0)),$B473),$B473))</f>
        <v/>
      </c>
    </row>
    <row r="474">
      <c r="E474" s="18" t="n"/>
      <c r="K474" s="13">
        <f>IF(OR($A474="",$E474=""),"",IFERROR(E474*INDEX(CONTRATOS!$P$2:$P$601,MATCH($A474,CONTRATOS!$A$2:$A$601,0)),""))</f>
        <v/>
      </c>
      <c r="L474" s="17">
        <f>IF(OR($A474="",$E474=""),"",IFERROR(E474*INDEX(CONTRATOS!$Z$2:$Z$601,MATCH($A474,CONTRATOS!$A$2:$A$601,0)),""))</f>
        <v/>
      </c>
      <c r="M474" s="13">
        <f>IF(OR($A474="",$E474=""),"",IFERROR(E474*INDEX(CONTRATOS!$AA$2:$AA$601,MATCH($A474,CONTRATOS!$A$2:$A$601,0)),""))</f>
        <v/>
      </c>
      <c r="N474" s="19">
        <f>IF($A474="","",SUMIFS($E$2:$E$601,$A$2:$A$601,$A474))</f>
        <v/>
      </c>
      <c r="O474" s="12">
        <f>IF($A474="","",IFERROR(INDEX(CONTRATOS!$F$2:$F$601,MATCH($A474,CONTRATOS!$A$2:$A$601,0)),""))</f>
        <v/>
      </c>
      <c r="P474" s="12">
        <f>IF($A474="","",IFERROR(INDEX(CONTRATOS!$M$2:$M$601,MATCH($A474,CONTRATOS!$A$2:$A$601,0)),""))</f>
        <v/>
      </c>
      <c r="Q474" s="12">
        <f>IF($A474="","",IF(COUNTIF(CONTRATOS!$A$2:$A$601,$A474)=0,"El contrato no existe en CONTRATOS; ","")&amp;IF($B474="","Falta sujeto; ",IF(COUNTIF(SUJETOS!$A$2:$A$601,$B474)=0,"El sujeto no existe en SUJETOS; ",""))&amp;IF($E474="","Falta porcentaje; ","")&amp;IF(N474&gt;1.0001,"Los porcentajes del contrato suman más de 100 %; ","")&amp;IF(AND($C474="Individual",$E474&lt;&gt;"",$E474&lt;&gt;1),"Individual debe ser 100 %; ","")&amp;IF(AND($C474&lt;&gt;"Individual",$C474&lt;&gt;"",$E474=1),"Consorcio o UT con 100 %: revise; ","")&amp;IF(COUNTIFS($A$2:$A$601,$A474,$B$2:$B$601,$B474)&gt;1,"Participación repetida; ","")&amp;IF(AND(IFERROR(INDEX(SUJETOS!$B$2:$B$601,MATCH($B474,SUJETOS!$A$2:$A$601,0)),"")="Persona natural",$G474=""),"Persona natural sin cargo; ",""))</f>
        <v/>
      </c>
      <c r="R474" s="12">
        <f>IF($A474="","",IFERROR(IF(LEN(INDEX(SUJETOS!$F$2:$F$601,MATCH($B474,SUJETOS!$A$2:$A$601,0)))&gt;0,INDEX(SUJETOS!$F$2:$F$601,MATCH($B474,SUJETOS!$A$2:$A$601,0)),$B474),$B474))</f>
        <v/>
      </c>
    </row>
    <row r="475">
      <c r="E475" s="18" t="n"/>
      <c r="K475" s="13">
        <f>IF(OR($A475="",$E475=""),"",IFERROR(E475*INDEX(CONTRATOS!$P$2:$P$601,MATCH($A475,CONTRATOS!$A$2:$A$601,0)),""))</f>
        <v/>
      </c>
      <c r="L475" s="17">
        <f>IF(OR($A475="",$E475=""),"",IFERROR(E475*INDEX(CONTRATOS!$Z$2:$Z$601,MATCH($A475,CONTRATOS!$A$2:$A$601,0)),""))</f>
        <v/>
      </c>
      <c r="M475" s="13">
        <f>IF(OR($A475="",$E475=""),"",IFERROR(E475*INDEX(CONTRATOS!$AA$2:$AA$601,MATCH($A475,CONTRATOS!$A$2:$A$601,0)),""))</f>
        <v/>
      </c>
      <c r="N475" s="19">
        <f>IF($A475="","",SUMIFS($E$2:$E$601,$A$2:$A$601,$A475))</f>
        <v/>
      </c>
      <c r="O475" s="12">
        <f>IF($A475="","",IFERROR(INDEX(CONTRATOS!$F$2:$F$601,MATCH($A475,CONTRATOS!$A$2:$A$601,0)),""))</f>
        <v/>
      </c>
      <c r="P475" s="12">
        <f>IF($A475="","",IFERROR(INDEX(CONTRATOS!$M$2:$M$601,MATCH($A475,CONTRATOS!$A$2:$A$601,0)),""))</f>
        <v/>
      </c>
      <c r="Q475" s="12">
        <f>IF($A475="","",IF(COUNTIF(CONTRATOS!$A$2:$A$601,$A475)=0,"El contrato no existe en CONTRATOS; ","")&amp;IF($B475="","Falta sujeto; ",IF(COUNTIF(SUJETOS!$A$2:$A$601,$B475)=0,"El sujeto no existe en SUJETOS; ",""))&amp;IF($E475="","Falta porcentaje; ","")&amp;IF(N475&gt;1.0001,"Los porcentajes del contrato suman más de 100 %; ","")&amp;IF(AND($C475="Individual",$E475&lt;&gt;"",$E475&lt;&gt;1),"Individual debe ser 100 %; ","")&amp;IF(AND($C475&lt;&gt;"Individual",$C475&lt;&gt;"",$E475=1),"Consorcio o UT con 100 %: revise; ","")&amp;IF(COUNTIFS($A$2:$A$601,$A475,$B$2:$B$601,$B475)&gt;1,"Participación repetida; ","")&amp;IF(AND(IFERROR(INDEX(SUJETOS!$B$2:$B$601,MATCH($B475,SUJETOS!$A$2:$A$601,0)),"")="Persona natural",$G475=""),"Persona natural sin cargo; ",""))</f>
        <v/>
      </c>
      <c r="R475" s="12">
        <f>IF($A475="","",IFERROR(IF(LEN(INDEX(SUJETOS!$F$2:$F$601,MATCH($B475,SUJETOS!$A$2:$A$601,0)))&gt;0,INDEX(SUJETOS!$F$2:$F$601,MATCH($B475,SUJETOS!$A$2:$A$601,0)),$B475),$B475))</f>
        <v/>
      </c>
    </row>
    <row r="476">
      <c r="E476" s="18" t="n"/>
      <c r="K476" s="13">
        <f>IF(OR($A476="",$E476=""),"",IFERROR(E476*INDEX(CONTRATOS!$P$2:$P$601,MATCH($A476,CONTRATOS!$A$2:$A$601,0)),""))</f>
        <v/>
      </c>
      <c r="L476" s="17">
        <f>IF(OR($A476="",$E476=""),"",IFERROR(E476*INDEX(CONTRATOS!$Z$2:$Z$601,MATCH($A476,CONTRATOS!$A$2:$A$601,0)),""))</f>
        <v/>
      </c>
      <c r="M476" s="13">
        <f>IF(OR($A476="",$E476=""),"",IFERROR(E476*INDEX(CONTRATOS!$AA$2:$AA$601,MATCH($A476,CONTRATOS!$A$2:$A$601,0)),""))</f>
        <v/>
      </c>
      <c r="N476" s="19">
        <f>IF($A476="","",SUMIFS($E$2:$E$601,$A$2:$A$601,$A476))</f>
        <v/>
      </c>
      <c r="O476" s="12">
        <f>IF($A476="","",IFERROR(INDEX(CONTRATOS!$F$2:$F$601,MATCH($A476,CONTRATOS!$A$2:$A$601,0)),""))</f>
        <v/>
      </c>
      <c r="P476" s="12">
        <f>IF($A476="","",IFERROR(INDEX(CONTRATOS!$M$2:$M$601,MATCH($A476,CONTRATOS!$A$2:$A$601,0)),""))</f>
        <v/>
      </c>
      <c r="Q476" s="12">
        <f>IF($A476="","",IF(COUNTIF(CONTRATOS!$A$2:$A$601,$A476)=0,"El contrato no existe en CONTRATOS; ","")&amp;IF($B476="","Falta sujeto; ",IF(COUNTIF(SUJETOS!$A$2:$A$601,$B476)=0,"El sujeto no existe en SUJETOS; ",""))&amp;IF($E476="","Falta porcentaje; ","")&amp;IF(N476&gt;1.0001,"Los porcentajes del contrato suman más de 100 %; ","")&amp;IF(AND($C476="Individual",$E476&lt;&gt;"",$E476&lt;&gt;1),"Individual debe ser 100 %; ","")&amp;IF(AND($C476&lt;&gt;"Individual",$C476&lt;&gt;"",$E476=1),"Consorcio o UT con 100 %: revise; ","")&amp;IF(COUNTIFS($A$2:$A$601,$A476,$B$2:$B$601,$B476)&gt;1,"Participación repetida; ","")&amp;IF(AND(IFERROR(INDEX(SUJETOS!$B$2:$B$601,MATCH($B476,SUJETOS!$A$2:$A$601,0)),"")="Persona natural",$G476=""),"Persona natural sin cargo; ",""))</f>
        <v/>
      </c>
      <c r="R476" s="12">
        <f>IF($A476="","",IFERROR(IF(LEN(INDEX(SUJETOS!$F$2:$F$601,MATCH($B476,SUJETOS!$A$2:$A$601,0)))&gt;0,INDEX(SUJETOS!$F$2:$F$601,MATCH($B476,SUJETOS!$A$2:$A$601,0)),$B476),$B476))</f>
        <v/>
      </c>
    </row>
    <row r="477">
      <c r="E477" s="18" t="n"/>
      <c r="K477" s="13">
        <f>IF(OR($A477="",$E477=""),"",IFERROR(E477*INDEX(CONTRATOS!$P$2:$P$601,MATCH($A477,CONTRATOS!$A$2:$A$601,0)),""))</f>
        <v/>
      </c>
      <c r="L477" s="17">
        <f>IF(OR($A477="",$E477=""),"",IFERROR(E477*INDEX(CONTRATOS!$Z$2:$Z$601,MATCH($A477,CONTRATOS!$A$2:$A$601,0)),""))</f>
        <v/>
      </c>
      <c r="M477" s="13">
        <f>IF(OR($A477="",$E477=""),"",IFERROR(E477*INDEX(CONTRATOS!$AA$2:$AA$601,MATCH($A477,CONTRATOS!$A$2:$A$601,0)),""))</f>
        <v/>
      </c>
      <c r="N477" s="19">
        <f>IF($A477="","",SUMIFS($E$2:$E$601,$A$2:$A$601,$A477))</f>
        <v/>
      </c>
      <c r="O477" s="12">
        <f>IF($A477="","",IFERROR(INDEX(CONTRATOS!$F$2:$F$601,MATCH($A477,CONTRATOS!$A$2:$A$601,0)),""))</f>
        <v/>
      </c>
      <c r="P477" s="12">
        <f>IF($A477="","",IFERROR(INDEX(CONTRATOS!$M$2:$M$601,MATCH($A477,CONTRATOS!$A$2:$A$601,0)),""))</f>
        <v/>
      </c>
      <c r="Q477" s="12">
        <f>IF($A477="","",IF(COUNTIF(CONTRATOS!$A$2:$A$601,$A477)=0,"El contrato no existe en CONTRATOS; ","")&amp;IF($B477="","Falta sujeto; ",IF(COUNTIF(SUJETOS!$A$2:$A$601,$B477)=0,"El sujeto no existe en SUJETOS; ",""))&amp;IF($E477="","Falta porcentaje; ","")&amp;IF(N477&gt;1.0001,"Los porcentajes del contrato suman más de 100 %; ","")&amp;IF(AND($C477="Individual",$E477&lt;&gt;"",$E477&lt;&gt;1),"Individual debe ser 100 %; ","")&amp;IF(AND($C477&lt;&gt;"Individual",$C477&lt;&gt;"",$E477=1),"Consorcio o UT con 100 %: revise; ","")&amp;IF(COUNTIFS($A$2:$A$601,$A477,$B$2:$B$601,$B477)&gt;1,"Participación repetida; ","")&amp;IF(AND(IFERROR(INDEX(SUJETOS!$B$2:$B$601,MATCH($B477,SUJETOS!$A$2:$A$601,0)),"")="Persona natural",$G477=""),"Persona natural sin cargo; ",""))</f>
        <v/>
      </c>
      <c r="R477" s="12">
        <f>IF($A477="","",IFERROR(IF(LEN(INDEX(SUJETOS!$F$2:$F$601,MATCH($B477,SUJETOS!$A$2:$A$601,0)))&gt;0,INDEX(SUJETOS!$F$2:$F$601,MATCH($B477,SUJETOS!$A$2:$A$601,0)),$B477),$B477))</f>
        <v/>
      </c>
    </row>
    <row r="478">
      <c r="E478" s="18" t="n"/>
      <c r="K478" s="13">
        <f>IF(OR($A478="",$E478=""),"",IFERROR(E478*INDEX(CONTRATOS!$P$2:$P$601,MATCH($A478,CONTRATOS!$A$2:$A$601,0)),""))</f>
        <v/>
      </c>
      <c r="L478" s="17">
        <f>IF(OR($A478="",$E478=""),"",IFERROR(E478*INDEX(CONTRATOS!$Z$2:$Z$601,MATCH($A478,CONTRATOS!$A$2:$A$601,0)),""))</f>
        <v/>
      </c>
      <c r="M478" s="13">
        <f>IF(OR($A478="",$E478=""),"",IFERROR(E478*INDEX(CONTRATOS!$AA$2:$AA$601,MATCH($A478,CONTRATOS!$A$2:$A$601,0)),""))</f>
        <v/>
      </c>
      <c r="N478" s="19">
        <f>IF($A478="","",SUMIFS($E$2:$E$601,$A$2:$A$601,$A478))</f>
        <v/>
      </c>
      <c r="O478" s="12">
        <f>IF($A478="","",IFERROR(INDEX(CONTRATOS!$F$2:$F$601,MATCH($A478,CONTRATOS!$A$2:$A$601,0)),""))</f>
        <v/>
      </c>
      <c r="P478" s="12">
        <f>IF($A478="","",IFERROR(INDEX(CONTRATOS!$M$2:$M$601,MATCH($A478,CONTRATOS!$A$2:$A$601,0)),""))</f>
        <v/>
      </c>
      <c r="Q478" s="12">
        <f>IF($A478="","",IF(COUNTIF(CONTRATOS!$A$2:$A$601,$A478)=0,"El contrato no existe en CONTRATOS; ","")&amp;IF($B478="","Falta sujeto; ",IF(COUNTIF(SUJETOS!$A$2:$A$601,$B478)=0,"El sujeto no existe en SUJETOS; ",""))&amp;IF($E478="","Falta porcentaje; ","")&amp;IF(N478&gt;1.0001,"Los porcentajes del contrato suman más de 100 %; ","")&amp;IF(AND($C478="Individual",$E478&lt;&gt;"",$E478&lt;&gt;1),"Individual debe ser 100 %; ","")&amp;IF(AND($C478&lt;&gt;"Individual",$C478&lt;&gt;"",$E478=1),"Consorcio o UT con 100 %: revise; ","")&amp;IF(COUNTIFS($A$2:$A$601,$A478,$B$2:$B$601,$B478)&gt;1,"Participación repetida; ","")&amp;IF(AND(IFERROR(INDEX(SUJETOS!$B$2:$B$601,MATCH($B478,SUJETOS!$A$2:$A$601,0)),"")="Persona natural",$G478=""),"Persona natural sin cargo; ",""))</f>
        <v/>
      </c>
      <c r="R478" s="12">
        <f>IF($A478="","",IFERROR(IF(LEN(INDEX(SUJETOS!$F$2:$F$601,MATCH($B478,SUJETOS!$A$2:$A$601,0)))&gt;0,INDEX(SUJETOS!$F$2:$F$601,MATCH($B478,SUJETOS!$A$2:$A$601,0)),$B478),$B478))</f>
        <v/>
      </c>
    </row>
    <row r="479">
      <c r="E479" s="18" t="n"/>
      <c r="K479" s="13">
        <f>IF(OR($A479="",$E479=""),"",IFERROR(E479*INDEX(CONTRATOS!$P$2:$P$601,MATCH($A479,CONTRATOS!$A$2:$A$601,0)),""))</f>
        <v/>
      </c>
      <c r="L479" s="17">
        <f>IF(OR($A479="",$E479=""),"",IFERROR(E479*INDEX(CONTRATOS!$Z$2:$Z$601,MATCH($A479,CONTRATOS!$A$2:$A$601,0)),""))</f>
        <v/>
      </c>
      <c r="M479" s="13">
        <f>IF(OR($A479="",$E479=""),"",IFERROR(E479*INDEX(CONTRATOS!$AA$2:$AA$601,MATCH($A479,CONTRATOS!$A$2:$A$601,0)),""))</f>
        <v/>
      </c>
      <c r="N479" s="19">
        <f>IF($A479="","",SUMIFS($E$2:$E$601,$A$2:$A$601,$A479))</f>
        <v/>
      </c>
      <c r="O479" s="12">
        <f>IF($A479="","",IFERROR(INDEX(CONTRATOS!$F$2:$F$601,MATCH($A479,CONTRATOS!$A$2:$A$601,0)),""))</f>
        <v/>
      </c>
      <c r="P479" s="12">
        <f>IF($A479="","",IFERROR(INDEX(CONTRATOS!$M$2:$M$601,MATCH($A479,CONTRATOS!$A$2:$A$601,0)),""))</f>
        <v/>
      </c>
      <c r="Q479" s="12">
        <f>IF($A479="","",IF(COUNTIF(CONTRATOS!$A$2:$A$601,$A479)=0,"El contrato no existe en CONTRATOS; ","")&amp;IF($B479="","Falta sujeto; ",IF(COUNTIF(SUJETOS!$A$2:$A$601,$B479)=0,"El sujeto no existe en SUJETOS; ",""))&amp;IF($E479="","Falta porcentaje; ","")&amp;IF(N479&gt;1.0001,"Los porcentajes del contrato suman más de 100 %; ","")&amp;IF(AND($C479="Individual",$E479&lt;&gt;"",$E479&lt;&gt;1),"Individual debe ser 100 %; ","")&amp;IF(AND($C479&lt;&gt;"Individual",$C479&lt;&gt;"",$E479=1),"Consorcio o UT con 100 %: revise; ","")&amp;IF(COUNTIFS($A$2:$A$601,$A479,$B$2:$B$601,$B479)&gt;1,"Participación repetida; ","")&amp;IF(AND(IFERROR(INDEX(SUJETOS!$B$2:$B$601,MATCH($B479,SUJETOS!$A$2:$A$601,0)),"")="Persona natural",$G479=""),"Persona natural sin cargo; ",""))</f>
        <v/>
      </c>
      <c r="R479" s="12">
        <f>IF($A479="","",IFERROR(IF(LEN(INDEX(SUJETOS!$F$2:$F$601,MATCH($B479,SUJETOS!$A$2:$A$601,0)))&gt;0,INDEX(SUJETOS!$F$2:$F$601,MATCH($B479,SUJETOS!$A$2:$A$601,0)),$B479),$B479))</f>
        <v/>
      </c>
    </row>
    <row r="480">
      <c r="E480" s="18" t="n"/>
      <c r="K480" s="13">
        <f>IF(OR($A480="",$E480=""),"",IFERROR(E480*INDEX(CONTRATOS!$P$2:$P$601,MATCH($A480,CONTRATOS!$A$2:$A$601,0)),""))</f>
        <v/>
      </c>
      <c r="L480" s="17">
        <f>IF(OR($A480="",$E480=""),"",IFERROR(E480*INDEX(CONTRATOS!$Z$2:$Z$601,MATCH($A480,CONTRATOS!$A$2:$A$601,0)),""))</f>
        <v/>
      </c>
      <c r="M480" s="13">
        <f>IF(OR($A480="",$E480=""),"",IFERROR(E480*INDEX(CONTRATOS!$AA$2:$AA$601,MATCH($A480,CONTRATOS!$A$2:$A$601,0)),""))</f>
        <v/>
      </c>
      <c r="N480" s="19">
        <f>IF($A480="","",SUMIFS($E$2:$E$601,$A$2:$A$601,$A480))</f>
        <v/>
      </c>
      <c r="O480" s="12">
        <f>IF($A480="","",IFERROR(INDEX(CONTRATOS!$F$2:$F$601,MATCH($A480,CONTRATOS!$A$2:$A$601,0)),""))</f>
        <v/>
      </c>
      <c r="P480" s="12">
        <f>IF($A480="","",IFERROR(INDEX(CONTRATOS!$M$2:$M$601,MATCH($A480,CONTRATOS!$A$2:$A$601,0)),""))</f>
        <v/>
      </c>
      <c r="Q480" s="12">
        <f>IF($A480="","",IF(COUNTIF(CONTRATOS!$A$2:$A$601,$A480)=0,"El contrato no existe en CONTRATOS; ","")&amp;IF($B480="","Falta sujeto; ",IF(COUNTIF(SUJETOS!$A$2:$A$601,$B480)=0,"El sujeto no existe en SUJETOS; ",""))&amp;IF($E480="","Falta porcentaje; ","")&amp;IF(N480&gt;1.0001,"Los porcentajes del contrato suman más de 100 %; ","")&amp;IF(AND($C480="Individual",$E480&lt;&gt;"",$E480&lt;&gt;1),"Individual debe ser 100 %; ","")&amp;IF(AND($C480&lt;&gt;"Individual",$C480&lt;&gt;"",$E480=1),"Consorcio o UT con 100 %: revise; ","")&amp;IF(COUNTIFS($A$2:$A$601,$A480,$B$2:$B$601,$B480)&gt;1,"Participación repetida; ","")&amp;IF(AND(IFERROR(INDEX(SUJETOS!$B$2:$B$601,MATCH($B480,SUJETOS!$A$2:$A$601,0)),"")="Persona natural",$G480=""),"Persona natural sin cargo; ",""))</f>
        <v/>
      </c>
      <c r="R480" s="12">
        <f>IF($A480="","",IFERROR(IF(LEN(INDEX(SUJETOS!$F$2:$F$601,MATCH($B480,SUJETOS!$A$2:$A$601,0)))&gt;0,INDEX(SUJETOS!$F$2:$F$601,MATCH($B480,SUJETOS!$A$2:$A$601,0)),$B480),$B480))</f>
        <v/>
      </c>
    </row>
    <row r="481">
      <c r="E481" s="18" t="n"/>
      <c r="K481" s="13">
        <f>IF(OR($A481="",$E481=""),"",IFERROR(E481*INDEX(CONTRATOS!$P$2:$P$601,MATCH($A481,CONTRATOS!$A$2:$A$601,0)),""))</f>
        <v/>
      </c>
      <c r="L481" s="17">
        <f>IF(OR($A481="",$E481=""),"",IFERROR(E481*INDEX(CONTRATOS!$Z$2:$Z$601,MATCH($A481,CONTRATOS!$A$2:$A$601,0)),""))</f>
        <v/>
      </c>
      <c r="M481" s="13">
        <f>IF(OR($A481="",$E481=""),"",IFERROR(E481*INDEX(CONTRATOS!$AA$2:$AA$601,MATCH($A481,CONTRATOS!$A$2:$A$601,0)),""))</f>
        <v/>
      </c>
      <c r="N481" s="19">
        <f>IF($A481="","",SUMIFS($E$2:$E$601,$A$2:$A$601,$A481))</f>
        <v/>
      </c>
      <c r="O481" s="12">
        <f>IF($A481="","",IFERROR(INDEX(CONTRATOS!$F$2:$F$601,MATCH($A481,CONTRATOS!$A$2:$A$601,0)),""))</f>
        <v/>
      </c>
      <c r="P481" s="12">
        <f>IF($A481="","",IFERROR(INDEX(CONTRATOS!$M$2:$M$601,MATCH($A481,CONTRATOS!$A$2:$A$601,0)),""))</f>
        <v/>
      </c>
      <c r="Q481" s="12">
        <f>IF($A481="","",IF(COUNTIF(CONTRATOS!$A$2:$A$601,$A481)=0,"El contrato no existe en CONTRATOS; ","")&amp;IF($B481="","Falta sujeto; ",IF(COUNTIF(SUJETOS!$A$2:$A$601,$B481)=0,"El sujeto no existe en SUJETOS; ",""))&amp;IF($E481="","Falta porcentaje; ","")&amp;IF(N481&gt;1.0001,"Los porcentajes del contrato suman más de 100 %; ","")&amp;IF(AND($C481="Individual",$E481&lt;&gt;"",$E481&lt;&gt;1),"Individual debe ser 100 %; ","")&amp;IF(AND($C481&lt;&gt;"Individual",$C481&lt;&gt;"",$E481=1),"Consorcio o UT con 100 %: revise; ","")&amp;IF(COUNTIFS($A$2:$A$601,$A481,$B$2:$B$601,$B481)&gt;1,"Participación repetida; ","")&amp;IF(AND(IFERROR(INDEX(SUJETOS!$B$2:$B$601,MATCH($B481,SUJETOS!$A$2:$A$601,0)),"")="Persona natural",$G481=""),"Persona natural sin cargo; ",""))</f>
        <v/>
      </c>
      <c r="R481" s="12">
        <f>IF($A481="","",IFERROR(IF(LEN(INDEX(SUJETOS!$F$2:$F$601,MATCH($B481,SUJETOS!$A$2:$A$601,0)))&gt;0,INDEX(SUJETOS!$F$2:$F$601,MATCH($B481,SUJETOS!$A$2:$A$601,0)),$B481),$B481))</f>
        <v/>
      </c>
    </row>
    <row r="482">
      <c r="E482" s="18" t="n"/>
      <c r="K482" s="13">
        <f>IF(OR($A482="",$E482=""),"",IFERROR(E482*INDEX(CONTRATOS!$P$2:$P$601,MATCH($A482,CONTRATOS!$A$2:$A$601,0)),""))</f>
        <v/>
      </c>
      <c r="L482" s="17">
        <f>IF(OR($A482="",$E482=""),"",IFERROR(E482*INDEX(CONTRATOS!$Z$2:$Z$601,MATCH($A482,CONTRATOS!$A$2:$A$601,0)),""))</f>
        <v/>
      </c>
      <c r="M482" s="13">
        <f>IF(OR($A482="",$E482=""),"",IFERROR(E482*INDEX(CONTRATOS!$AA$2:$AA$601,MATCH($A482,CONTRATOS!$A$2:$A$601,0)),""))</f>
        <v/>
      </c>
      <c r="N482" s="19">
        <f>IF($A482="","",SUMIFS($E$2:$E$601,$A$2:$A$601,$A482))</f>
        <v/>
      </c>
      <c r="O482" s="12">
        <f>IF($A482="","",IFERROR(INDEX(CONTRATOS!$F$2:$F$601,MATCH($A482,CONTRATOS!$A$2:$A$601,0)),""))</f>
        <v/>
      </c>
      <c r="P482" s="12">
        <f>IF($A482="","",IFERROR(INDEX(CONTRATOS!$M$2:$M$601,MATCH($A482,CONTRATOS!$A$2:$A$601,0)),""))</f>
        <v/>
      </c>
      <c r="Q482" s="12">
        <f>IF($A482="","",IF(COUNTIF(CONTRATOS!$A$2:$A$601,$A482)=0,"El contrato no existe en CONTRATOS; ","")&amp;IF($B482="","Falta sujeto; ",IF(COUNTIF(SUJETOS!$A$2:$A$601,$B482)=0,"El sujeto no existe en SUJETOS; ",""))&amp;IF($E482="","Falta porcentaje; ","")&amp;IF(N482&gt;1.0001,"Los porcentajes del contrato suman más de 100 %; ","")&amp;IF(AND($C482="Individual",$E482&lt;&gt;"",$E482&lt;&gt;1),"Individual debe ser 100 %; ","")&amp;IF(AND($C482&lt;&gt;"Individual",$C482&lt;&gt;"",$E482=1),"Consorcio o UT con 100 %: revise; ","")&amp;IF(COUNTIFS($A$2:$A$601,$A482,$B$2:$B$601,$B482)&gt;1,"Participación repetida; ","")&amp;IF(AND(IFERROR(INDEX(SUJETOS!$B$2:$B$601,MATCH($B482,SUJETOS!$A$2:$A$601,0)),"")="Persona natural",$G482=""),"Persona natural sin cargo; ",""))</f>
        <v/>
      </c>
      <c r="R482" s="12">
        <f>IF($A482="","",IFERROR(IF(LEN(INDEX(SUJETOS!$F$2:$F$601,MATCH($B482,SUJETOS!$A$2:$A$601,0)))&gt;0,INDEX(SUJETOS!$F$2:$F$601,MATCH($B482,SUJETOS!$A$2:$A$601,0)),$B482),$B482))</f>
        <v/>
      </c>
    </row>
    <row r="483">
      <c r="E483" s="18" t="n"/>
      <c r="K483" s="13">
        <f>IF(OR($A483="",$E483=""),"",IFERROR(E483*INDEX(CONTRATOS!$P$2:$P$601,MATCH($A483,CONTRATOS!$A$2:$A$601,0)),""))</f>
        <v/>
      </c>
      <c r="L483" s="17">
        <f>IF(OR($A483="",$E483=""),"",IFERROR(E483*INDEX(CONTRATOS!$Z$2:$Z$601,MATCH($A483,CONTRATOS!$A$2:$A$601,0)),""))</f>
        <v/>
      </c>
      <c r="M483" s="13">
        <f>IF(OR($A483="",$E483=""),"",IFERROR(E483*INDEX(CONTRATOS!$AA$2:$AA$601,MATCH($A483,CONTRATOS!$A$2:$A$601,0)),""))</f>
        <v/>
      </c>
      <c r="N483" s="19">
        <f>IF($A483="","",SUMIFS($E$2:$E$601,$A$2:$A$601,$A483))</f>
        <v/>
      </c>
      <c r="O483" s="12">
        <f>IF($A483="","",IFERROR(INDEX(CONTRATOS!$F$2:$F$601,MATCH($A483,CONTRATOS!$A$2:$A$601,0)),""))</f>
        <v/>
      </c>
      <c r="P483" s="12">
        <f>IF($A483="","",IFERROR(INDEX(CONTRATOS!$M$2:$M$601,MATCH($A483,CONTRATOS!$A$2:$A$601,0)),""))</f>
        <v/>
      </c>
      <c r="Q483" s="12">
        <f>IF($A483="","",IF(COUNTIF(CONTRATOS!$A$2:$A$601,$A483)=0,"El contrato no existe en CONTRATOS; ","")&amp;IF($B483="","Falta sujeto; ",IF(COUNTIF(SUJETOS!$A$2:$A$601,$B483)=0,"El sujeto no existe en SUJETOS; ",""))&amp;IF($E483="","Falta porcentaje; ","")&amp;IF(N483&gt;1.0001,"Los porcentajes del contrato suman más de 100 %; ","")&amp;IF(AND($C483="Individual",$E483&lt;&gt;"",$E483&lt;&gt;1),"Individual debe ser 100 %; ","")&amp;IF(AND($C483&lt;&gt;"Individual",$C483&lt;&gt;"",$E483=1),"Consorcio o UT con 100 %: revise; ","")&amp;IF(COUNTIFS($A$2:$A$601,$A483,$B$2:$B$601,$B483)&gt;1,"Participación repetida; ","")&amp;IF(AND(IFERROR(INDEX(SUJETOS!$B$2:$B$601,MATCH($B483,SUJETOS!$A$2:$A$601,0)),"")="Persona natural",$G483=""),"Persona natural sin cargo; ",""))</f>
        <v/>
      </c>
      <c r="R483" s="12">
        <f>IF($A483="","",IFERROR(IF(LEN(INDEX(SUJETOS!$F$2:$F$601,MATCH($B483,SUJETOS!$A$2:$A$601,0)))&gt;0,INDEX(SUJETOS!$F$2:$F$601,MATCH($B483,SUJETOS!$A$2:$A$601,0)),$B483),$B483))</f>
        <v/>
      </c>
    </row>
    <row r="484">
      <c r="E484" s="18" t="n"/>
      <c r="K484" s="13">
        <f>IF(OR($A484="",$E484=""),"",IFERROR(E484*INDEX(CONTRATOS!$P$2:$P$601,MATCH($A484,CONTRATOS!$A$2:$A$601,0)),""))</f>
        <v/>
      </c>
      <c r="L484" s="17">
        <f>IF(OR($A484="",$E484=""),"",IFERROR(E484*INDEX(CONTRATOS!$Z$2:$Z$601,MATCH($A484,CONTRATOS!$A$2:$A$601,0)),""))</f>
        <v/>
      </c>
      <c r="M484" s="13">
        <f>IF(OR($A484="",$E484=""),"",IFERROR(E484*INDEX(CONTRATOS!$AA$2:$AA$601,MATCH($A484,CONTRATOS!$A$2:$A$601,0)),""))</f>
        <v/>
      </c>
      <c r="N484" s="19">
        <f>IF($A484="","",SUMIFS($E$2:$E$601,$A$2:$A$601,$A484))</f>
        <v/>
      </c>
      <c r="O484" s="12">
        <f>IF($A484="","",IFERROR(INDEX(CONTRATOS!$F$2:$F$601,MATCH($A484,CONTRATOS!$A$2:$A$601,0)),""))</f>
        <v/>
      </c>
      <c r="P484" s="12">
        <f>IF($A484="","",IFERROR(INDEX(CONTRATOS!$M$2:$M$601,MATCH($A484,CONTRATOS!$A$2:$A$601,0)),""))</f>
        <v/>
      </c>
      <c r="Q484" s="12">
        <f>IF($A484="","",IF(COUNTIF(CONTRATOS!$A$2:$A$601,$A484)=0,"El contrato no existe en CONTRATOS; ","")&amp;IF($B484="","Falta sujeto; ",IF(COUNTIF(SUJETOS!$A$2:$A$601,$B484)=0,"El sujeto no existe en SUJETOS; ",""))&amp;IF($E484="","Falta porcentaje; ","")&amp;IF(N484&gt;1.0001,"Los porcentajes del contrato suman más de 100 %; ","")&amp;IF(AND($C484="Individual",$E484&lt;&gt;"",$E484&lt;&gt;1),"Individual debe ser 100 %; ","")&amp;IF(AND($C484&lt;&gt;"Individual",$C484&lt;&gt;"",$E484=1),"Consorcio o UT con 100 %: revise; ","")&amp;IF(COUNTIFS($A$2:$A$601,$A484,$B$2:$B$601,$B484)&gt;1,"Participación repetida; ","")&amp;IF(AND(IFERROR(INDEX(SUJETOS!$B$2:$B$601,MATCH($B484,SUJETOS!$A$2:$A$601,0)),"")="Persona natural",$G484=""),"Persona natural sin cargo; ",""))</f>
        <v/>
      </c>
      <c r="R484" s="12">
        <f>IF($A484="","",IFERROR(IF(LEN(INDEX(SUJETOS!$F$2:$F$601,MATCH($B484,SUJETOS!$A$2:$A$601,0)))&gt;0,INDEX(SUJETOS!$F$2:$F$601,MATCH($B484,SUJETOS!$A$2:$A$601,0)),$B484),$B484))</f>
        <v/>
      </c>
    </row>
    <row r="485">
      <c r="E485" s="18" t="n"/>
      <c r="K485" s="13">
        <f>IF(OR($A485="",$E485=""),"",IFERROR(E485*INDEX(CONTRATOS!$P$2:$P$601,MATCH($A485,CONTRATOS!$A$2:$A$601,0)),""))</f>
        <v/>
      </c>
      <c r="L485" s="17">
        <f>IF(OR($A485="",$E485=""),"",IFERROR(E485*INDEX(CONTRATOS!$Z$2:$Z$601,MATCH($A485,CONTRATOS!$A$2:$A$601,0)),""))</f>
        <v/>
      </c>
      <c r="M485" s="13">
        <f>IF(OR($A485="",$E485=""),"",IFERROR(E485*INDEX(CONTRATOS!$AA$2:$AA$601,MATCH($A485,CONTRATOS!$A$2:$A$601,0)),""))</f>
        <v/>
      </c>
      <c r="N485" s="19">
        <f>IF($A485="","",SUMIFS($E$2:$E$601,$A$2:$A$601,$A485))</f>
        <v/>
      </c>
      <c r="O485" s="12">
        <f>IF($A485="","",IFERROR(INDEX(CONTRATOS!$F$2:$F$601,MATCH($A485,CONTRATOS!$A$2:$A$601,0)),""))</f>
        <v/>
      </c>
      <c r="P485" s="12">
        <f>IF($A485="","",IFERROR(INDEX(CONTRATOS!$M$2:$M$601,MATCH($A485,CONTRATOS!$A$2:$A$601,0)),""))</f>
        <v/>
      </c>
      <c r="Q485" s="12">
        <f>IF($A485="","",IF(COUNTIF(CONTRATOS!$A$2:$A$601,$A485)=0,"El contrato no existe en CONTRATOS; ","")&amp;IF($B485="","Falta sujeto; ",IF(COUNTIF(SUJETOS!$A$2:$A$601,$B485)=0,"El sujeto no existe en SUJETOS; ",""))&amp;IF($E485="","Falta porcentaje; ","")&amp;IF(N485&gt;1.0001,"Los porcentajes del contrato suman más de 100 %; ","")&amp;IF(AND($C485="Individual",$E485&lt;&gt;"",$E485&lt;&gt;1),"Individual debe ser 100 %; ","")&amp;IF(AND($C485&lt;&gt;"Individual",$C485&lt;&gt;"",$E485=1),"Consorcio o UT con 100 %: revise; ","")&amp;IF(COUNTIFS($A$2:$A$601,$A485,$B$2:$B$601,$B485)&gt;1,"Participación repetida; ","")&amp;IF(AND(IFERROR(INDEX(SUJETOS!$B$2:$B$601,MATCH($B485,SUJETOS!$A$2:$A$601,0)),"")="Persona natural",$G485=""),"Persona natural sin cargo; ",""))</f>
        <v/>
      </c>
      <c r="R485" s="12">
        <f>IF($A485="","",IFERROR(IF(LEN(INDEX(SUJETOS!$F$2:$F$601,MATCH($B485,SUJETOS!$A$2:$A$601,0)))&gt;0,INDEX(SUJETOS!$F$2:$F$601,MATCH($B485,SUJETOS!$A$2:$A$601,0)),$B485),$B485))</f>
        <v/>
      </c>
    </row>
    <row r="486">
      <c r="E486" s="18" t="n"/>
      <c r="K486" s="13">
        <f>IF(OR($A486="",$E486=""),"",IFERROR(E486*INDEX(CONTRATOS!$P$2:$P$601,MATCH($A486,CONTRATOS!$A$2:$A$601,0)),""))</f>
        <v/>
      </c>
      <c r="L486" s="17">
        <f>IF(OR($A486="",$E486=""),"",IFERROR(E486*INDEX(CONTRATOS!$Z$2:$Z$601,MATCH($A486,CONTRATOS!$A$2:$A$601,0)),""))</f>
        <v/>
      </c>
      <c r="M486" s="13">
        <f>IF(OR($A486="",$E486=""),"",IFERROR(E486*INDEX(CONTRATOS!$AA$2:$AA$601,MATCH($A486,CONTRATOS!$A$2:$A$601,0)),""))</f>
        <v/>
      </c>
      <c r="N486" s="19">
        <f>IF($A486="","",SUMIFS($E$2:$E$601,$A$2:$A$601,$A486))</f>
        <v/>
      </c>
      <c r="O486" s="12">
        <f>IF($A486="","",IFERROR(INDEX(CONTRATOS!$F$2:$F$601,MATCH($A486,CONTRATOS!$A$2:$A$601,0)),""))</f>
        <v/>
      </c>
      <c r="P486" s="12">
        <f>IF($A486="","",IFERROR(INDEX(CONTRATOS!$M$2:$M$601,MATCH($A486,CONTRATOS!$A$2:$A$601,0)),""))</f>
        <v/>
      </c>
      <c r="Q486" s="12">
        <f>IF($A486="","",IF(COUNTIF(CONTRATOS!$A$2:$A$601,$A486)=0,"El contrato no existe en CONTRATOS; ","")&amp;IF($B486="","Falta sujeto; ",IF(COUNTIF(SUJETOS!$A$2:$A$601,$B486)=0,"El sujeto no existe en SUJETOS; ",""))&amp;IF($E486="","Falta porcentaje; ","")&amp;IF(N486&gt;1.0001,"Los porcentajes del contrato suman más de 100 %; ","")&amp;IF(AND($C486="Individual",$E486&lt;&gt;"",$E486&lt;&gt;1),"Individual debe ser 100 %; ","")&amp;IF(AND($C486&lt;&gt;"Individual",$C486&lt;&gt;"",$E486=1),"Consorcio o UT con 100 %: revise; ","")&amp;IF(COUNTIFS($A$2:$A$601,$A486,$B$2:$B$601,$B486)&gt;1,"Participación repetida; ","")&amp;IF(AND(IFERROR(INDEX(SUJETOS!$B$2:$B$601,MATCH($B486,SUJETOS!$A$2:$A$601,0)),"")="Persona natural",$G486=""),"Persona natural sin cargo; ",""))</f>
        <v/>
      </c>
      <c r="R486" s="12">
        <f>IF($A486="","",IFERROR(IF(LEN(INDEX(SUJETOS!$F$2:$F$601,MATCH($B486,SUJETOS!$A$2:$A$601,0)))&gt;0,INDEX(SUJETOS!$F$2:$F$601,MATCH($B486,SUJETOS!$A$2:$A$601,0)),$B486),$B486))</f>
        <v/>
      </c>
    </row>
    <row r="487">
      <c r="E487" s="18" t="n"/>
      <c r="K487" s="13">
        <f>IF(OR($A487="",$E487=""),"",IFERROR(E487*INDEX(CONTRATOS!$P$2:$P$601,MATCH($A487,CONTRATOS!$A$2:$A$601,0)),""))</f>
        <v/>
      </c>
      <c r="L487" s="17">
        <f>IF(OR($A487="",$E487=""),"",IFERROR(E487*INDEX(CONTRATOS!$Z$2:$Z$601,MATCH($A487,CONTRATOS!$A$2:$A$601,0)),""))</f>
        <v/>
      </c>
      <c r="M487" s="13">
        <f>IF(OR($A487="",$E487=""),"",IFERROR(E487*INDEX(CONTRATOS!$AA$2:$AA$601,MATCH($A487,CONTRATOS!$A$2:$A$601,0)),""))</f>
        <v/>
      </c>
      <c r="N487" s="19">
        <f>IF($A487="","",SUMIFS($E$2:$E$601,$A$2:$A$601,$A487))</f>
        <v/>
      </c>
      <c r="O487" s="12">
        <f>IF($A487="","",IFERROR(INDEX(CONTRATOS!$F$2:$F$601,MATCH($A487,CONTRATOS!$A$2:$A$601,0)),""))</f>
        <v/>
      </c>
      <c r="P487" s="12">
        <f>IF($A487="","",IFERROR(INDEX(CONTRATOS!$M$2:$M$601,MATCH($A487,CONTRATOS!$A$2:$A$601,0)),""))</f>
        <v/>
      </c>
      <c r="Q487" s="12">
        <f>IF($A487="","",IF(COUNTIF(CONTRATOS!$A$2:$A$601,$A487)=0,"El contrato no existe en CONTRATOS; ","")&amp;IF($B487="","Falta sujeto; ",IF(COUNTIF(SUJETOS!$A$2:$A$601,$B487)=0,"El sujeto no existe en SUJETOS; ",""))&amp;IF($E487="","Falta porcentaje; ","")&amp;IF(N487&gt;1.0001,"Los porcentajes del contrato suman más de 100 %; ","")&amp;IF(AND($C487="Individual",$E487&lt;&gt;"",$E487&lt;&gt;1),"Individual debe ser 100 %; ","")&amp;IF(AND($C487&lt;&gt;"Individual",$C487&lt;&gt;"",$E487=1),"Consorcio o UT con 100 %: revise; ","")&amp;IF(COUNTIFS($A$2:$A$601,$A487,$B$2:$B$601,$B487)&gt;1,"Participación repetida; ","")&amp;IF(AND(IFERROR(INDEX(SUJETOS!$B$2:$B$601,MATCH($B487,SUJETOS!$A$2:$A$601,0)),"")="Persona natural",$G487=""),"Persona natural sin cargo; ",""))</f>
        <v/>
      </c>
      <c r="R487" s="12">
        <f>IF($A487="","",IFERROR(IF(LEN(INDEX(SUJETOS!$F$2:$F$601,MATCH($B487,SUJETOS!$A$2:$A$601,0)))&gt;0,INDEX(SUJETOS!$F$2:$F$601,MATCH($B487,SUJETOS!$A$2:$A$601,0)),$B487),$B487))</f>
        <v/>
      </c>
    </row>
    <row r="488">
      <c r="E488" s="18" t="n"/>
      <c r="K488" s="13">
        <f>IF(OR($A488="",$E488=""),"",IFERROR(E488*INDEX(CONTRATOS!$P$2:$P$601,MATCH($A488,CONTRATOS!$A$2:$A$601,0)),""))</f>
        <v/>
      </c>
      <c r="L488" s="17">
        <f>IF(OR($A488="",$E488=""),"",IFERROR(E488*INDEX(CONTRATOS!$Z$2:$Z$601,MATCH($A488,CONTRATOS!$A$2:$A$601,0)),""))</f>
        <v/>
      </c>
      <c r="M488" s="13">
        <f>IF(OR($A488="",$E488=""),"",IFERROR(E488*INDEX(CONTRATOS!$AA$2:$AA$601,MATCH($A488,CONTRATOS!$A$2:$A$601,0)),""))</f>
        <v/>
      </c>
      <c r="N488" s="19">
        <f>IF($A488="","",SUMIFS($E$2:$E$601,$A$2:$A$601,$A488))</f>
        <v/>
      </c>
      <c r="O488" s="12">
        <f>IF($A488="","",IFERROR(INDEX(CONTRATOS!$F$2:$F$601,MATCH($A488,CONTRATOS!$A$2:$A$601,0)),""))</f>
        <v/>
      </c>
      <c r="P488" s="12">
        <f>IF($A488="","",IFERROR(INDEX(CONTRATOS!$M$2:$M$601,MATCH($A488,CONTRATOS!$A$2:$A$601,0)),""))</f>
        <v/>
      </c>
      <c r="Q488" s="12">
        <f>IF($A488="","",IF(COUNTIF(CONTRATOS!$A$2:$A$601,$A488)=0,"El contrato no existe en CONTRATOS; ","")&amp;IF($B488="","Falta sujeto; ",IF(COUNTIF(SUJETOS!$A$2:$A$601,$B488)=0,"El sujeto no existe en SUJETOS; ",""))&amp;IF($E488="","Falta porcentaje; ","")&amp;IF(N488&gt;1.0001,"Los porcentajes del contrato suman más de 100 %; ","")&amp;IF(AND($C488="Individual",$E488&lt;&gt;"",$E488&lt;&gt;1),"Individual debe ser 100 %; ","")&amp;IF(AND($C488&lt;&gt;"Individual",$C488&lt;&gt;"",$E488=1),"Consorcio o UT con 100 %: revise; ","")&amp;IF(COUNTIFS($A$2:$A$601,$A488,$B$2:$B$601,$B488)&gt;1,"Participación repetida; ","")&amp;IF(AND(IFERROR(INDEX(SUJETOS!$B$2:$B$601,MATCH($B488,SUJETOS!$A$2:$A$601,0)),"")="Persona natural",$G488=""),"Persona natural sin cargo; ",""))</f>
        <v/>
      </c>
      <c r="R488" s="12">
        <f>IF($A488="","",IFERROR(IF(LEN(INDEX(SUJETOS!$F$2:$F$601,MATCH($B488,SUJETOS!$A$2:$A$601,0)))&gt;0,INDEX(SUJETOS!$F$2:$F$601,MATCH($B488,SUJETOS!$A$2:$A$601,0)),$B488),$B488))</f>
        <v/>
      </c>
    </row>
    <row r="489">
      <c r="E489" s="18" t="n"/>
      <c r="K489" s="13">
        <f>IF(OR($A489="",$E489=""),"",IFERROR(E489*INDEX(CONTRATOS!$P$2:$P$601,MATCH($A489,CONTRATOS!$A$2:$A$601,0)),""))</f>
        <v/>
      </c>
      <c r="L489" s="17">
        <f>IF(OR($A489="",$E489=""),"",IFERROR(E489*INDEX(CONTRATOS!$Z$2:$Z$601,MATCH($A489,CONTRATOS!$A$2:$A$601,0)),""))</f>
        <v/>
      </c>
      <c r="M489" s="13">
        <f>IF(OR($A489="",$E489=""),"",IFERROR(E489*INDEX(CONTRATOS!$AA$2:$AA$601,MATCH($A489,CONTRATOS!$A$2:$A$601,0)),""))</f>
        <v/>
      </c>
      <c r="N489" s="19">
        <f>IF($A489="","",SUMIFS($E$2:$E$601,$A$2:$A$601,$A489))</f>
        <v/>
      </c>
      <c r="O489" s="12">
        <f>IF($A489="","",IFERROR(INDEX(CONTRATOS!$F$2:$F$601,MATCH($A489,CONTRATOS!$A$2:$A$601,0)),""))</f>
        <v/>
      </c>
      <c r="P489" s="12">
        <f>IF($A489="","",IFERROR(INDEX(CONTRATOS!$M$2:$M$601,MATCH($A489,CONTRATOS!$A$2:$A$601,0)),""))</f>
        <v/>
      </c>
      <c r="Q489" s="12">
        <f>IF($A489="","",IF(COUNTIF(CONTRATOS!$A$2:$A$601,$A489)=0,"El contrato no existe en CONTRATOS; ","")&amp;IF($B489="","Falta sujeto; ",IF(COUNTIF(SUJETOS!$A$2:$A$601,$B489)=0,"El sujeto no existe en SUJETOS; ",""))&amp;IF($E489="","Falta porcentaje; ","")&amp;IF(N489&gt;1.0001,"Los porcentajes del contrato suman más de 100 %; ","")&amp;IF(AND($C489="Individual",$E489&lt;&gt;"",$E489&lt;&gt;1),"Individual debe ser 100 %; ","")&amp;IF(AND($C489&lt;&gt;"Individual",$C489&lt;&gt;"",$E489=1),"Consorcio o UT con 100 %: revise; ","")&amp;IF(COUNTIFS($A$2:$A$601,$A489,$B$2:$B$601,$B489)&gt;1,"Participación repetida; ","")&amp;IF(AND(IFERROR(INDEX(SUJETOS!$B$2:$B$601,MATCH($B489,SUJETOS!$A$2:$A$601,0)),"")="Persona natural",$G489=""),"Persona natural sin cargo; ",""))</f>
        <v/>
      </c>
      <c r="R489" s="12">
        <f>IF($A489="","",IFERROR(IF(LEN(INDEX(SUJETOS!$F$2:$F$601,MATCH($B489,SUJETOS!$A$2:$A$601,0)))&gt;0,INDEX(SUJETOS!$F$2:$F$601,MATCH($B489,SUJETOS!$A$2:$A$601,0)),$B489),$B489))</f>
        <v/>
      </c>
    </row>
    <row r="490">
      <c r="E490" s="18" t="n"/>
      <c r="K490" s="13">
        <f>IF(OR($A490="",$E490=""),"",IFERROR(E490*INDEX(CONTRATOS!$P$2:$P$601,MATCH($A490,CONTRATOS!$A$2:$A$601,0)),""))</f>
        <v/>
      </c>
      <c r="L490" s="17">
        <f>IF(OR($A490="",$E490=""),"",IFERROR(E490*INDEX(CONTRATOS!$Z$2:$Z$601,MATCH($A490,CONTRATOS!$A$2:$A$601,0)),""))</f>
        <v/>
      </c>
      <c r="M490" s="13">
        <f>IF(OR($A490="",$E490=""),"",IFERROR(E490*INDEX(CONTRATOS!$AA$2:$AA$601,MATCH($A490,CONTRATOS!$A$2:$A$601,0)),""))</f>
        <v/>
      </c>
      <c r="N490" s="19">
        <f>IF($A490="","",SUMIFS($E$2:$E$601,$A$2:$A$601,$A490))</f>
        <v/>
      </c>
      <c r="O490" s="12">
        <f>IF($A490="","",IFERROR(INDEX(CONTRATOS!$F$2:$F$601,MATCH($A490,CONTRATOS!$A$2:$A$601,0)),""))</f>
        <v/>
      </c>
      <c r="P490" s="12">
        <f>IF($A490="","",IFERROR(INDEX(CONTRATOS!$M$2:$M$601,MATCH($A490,CONTRATOS!$A$2:$A$601,0)),""))</f>
        <v/>
      </c>
      <c r="Q490" s="12">
        <f>IF($A490="","",IF(COUNTIF(CONTRATOS!$A$2:$A$601,$A490)=0,"El contrato no existe en CONTRATOS; ","")&amp;IF($B490="","Falta sujeto; ",IF(COUNTIF(SUJETOS!$A$2:$A$601,$B490)=0,"El sujeto no existe en SUJETOS; ",""))&amp;IF($E490="","Falta porcentaje; ","")&amp;IF(N490&gt;1.0001,"Los porcentajes del contrato suman más de 100 %; ","")&amp;IF(AND($C490="Individual",$E490&lt;&gt;"",$E490&lt;&gt;1),"Individual debe ser 100 %; ","")&amp;IF(AND($C490&lt;&gt;"Individual",$C490&lt;&gt;"",$E490=1),"Consorcio o UT con 100 %: revise; ","")&amp;IF(COUNTIFS($A$2:$A$601,$A490,$B$2:$B$601,$B490)&gt;1,"Participación repetida; ","")&amp;IF(AND(IFERROR(INDEX(SUJETOS!$B$2:$B$601,MATCH($B490,SUJETOS!$A$2:$A$601,0)),"")="Persona natural",$G490=""),"Persona natural sin cargo; ",""))</f>
        <v/>
      </c>
      <c r="R490" s="12">
        <f>IF($A490="","",IFERROR(IF(LEN(INDEX(SUJETOS!$F$2:$F$601,MATCH($B490,SUJETOS!$A$2:$A$601,0)))&gt;0,INDEX(SUJETOS!$F$2:$F$601,MATCH($B490,SUJETOS!$A$2:$A$601,0)),$B490),$B490))</f>
        <v/>
      </c>
    </row>
    <row r="491">
      <c r="E491" s="18" t="n"/>
      <c r="K491" s="13">
        <f>IF(OR($A491="",$E491=""),"",IFERROR(E491*INDEX(CONTRATOS!$P$2:$P$601,MATCH($A491,CONTRATOS!$A$2:$A$601,0)),""))</f>
        <v/>
      </c>
      <c r="L491" s="17">
        <f>IF(OR($A491="",$E491=""),"",IFERROR(E491*INDEX(CONTRATOS!$Z$2:$Z$601,MATCH($A491,CONTRATOS!$A$2:$A$601,0)),""))</f>
        <v/>
      </c>
      <c r="M491" s="13">
        <f>IF(OR($A491="",$E491=""),"",IFERROR(E491*INDEX(CONTRATOS!$AA$2:$AA$601,MATCH($A491,CONTRATOS!$A$2:$A$601,0)),""))</f>
        <v/>
      </c>
      <c r="N491" s="19">
        <f>IF($A491="","",SUMIFS($E$2:$E$601,$A$2:$A$601,$A491))</f>
        <v/>
      </c>
      <c r="O491" s="12">
        <f>IF($A491="","",IFERROR(INDEX(CONTRATOS!$F$2:$F$601,MATCH($A491,CONTRATOS!$A$2:$A$601,0)),""))</f>
        <v/>
      </c>
      <c r="P491" s="12">
        <f>IF($A491="","",IFERROR(INDEX(CONTRATOS!$M$2:$M$601,MATCH($A491,CONTRATOS!$A$2:$A$601,0)),""))</f>
        <v/>
      </c>
      <c r="Q491" s="12">
        <f>IF($A491="","",IF(COUNTIF(CONTRATOS!$A$2:$A$601,$A491)=0,"El contrato no existe en CONTRATOS; ","")&amp;IF($B491="","Falta sujeto; ",IF(COUNTIF(SUJETOS!$A$2:$A$601,$B491)=0,"El sujeto no existe en SUJETOS; ",""))&amp;IF($E491="","Falta porcentaje; ","")&amp;IF(N491&gt;1.0001,"Los porcentajes del contrato suman más de 100 %; ","")&amp;IF(AND($C491="Individual",$E491&lt;&gt;"",$E491&lt;&gt;1),"Individual debe ser 100 %; ","")&amp;IF(AND($C491&lt;&gt;"Individual",$C491&lt;&gt;"",$E491=1),"Consorcio o UT con 100 %: revise; ","")&amp;IF(COUNTIFS($A$2:$A$601,$A491,$B$2:$B$601,$B491)&gt;1,"Participación repetida; ","")&amp;IF(AND(IFERROR(INDEX(SUJETOS!$B$2:$B$601,MATCH($B491,SUJETOS!$A$2:$A$601,0)),"")="Persona natural",$G491=""),"Persona natural sin cargo; ",""))</f>
        <v/>
      </c>
      <c r="R491" s="12">
        <f>IF($A491="","",IFERROR(IF(LEN(INDEX(SUJETOS!$F$2:$F$601,MATCH($B491,SUJETOS!$A$2:$A$601,0)))&gt;0,INDEX(SUJETOS!$F$2:$F$601,MATCH($B491,SUJETOS!$A$2:$A$601,0)),$B491),$B491))</f>
        <v/>
      </c>
    </row>
    <row r="492">
      <c r="E492" s="18" t="n"/>
      <c r="K492" s="13">
        <f>IF(OR($A492="",$E492=""),"",IFERROR(E492*INDEX(CONTRATOS!$P$2:$P$601,MATCH($A492,CONTRATOS!$A$2:$A$601,0)),""))</f>
        <v/>
      </c>
      <c r="L492" s="17">
        <f>IF(OR($A492="",$E492=""),"",IFERROR(E492*INDEX(CONTRATOS!$Z$2:$Z$601,MATCH($A492,CONTRATOS!$A$2:$A$601,0)),""))</f>
        <v/>
      </c>
      <c r="M492" s="13">
        <f>IF(OR($A492="",$E492=""),"",IFERROR(E492*INDEX(CONTRATOS!$AA$2:$AA$601,MATCH($A492,CONTRATOS!$A$2:$A$601,0)),""))</f>
        <v/>
      </c>
      <c r="N492" s="19">
        <f>IF($A492="","",SUMIFS($E$2:$E$601,$A$2:$A$601,$A492))</f>
        <v/>
      </c>
      <c r="O492" s="12">
        <f>IF($A492="","",IFERROR(INDEX(CONTRATOS!$F$2:$F$601,MATCH($A492,CONTRATOS!$A$2:$A$601,0)),""))</f>
        <v/>
      </c>
      <c r="P492" s="12">
        <f>IF($A492="","",IFERROR(INDEX(CONTRATOS!$M$2:$M$601,MATCH($A492,CONTRATOS!$A$2:$A$601,0)),""))</f>
        <v/>
      </c>
      <c r="Q492" s="12">
        <f>IF($A492="","",IF(COUNTIF(CONTRATOS!$A$2:$A$601,$A492)=0,"El contrato no existe en CONTRATOS; ","")&amp;IF($B492="","Falta sujeto; ",IF(COUNTIF(SUJETOS!$A$2:$A$601,$B492)=0,"El sujeto no existe en SUJETOS; ",""))&amp;IF($E492="","Falta porcentaje; ","")&amp;IF(N492&gt;1.0001,"Los porcentajes del contrato suman más de 100 %; ","")&amp;IF(AND($C492="Individual",$E492&lt;&gt;"",$E492&lt;&gt;1),"Individual debe ser 100 %; ","")&amp;IF(AND($C492&lt;&gt;"Individual",$C492&lt;&gt;"",$E492=1),"Consorcio o UT con 100 %: revise; ","")&amp;IF(COUNTIFS($A$2:$A$601,$A492,$B$2:$B$601,$B492)&gt;1,"Participación repetida; ","")&amp;IF(AND(IFERROR(INDEX(SUJETOS!$B$2:$B$601,MATCH($B492,SUJETOS!$A$2:$A$601,0)),"")="Persona natural",$G492=""),"Persona natural sin cargo; ",""))</f>
        <v/>
      </c>
      <c r="R492" s="12">
        <f>IF($A492="","",IFERROR(IF(LEN(INDEX(SUJETOS!$F$2:$F$601,MATCH($B492,SUJETOS!$A$2:$A$601,0)))&gt;0,INDEX(SUJETOS!$F$2:$F$601,MATCH($B492,SUJETOS!$A$2:$A$601,0)),$B492),$B492))</f>
        <v/>
      </c>
    </row>
    <row r="493">
      <c r="E493" s="18" t="n"/>
      <c r="K493" s="13">
        <f>IF(OR($A493="",$E493=""),"",IFERROR(E493*INDEX(CONTRATOS!$P$2:$P$601,MATCH($A493,CONTRATOS!$A$2:$A$601,0)),""))</f>
        <v/>
      </c>
      <c r="L493" s="17">
        <f>IF(OR($A493="",$E493=""),"",IFERROR(E493*INDEX(CONTRATOS!$Z$2:$Z$601,MATCH($A493,CONTRATOS!$A$2:$A$601,0)),""))</f>
        <v/>
      </c>
      <c r="M493" s="13">
        <f>IF(OR($A493="",$E493=""),"",IFERROR(E493*INDEX(CONTRATOS!$AA$2:$AA$601,MATCH($A493,CONTRATOS!$A$2:$A$601,0)),""))</f>
        <v/>
      </c>
      <c r="N493" s="19">
        <f>IF($A493="","",SUMIFS($E$2:$E$601,$A$2:$A$601,$A493))</f>
        <v/>
      </c>
      <c r="O493" s="12">
        <f>IF($A493="","",IFERROR(INDEX(CONTRATOS!$F$2:$F$601,MATCH($A493,CONTRATOS!$A$2:$A$601,0)),""))</f>
        <v/>
      </c>
      <c r="P493" s="12">
        <f>IF($A493="","",IFERROR(INDEX(CONTRATOS!$M$2:$M$601,MATCH($A493,CONTRATOS!$A$2:$A$601,0)),""))</f>
        <v/>
      </c>
      <c r="Q493" s="12">
        <f>IF($A493="","",IF(COUNTIF(CONTRATOS!$A$2:$A$601,$A493)=0,"El contrato no existe en CONTRATOS; ","")&amp;IF($B493="","Falta sujeto; ",IF(COUNTIF(SUJETOS!$A$2:$A$601,$B493)=0,"El sujeto no existe en SUJETOS; ",""))&amp;IF($E493="","Falta porcentaje; ","")&amp;IF(N493&gt;1.0001,"Los porcentajes del contrato suman más de 100 %; ","")&amp;IF(AND($C493="Individual",$E493&lt;&gt;"",$E493&lt;&gt;1),"Individual debe ser 100 %; ","")&amp;IF(AND($C493&lt;&gt;"Individual",$C493&lt;&gt;"",$E493=1),"Consorcio o UT con 100 %: revise; ","")&amp;IF(COUNTIFS($A$2:$A$601,$A493,$B$2:$B$601,$B493)&gt;1,"Participación repetida; ","")&amp;IF(AND(IFERROR(INDEX(SUJETOS!$B$2:$B$601,MATCH($B493,SUJETOS!$A$2:$A$601,0)),"")="Persona natural",$G493=""),"Persona natural sin cargo; ",""))</f>
        <v/>
      </c>
      <c r="R493" s="12">
        <f>IF($A493="","",IFERROR(IF(LEN(INDEX(SUJETOS!$F$2:$F$601,MATCH($B493,SUJETOS!$A$2:$A$601,0)))&gt;0,INDEX(SUJETOS!$F$2:$F$601,MATCH($B493,SUJETOS!$A$2:$A$601,0)),$B493),$B493))</f>
        <v/>
      </c>
    </row>
    <row r="494">
      <c r="E494" s="18" t="n"/>
      <c r="K494" s="13">
        <f>IF(OR($A494="",$E494=""),"",IFERROR(E494*INDEX(CONTRATOS!$P$2:$P$601,MATCH($A494,CONTRATOS!$A$2:$A$601,0)),""))</f>
        <v/>
      </c>
      <c r="L494" s="17">
        <f>IF(OR($A494="",$E494=""),"",IFERROR(E494*INDEX(CONTRATOS!$Z$2:$Z$601,MATCH($A494,CONTRATOS!$A$2:$A$601,0)),""))</f>
        <v/>
      </c>
      <c r="M494" s="13">
        <f>IF(OR($A494="",$E494=""),"",IFERROR(E494*INDEX(CONTRATOS!$AA$2:$AA$601,MATCH($A494,CONTRATOS!$A$2:$A$601,0)),""))</f>
        <v/>
      </c>
      <c r="N494" s="19">
        <f>IF($A494="","",SUMIFS($E$2:$E$601,$A$2:$A$601,$A494))</f>
        <v/>
      </c>
      <c r="O494" s="12">
        <f>IF($A494="","",IFERROR(INDEX(CONTRATOS!$F$2:$F$601,MATCH($A494,CONTRATOS!$A$2:$A$601,0)),""))</f>
        <v/>
      </c>
      <c r="P494" s="12">
        <f>IF($A494="","",IFERROR(INDEX(CONTRATOS!$M$2:$M$601,MATCH($A494,CONTRATOS!$A$2:$A$601,0)),""))</f>
        <v/>
      </c>
      <c r="Q494" s="12">
        <f>IF($A494="","",IF(COUNTIF(CONTRATOS!$A$2:$A$601,$A494)=0,"El contrato no existe en CONTRATOS; ","")&amp;IF($B494="","Falta sujeto; ",IF(COUNTIF(SUJETOS!$A$2:$A$601,$B494)=0,"El sujeto no existe en SUJETOS; ",""))&amp;IF($E494="","Falta porcentaje; ","")&amp;IF(N494&gt;1.0001,"Los porcentajes del contrato suman más de 100 %; ","")&amp;IF(AND($C494="Individual",$E494&lt;&gt;"",$E494&lt;&gt;1),"Individual debe ser 100 %; ","")&amp;IF(AND($C494&lt;&gt;"Individual",$C494&lt;&gt;"",$E494=1),"Consorcio o UT con 100 %: revise; ","")&amp;IF(COUNTIFS($A$2:$A$601,$A494,$B$2:$B$601,$B494)&gt;1,"Participación repetida; ","")&amp;IF(AND(IFERROR(INDEX(SUJETOS!$B$2:$B$601,MATCH($B494,SUJETOS!$A$2:$A$601,0)),"")="Persona natural",$G494=""),"Persona natural sin cargo; ",""))</f>
        <v/>
      </c>
      <c r="R494" s="12">
        <f>IF($A494="","",IFERROR(IF(LEN(INDEX(SUJETOS!$F$2:$F$601,MATCH($B494,SUJETOS!$A$2:$A$601,0)))&gt;0,INDEX(SUJETOS!$F$2:$F$601,MATCH($B494,SUJETOS!$A$2:$A$601,0)),$B494),$B494))</f>
        <v/>
      </c>
    </row>
    <row r="495">
      <c r="E495" s="18" t="n"/>
      <c r="K495" s="13">
        <f>IF(OR($A495="",$E495=""),"",IFERROR(E495*INDEX(CONTRATOS!$P$2:$P$601,MATCH($A495,CONTRATOS!$A$2:$A$601,0)),""))</f>
        <v/>
      </c>
      <c r="L495" s="17">
        <f>IF(OR($A495="",$E495=""),"",IFERROR(E495*INDEX(CONTRATOS!$Z$2:$Z$601,MATCH($A495,CONTRATOS!$A$2:$A$601,0)),""))</f>
        <v/>
      </c>
      <c r="M495" s="13">
        <f>IF(OR($A495="",$E495=""),"",IFERROR(E495*INDEX(CONTRATOS!$AA$2:$AA$601,MATCH($A495,CONTRATOS!$A$2:$A$601,0)),""))</f>
        <v/>
      </c>
      <c r="N495" s="19">
        <f>IF($A495="","",SUMIFS($E$2:$E$601,$A$2:$A$601,$A495))</f>
        <v/>
      </c>
      <c r="O495" s="12">
        <f>IF($A495="","",IFERROR(INDEX(CONTRATOS!$F$2:$F$601,MATCH($A495,CONTRATOS!$A$2:$A$601,0)),""))</f>
        <v/>
      </c>
      <c r="P495" s="12">
        <f>IF($A495="","",IFERROR(INDEX(CONTRATOS!$M$2:$M$601,MATCH($A495,CONTRATOS!$A$2:$A$601,0)),""))</f>
        <v/>
      </c>
      <c r="Q495" s="12">
        <f>IF($A495="","",IF(COUNTIF(CONTRATOS!$A$2:$A$601,$A495)=0,"El contrato no existe en CONTRATOS; ","")&amp;IF($B495="","Falta sujeto; ",IF(COUNTIF(SUJETOS!$A$2:$A$601,$B495)=0,"El sujeto no existe en SUJETOS; ",""))&amp;IF($E495="","Falta porcentaje; ","")&amp;IF(N495&gt;1.0001,"Los porcentajes del contrato suman más de 100 %; ","")&amp;IF(AND($C495="Individual",$E495&lt;&gt;"",$E495&lt;&gt;1),"Individual debe ser 100 %; ","")&amp;IF(AND($C495&lt;&gt;"Individual",$C495&lt;&gt;"",$E495=1),"Consorcio o UT con 100 %: revise; ","")&amp;IF(COUNTIFS($A$2:$A$601,$A495,$B$2:$B$601,$B495)&gt;1,"Participación repetida; ","")&amp;IF(AND(IFERROR(INDEX(SUJETOS!$B$2:$B$601,MATCH($B495,SUJETOS!$A$2:$A$601,0)),"")="Persona natural",$G495=""),"Persona natural sin cargo; ",""))</f>
        <v/>
      </c>
      <c r="R495" s="12">
        <f>IF($A495="","",IFERROR(IF(LEN(INDEX(SUJETOS!$F$2:$F$601,MATCH($B495,SUJETOS!$A$2:$A$601,0)))&gt;0,INDEX(SUJETOS!$F$2:$F$601,MATCH($B495,SUJETOS!$A$2:$A$601,0)),$B495),$B495))</f>
        <v/>
      </c>
    </row>
    <row r="496">
      <c r="E496" s="18" t="n"/>
      <c r="K496" s="13">
        <f>IF(OR($A496="",$E496=""),"",IFERROR(E496*INDEX(CONTRATOS!$P$2:$P$601,MATCH($A496,CONTRATOS!$A$2:$A$601,0)),""))</f>
        <v/>
      </c>
      <c r="L496" s="17">
        <f>IF(OR($A496="",$E496=""),"",IFERROR(E496*INDEX(CONTRATOS!$Z$2:$Z$601,MATCH($A496,CONTRATOS!$A$2:$A$601,0)),""))</f>
        <v/>
      </c>
      <c r="M496" s="13">
        <f>IF(OR($A496="",$E496=""),"",IFERROR(E496*INDEX(CONTRATOS!$AA$2:$AA$601,MATCH($A496,CONTRATOS!$A$2:$A$601,0)),""))</f>
        <v/>
      </c>
      <c r="N496" s="19">
        <f>IF($A496="","",SUMIFS($E$2:$E$601,$A$2:$A$601,$A496))</f>
        <v/>
      </c>
      <c r="O496" s="12">
        <f>IF($A496="","",IFERROR(INDEX(CONTRATOS!$F$2:$F$601,MATCH($A496,CONTRATOS!$A$2:$A$601,0)),""))</f>
        <v/>
      </c>
      <c r="P496" s="12">
        <f>IF($A496="","",IFERROR(INDEX(CONTRATOS!$M$2:$M$601,MATCH($A496,CONTRATOS!$A$2:$A$601,0)),""))</f>
        <v/>
      </c>
      <c r="Q496" s="12">
        <f>IF($A496="","",IF(COUNTIF(CONTRATOS!$A$2:$A$601,$A496)=0,"El contrato no existe en CONTRATOS; ","")&amp;IF($B496="","Falta sujeto; ",IF(COUNTIF(SUJETOS!$A$2:$A$601,$B496)=0,"El sujeto no existe en SUJETOS; ",""))&amp;IF($E496="","Falta porcentaje; ","")&amp;IF(N496&gt;1.0001,"Los porcentajes del contrato suman más de 100 %; ","")&amp;IF(AND($C496="Individual",$E496&lt;&gt;"",$E496&lt;&gt;1),"Individual debe ser 100 %; ","")&amp;IF(AND($C496&lt;&gt;"Individual",$C496&lt;&gt;"",$E496=1),"Consorcio o UT con 100 %: revise; ","")&amp;IF(COUNTIFS($A$2:$A$601,$A496,$B$2:$B$601,$B496)&gt;1,"Participación repetida; ","")&amp;IF(AND(IFERROR(INDEX(SUJETOS!$B$2:$B$601,MATCH($B496,SUJETOS!$A$2:$A$601,0)),"")="Persona natural",$G496=""),"Persona natural sin cargo; ",""))</f>
        <v/>
      </c>
      <c r="R496" s="12">
        <f>IF($A496="","",IFERROR(IF(LEN(INDEX(SUJETOS!$F$2:$F$601,MATCH($B496,SUJETOS!$A$2:$A$601,0)))&gt;0,INDEX(SUJETOS!$F$2:$F$601,MATCH($B496,SUJETOS!$A$2:$A$601,0)),$B496),$B496))</f>
        <v/>
      </c>
    </row>
    <row r="497">
      <c r="E497" s="18" t="n"/>
      <c r="K497" s="13">
        <f>IF(OR($A497="",$E497=""),"",IFERROR(E497*INDEX(CONTRATOS!$P$2:$P$601,MATCH($A497,CONTRATOS!$A$2:$A$601,0)),""))</f>
        <v/>
      </c>
      <c r="L497" s="17">
        <f>IF(OR($A497="",$E497=""),"",IFERROR(E497*INDEX(CONTRATOS!$Z$2:$Z$601,MATCH($A497,CONTRATOS!$A$2:$A$601,0)),""))</f>
        <v/>
      </c>
      <c r="M497" s="13">
        <f>IF(OR($A497="",$E497=""),"",IFERROR(E497*INDEX(CONTRATOS!$AA$2:$AA$601,MATCH($A497,CONTRATOS!$A$2:$A$601,0)),""))</f>
        <v/>
      </c>
      <c r="N497" s="19">
        <f>IF($A497="","",SUMIFS($E$2:$E$601,$A$2:$A$601,$A497))</f>
        <v/>
      </c>
      <c r="O497" s="12">
        <f>IF($A497="","",IFERROR(INDEX(CONTRATOS!$F$2:$F$601,MATCH($A497,CONTRATOS!$A$2:$A$601,0)),""))</f>
        <v/>
      </c>
      <c r="P497" s="12">
        <f>IF($A497="","",IFERROR(INDEX(CONTRATOS!$M$2:$M$601,MATCH($A497,CONTRATOS!$A$2:$A$601,0)),""))</f>
        <v/>
      </c>
      <c r="Q497" s="12">
        <f>IF($A497="","",IF(COUNTIF(CONTRATOS!$A$2:$A$601,$A497)=0,"El contrato no existe en CONTRATOS; ","")&amp;IF($B497="","Falta sujeto; ",IF(COUNTIF(SUJETOS!$A$2:$A$601,$B497)=0,"El sujeto no existe en SUJETOS; ",""))&amp;IF($E497="","Falta porcentaje; ","")&amp;IF(N497&gt;1.0001,"Los porcentajes del contrato suman más de 100 %; ","")&amp;IF(AND($C497="Individual",$E497&lt;&gt;"",$E497&lt;&gt;1),"Individual debe ser 100 %; ","")&amp;IF(AND($C497&lt;&gt;"Individual",$C497&lt;&gt;"",$E497=1),"Consorcio o UT con 100 %: revise; ","")&amp;IF(COUNTIFS($A$2:$A$601,$A497,$B$2:$B$601,$B497)&gt;1,"Participación repetida; ","")&amp;IF(AND(IFERROR(INDEX(SUJETOS!$B$2:$B$601,MATCH($B497,SUJETOS!$A$2:$A$601,0)),"")="Persona natural",$G497=""),"Persona natural sin cargo; ",""))</f>
        <v/>
      </c>
      <c r="R497" s="12">
        <f>IF($A497="","",IFERROR(IF(LEN(INDEX(SUJETOS!$F$2:$F$601,MATCH($B497,SUJETOS!$A$2:$A$601,0)))&gt;0,INDEX(SUJETOS!$F$2:$F$601,MATCH($B497,SUJETOS!$A$2:$A$601,0)),$B497),$B497))</f>
        <v/>
      </c>
    </row>
    <row r="498">
      <c r="E498" s="18" t="n"/>
      <c r="K498" s="13">
        <f>IF(OR($A498="",$E498=""),"",IFERROR(E498*INDEX(CONTRATOS!$P$2:$P$601,MATCH($A498,CONTRATOS!$A$2:$A$601,0)),""))</f>
        <v/>
      </c>
      <c r="L498" s="17">
        <f>IF(OR($A498="",$E498=""),"",IFERROR(E498*INDEX(CONTRATOS!$Z$2:$Z$601,MATCH($A498,CONTRATOS!$A$2:$A$601,0)),""))</f>
        <v/>
      </c>
      <c r="M498" s="13">
        <f>IF(OR($A498="",$E498=""),"",IFERROR(E498*INDEX(CONTRATOS!$AA$2:$AA$601,MATCH($A498,CONTRATOS!$A$2:$A$601,0)),""))</f>
        <v/>
      </c>
      <c r="N498" s="19">
        <f>IF($A498="","",SUMIFS($E$2:$E$601,$A$2:$A$601,$A498))</f>
        <v/>
      </c>
      <c r="O498" s="12">
        <f>IF($A498="","",IFERROR(INDEX(CONTRATOS!$F$2:$F$601,MATCH($A498,CONTRATOS!$A$2:$A$601,0)),""))</f>
        <v/>
      </c>
      <c r="P498" s="12">
        <f>IF($A498="","",IFERROR(INDEX(CONTRATOS!$M$2:$M$601,MATCH($A498,CONTRATOS!$A$2:$A$601,0)),""))</f>
        <v/>
      </c>
      <c r="Q498" s="12">
        <f>IF($A498="","",IF(COUNTIF(CONTRATOS!$A$2:$A$601,$A498)=0,"El contrato no existe en CONTRATOS; ","")&amp;IF($B498="","Falta sujeto; ",IF(COUNTIF(SUJETOS!$A$2:$A$601,$B498)=0,"El sujeto no existe en SUJETOS; ",""))&amp;IF($E498="","Falta porcentaje; ","")&amp;IF(N498&gt;1.0001,"Los porcentajes del contrato suman más de 100 %; ","")&amp;IF(AND($C498="Individual",$E498&lt;&gt;"",$E498&lt;&gt;1),"Individual debe ser 100 %; ","")&amp;IF(AND($C498&lt;&gt;"Individual",$C498&lt;&gt;"",$E498=1),"Consorcio o UT con 100 %: revise; ","")&amp;IF(COUNTIFS($A$2:$A$601,$A498,$B$2:$B$601,$B498)&gt;1,"Participación repetida; ","")&amp;IF(AND(IFERROR(INDEX(SUJETOS!$B$2:$B$601,MATCH($B498,SUJETOS!$A$2:$A$601,0)),"")="Persona natural",$G498=""),"Persona natural sin cargo; ",""))</f>
        <v/>
      </c>
      <c r="R498" s="12">
        <f>IF($A498="","",IFERROR(IF(LEN(INDEX(SUJETOS!$F$2:$F$601,MATCH($B498,SUJETOS!$A$2:$A$601,0)))&gt;0,INDEX(SUJETOS!$F$2:$F$601,MATCH($B498,SUJETOS!$A$2:$A$601,0)),$B498),$B498))</f>
        <v/>
      </c>
    </row>
    <row r="499">
      <c r="E499" s="18" t="n"/>
      <c r="K499" s="13">
        <f>IF(OR($A499="",$E499=""),"",IFERROR(E499*INDEX(CONTRATOS!$P$2:$P$601,MATCH($A499,CONTRATOS!$A$2:$A$601,0)),""))</f>
        <v/>
      </c>
      <c r="L499" s="17">
        <f>IF(OR($A499="",$E499=""),"",IFERROR(E499*INDEX(CONTRATOS!$Z$2:$Z$601,MATCH($A499,CONTRATOS!$A$2:$A$601,0)),""))</f>
        <v/>
      </c>
      <c r="M499" s="13">
        <f>IF(OR($A499="",$E499=""),"",IFERROR(E499*INDEX(CONTRATOS!$AA$2:$AA$601,MATCH($A499,CONTRATOS!$A$2:$A$601,0)),""))</f>
        <v/>
      </c>
      <c r="N499" s="19">
        <f>IF($A499="","",SUMIFS($E$2:$E$601,$A$2:$A$601,$A499))</f>
        <v/>
      </c>
      <c r="O499" s="12">
        <f>IF($A499="","",IFERROR(INDEX(CONTRATOS!$F$2:$F$601,MATCH($A499,CONTRATOS!$A$2:$A$601,0)),""))</f>
        <v/>
      </c>
      <c r="P499" s="12">
        <f>IF($A499="","",IFERROR(INDEX(CONTRATOS!$M$2:$M$601,MATCH($A499,CONTRATOS!$A$2:$A$601,0)),""))</f>
        <v/>
      </c>
      <c r="Q499" s="12">
        <f>IF($A499="","",IF(COUNTIF(CONTRATOS!$A$2:$A$601,$A499)=0,"El contrato no existe en CONTRATOS; ","")&amp;IF($B499="","Falta sujeto; ",IF(COUNTIF(SUJETOS!$A$2:$A$601,$B499)=0,"El sujeto no existe en SUJETOS; ",""))&amp;IF($E499="","Falta porcentaje; ","")&amp;IF(N499&gt;1.0001,"Los porcentajes del contrato suman más de 100 %; ","")&amp;IF(AND($C499="Individual",$E499&lt;&gt;"",$E499&lt;&gt;1),"Individual debe ser 100 %; ","")&amp;IF(AND($C499&lt;&gt;"Individual",$C499&lt;&gt;"",$E499=1),"Consorcio o UT con 100 %: revise; ","")&amp;IF(COUNTIFS($A$2:$A$601,$A499,$B$2:$B$601,$B499)&gt;1,"Participación repetida; ","")&amp;IF(AND(IFERROR(INDEX(SUJETOS!$B$2:$B$601,MATCH($B499,SUJETOS!$A$2:$A$601,0)),"")="Persona natural",$G499=""),"Persona natural sin cargo; ",""))</f>
        <v/>
      </c>
      <c r="R499" s="12">
        <f>IF($A499="","",IFERROR(IF(LEN(INDEX(SUJETOS!$F$2:$F$601,MATCH($B499,SUJETOS!$A$2:$A$601,0)))&gt;0,INDEX(SUJETOS!$F$2:$F$601,MATCH($B499,SUJETOS!$A$2:$A$601,0)),$B499),$B499))</f>
        <v/>
      </c>
    </row>
    <row r="500">
      <c r="E500" s="18" t="n"/>
      <c r="K500" s="13">
        <f>IF(OR($A500="",$E500=""),"",IFERROR(E500*INDEX(CONTRATOS!$P$2:$P$601,MATCH($A500,CONTRATOS!$A$2:$A$601,0)),""))</f>
        <v/>
      </c>
      <c r="L500" s="17">
        <f>IF(OR($A500="",$E500=""),"",IFERROR(E500*INDEX(CONTRATOS!$Z$2:$Z$601,MATCH($A500,CONTRATOS!$A$2:$A$601,0)),""))</f>
        <v/>
      </c>
      <c r="M500" s="13">
        <f>IF(OR($A500="",$E500=""),"",IFERROR(E500*INDEX(CONTRATOS!$AA$2:$AA$601,MATCH($A500,CONTRATOS!$A$2:$A$601,0)),""))</f>
        <v/>
      </c>
      <c r="N500" s="19">
        <f>IF($A500="","",SUMIFS($E$2:$E$601,$A$2:$A$601,$A500))</f>
        <v/>
      </c>
      <c r="O500" s="12">
        <f>IF($A500="","",IFERROR(INDEX(CONTRATOS!$F$2:$F$601,MATCH($A500,CONTRATOS!$A$2:$A$601,0)),""))</f>
        <v/>
      </c>
      <c r="P500" s="12">
        <f>IF($A500="","",IFERROR(INDEX(CONTRATOS!$M$2:$M$601,MATCH($A500,CONTRATOS!$A$2:$A$601,0)),""))</f>
        <v/>
      </c>
      <c r="Q500" s="12">
        <f>IF($A500="","",IF(COUNTIF(CONTRATOS!$A$2:$A$601,$A500)=0,"El contrato no existe en CONTRATOS; ","")&amp;IF($B500="","Falta sujeto; ",IF(COUNTIF(SUJETOS!$A$2:$A$601,$B500)=0,"El sujeto no existe en SUJETOS; ",""))&amp;IF($E500="","Falta porcentaje; ","")&amp;IF(N500&gt;1.0001,"Los porcentajes del contrato suman más de 100 %; ","")&amp;IF(AND($C500="Individual",$E500&lt;&gt;"",$E500&lt;&gt;1),"Individual debe ser 100 %; ","")&amp;IF(AND($C500&lt;&gt;"Individual",$C500&lt;&gt;"",$E500=1),"Consorcio o UT con 100 %: revise; ","")&amp;IF(COUNTIFS($A$2:$A$601,$A500,$B$2:$B$601,$B500)&gt;1,"Participación repetida; ","")&amp;IF(AND(IFERROR(INDEX(SUJETOS!$B$2:$B$601,MATCH($B500,SUJETOS!$A$2:$A$601,0)),"")="Persona natural",$G500=""),"Persona natural sin cargo; ",""))</f>
        <v/>
      </c>
      <c r="R500" s="12">
        <f>IF($A500="","",IFERROR(IF(LEN(INDEX(SUJETOS!$F$2:$F$601,MATCH($B500,SUJETOS!$A$2:$A$601,0)))&gt;0,INDEX(SUJETOS!$F$2:$F$601,MATCH($B500,SUJETOS!$A$2:$A$601,0)),$B500),$B500))</f>
        <v/>
      </c>
    </row>
    <row r="501">
      <c r="E501" s="18" t="n"/>
      <c r="K501" s="13">
        <f>IF(OR($A501="",$E501=""),"",IFERROR(E501*INDEX(CONTRATOS!$P$2:$P$601,MATCH($A501,CONTRATOS!$A$2:$A$601,0)),""))</f>
        <v/>
      </c>
      <c r="L501" s="17">
        <f>IF(OR($A501="",$E501=""),"",IFERROR(E501*INDEX(CONTRATOS!$Z$2:$Z$601,MATCH($A501,CONTRATOS!$A$2:$A$601,0)),""))</f>
        <v/>
      </c>
      <c r="M501" s="13">
        <f>IF(OR($A501="",$E501=""),"",IFERROR(E501*INDEX(CONTRATOS!$AA$2:$AA$601,MATCH($A501,CONTRATOS!$A$2:$A$601,0)),""))</f>
        <v/>
      </c>
      <c r="N501" s="19">
        <f>IF($A501="","",SUMIFS($E$2:$E$601,$A$2:$A$601,$A501))</f>
        <v/>
      </c>
      <c r="O501" s="12">
        <f>IF($A501="","",IFERROR(INDEX(CONTRATOS!$F$2:$F$601,MATCH($A501,CONTRATOS!$A$2:$A$601,0)),""))</f>
        <v/>
      </c>
      <c r="P501" s="12">
        <f>IF($A501="","",IFERROR(INDEX(CONTRATOS!$M$2:$M$601,MATCH($A501,CONTRATOS!$A$2:$A$601,0)),""))</f>
        <v/>
      </c>
      <c r="Q501" s="12">
        <f>IF($A501="","",IF(COUNTIF(CONTRATOS!$A$2:$A$601,$A501)=0,"El contrato no existe en CONTRATOS; ","")&amp;IF($B501="","Falta sujeto; ",IF(COUNTIF(SUJETOS!$A$2:$A$601,$B501)=0,"El sujeto no existe en SUJETOS; ",""))&amp;IF($E501="","Falta porcentaje; ","")&amp;IF(N501&gt;1.0001,"Los porcentajes del contrato suman más de 100 %; ","")&amp;IF(AND($C501="Individual",$E501&lt;&gt;"",$E501&lt;&gt;1),"Individual debe ser 100 %; ","")&amp;IF(AND($C501&lt;&gt;"Individual",$C501&lt;&gt;"",$E501=1),"Consorcio o UT con 100 %: revise; ","")&amp;IF(COUNTIFS($A$2:$A$601,$A501,$B$2:$B$601,$B501)&gt;1,"Participación repetida; ","")&amp;IF(AND(IFERROR(INDEX(SUJETOS!$B$2:$B$601,MATCH($B501,SUJETOS!$A$2:$A$601,0)),"")="Persona natural",$G501=""),"Persona natural sin cargo; ",""))</f>
        <v/>
      </c>
      <c r="R501" s="12">
        <f>IF($A501="","",IFERROR(IF(LEN(INDEX(SUJETOS!$F$2:$F$601,MATCH($B501,SUJETOS!$A$2:$A$601,0)))&gt;0,INDEX(SUJETOS!$F$2:$F$601,MATCH($B501,SUJETOS!$A$2:$A$601,0)),$B501),$B501))</f>
        <v/>
      </c>
    </row>
    <row r="502">
      <c r="E502" s="18" t="n"/>
      <c r="K502" s="13">
        <f>IF(OR($A502="",$E502=""),"",IFERROR(E502*INDEX(CONTRATOS!$P$2:$P$601,MATCH($A502,CONTRATOS!$A$2:$A$601,0)),""))</f>
        <v/>
      </c>
      <c r="L502" s="17">
        <f>IF(OR($A502="",$E502=""),"",IFERROR(E502*INDEX(CONTRATOS!$Z$2:$Z$601,MATCH($A502,CONTRATOS!$A$2:$A$601,0)),""))</f>
        <v/>
      </c>
      <c r="M502" s="13">
        <f>IF(OR($A502="",$E502=""),"",IFERROR(E502*INDEX(CONTRATOS!$AA$2:$AA$601,MATCH($A502,CONTRATOS!$A$2:$A$601,0)),""))</f>
        <v/>
      </c>
      <c r="N502" s="19">
        <f>IF($A502="","",SUMIFS($E$2:$E$601,$A$2:$A$601,$A502))</f>
        <v/>
      </c>
      <c r="O502" s="12">
        <f>IF($A502="","",IFERROR(INDEX(CONTRATOS!$F$2:$F$601,MATCH($A502,CONTRATOS!$A$2:$A$601,0)),""))</f>
        <v/>
      </c>
      <c r="P502" s="12">
        <f>IF($A502="","",IFERROR(INDEX(CONTRATOS!$M$2:$M$601,MATCH($A502,CONTRATOS!$A$2:$A$601,0)),""))</f>
        <v/>
      </c>
      <c r="Q502" s="12">
        <f>IF($A502="","",IF(COUNTIF(CONTRATOS!$A$2:$A$601,$A502)=0,"El contrato no existe en CONTRATOS; ","")&amp;IF($B502="","Falta sujeto; ",IF(COUNTIF(SUJETOS!$A$2:$A$601,$B502)=0,"El sujeto no existe en SUJETOS; ",""))&amp;IF($E502="","Falta porcentaje; ","")&amp;IF(N502&gt;1.0001,"Los porcentajes del contrato suman más de 100 %; ","")&amp;IF(AND($C502="Individual",$E502&lt;&gt;"",$E502&lt;&gt;1),"Individual debe ser 100 %; ","")&amp;IF(AND($C502&lt;&gt;"Individual",$C502&lt;&gt;"",$E502=1),"Consorcio o UT con 100 %: revise; ","")&amp;IF(COUNTIFS($A$2:$A$601,$A502,$B$2:$B$601,$B502)&gt;1,"Participación repetida; ","")&amp;IF(AND(IFERROR(INDEX(SUJETOS!$B$2:$B$601,MATCH($B502,SUJETOS!$A$2:$A$601,0)),"")="Persona natural",$G502=""),"Persona natural sin cargo; ",""))</f>
        <v/>
      </c>
      <c r="R502" s="12">
        <f>IF($A502="","",IFERROR(IF(LEN(INDEX(SUJETOS!$F$2:$F$601,MATCH($B502,SUJETOS!$A$2:$A$601,0)))&gt;0,INDEX(SUJETOS!$F$2:$F$601,MATCH($B502,SUJETOS!$A$2:$A$601,0)),$B502),$B502))</f>
        <v/>
      </c>
    </row>
    <row r="503">
      <c r="E503" s="18" t="n"/>
      <c r="K503" s="13">
        <f>IF(OR($A503="",$E503=""),"",IFERROR(E503*INDEX(CONTRATOS!$P$2:$P$601,MATCH($A503,CONTRATOS!$A$2:$A$601,0)),""))</f>
        <v/>
      </c>
      <c r="L503" s="17">
        <f>IF(OR($A503="",$E503=""),"",IFERROR(E503*INDEX(CONTRATOS!$Z$2:$Z$601,MATCH($A503,CONTRATOS!$A$2:$A$601,0)),""))</f>
        <v/>
      </c>
      <c r="M503" s="13">
        <f>IF(OR($A503="",$E503=""),"",IFERROR(E503*INDEX(CONTRATOS!$AA$2:$AA$601,MATCH($A503,CONTRATOS!$A$2:$A$601,0)),""))</f>
        <v/>
      </c>
      <c r="N503" s="19">
        <f>IF($A503="","",SUMIFS($E$2:$E$601,$A$2:$A$601,$A503))</f>
        <v/>
      </c>
      <c r="O503" s="12">
        <f>IF($A503="","",IFERROR(INDEX(CONTRATOS!$F$2:$F$601,MATCH($A503,CONTRATOS!$A$2:$A$601,0)),""))</f>
        <v/>
      </c>
      <c r="P503" s="12">
        <f>IF($A503="","",IFERROR(INDEX(CONTRATOS!$M$2:$M$601,MATCH($A503,CONTRATOS!$A$2:$A$601,0)),""))</f>
        <v/>
      </c>
      <c r="Q503" s="12">
        <f>IF($A503="","",IF(COUNTIF(CONTRATOS!$A$2:$A$601,$A503)=0,"El contrato no existe en CONTRATOS; ","")&amp;IF($B503="","Falta sujeto; ",IF(COUNTIF(SUJETOS!$A$2:$A$601,$B503)=0,"El sujeto no existe en SUJETOS; ",""))&amp;IF($E503="","Falta porcentaje; ","")&amp;IF(N503&gt;1.0001,"Los porcentajes del contrato suman más de 100 %; ","")&amp;IF(AND($C503="Individual",$E503&lt;&gt;"",$E503&lt;&gt;1),"Individual debe ser 100 %; ","")&amp;IF(AND($C503&lt;&gt;"Individual",$C503&lt;&gt;"",$E503=1),"Consorcio o UT con 100 %: revise; ","")&amp;IF(COUNTIFS($A$2:$A$601,$A503,$B$2:$B$601,$B503)&gt;1,"Participación repetida; ","")&amp;IF(AND(IFERROR(INDEX(SUJETOS!$B$2:$B$601,MATCH($B503,SUJETOS!$A$2:$A$601,0)),"")="Persona natural",$G503=""),"Persona natural sin cargo; ",""))</f>
        <v/>
      </c>
      <c r="R503" s="12">
        <f>IF($A503="","",IFERROR(IF(LEN(INDEX(SUJETOS!$F$2:$F$601,MATCH($B503,SUJETOS!$A$2:$A$601,0)))&gt;0,INDEX(SUJETOS!$F$2:$F$601,MATCH($B503,SUJETOS!$A$2:$A$601,0)),$B503),$B503))</f>
        <v/>
      </c>
    </row>
    <row r="504">
      <c r="E504" s="18" t="n"/>
      <c r="K504" s="13">
        <f>IF(OR($A504="",$E504=""),"",IFERROR(E504*INDEX(CONTRATOS!$P$2:$P$601,MATCH($A504,CONTRATOS!$A$2:$A$601,0)),""))</f>
        <v/>
      </c>
      <c r="L504" s="17">
        <f>IF(OR($A504="",$E504=""),"",IFERROR(E504*INDEX(CONTRATOS!$Z$2:$Z$601,MATCH($A504,CONTRATOS!$A$2:$A$601,0)),""))</f>
        <v/>
      </c>
      <c r="M504" s="13">
        <f>IF(OR($A504="",$E504=""),"",IFERROR(E504*INDEX(CONTRATOS!$AA$2:$AA$601,MATCH($A504,CONTRATOS!$A$2:$A$601,0)),""))</f>
        <v/>
      </c>
      <c r="N504" s="19">
        <f>IF($A504="","",SUMIFS($E$2:$E$601,$A$2:$A$601,$A504))</f>
        <v/>
      </c>
      <c r="O504" s="12">
        <f>IF($A504="","",IFERROR(INDEX(CONTRATOS!$F$2:$F$601,MATCH($A504,CONTRATOS!$A$2:$A$601,0)),""))</f>
        <v/>
      </c>
      <c r="P504" s="12">
        <f>IF($A504="","",IFERROR(INDEX(CONTRATOS!$M$2:$M$601,MATCH($A504,CONTRATOS!$A$2:$A$601,0)),""))</f>
        <v/>
      </c>
      <c r="Q504" s="12">
        <f>IF($A504="","",IF(COUNTIF(CONTRATOS!$A$2:$A$601,$A504)=0,"El contrato no existe en CONTRATOS; ","")&amp;IF($B504="","Falta sujeto; ",IF(COUNTIF(SUJETOS!$A$2:$A$601,$B504)=0,"El sujeto no existe en SUJETOS; ",""))&amp;IF($E504="","Falta porcentaje; ","")&amp;IF(N504&gt;1.0001,"Los porcentajes del contrato suman más de 100 %; ","")&amp;IF(AND($C504="Individual",$E504&lt;&gt;"",$E504&lt;&gt;1),"Individual debe ser 100 %; ","")&amp;IF(AND($C504&lt;&gt;"Individual",$C504&lt;&gt;"",$E504=1),"Consorcio o UT con 100 %: revise; ","")&amp;IF(COUNTIFS($A$2:$A$601,$A504,$B$2:$B$601,$B504)&gt;1,"Participación repetida; ","")&amp;IF(AND(IFERROR(INDEX(SUJETOS!$B$2:$B$601,MATCH($B504,SUJETOS!$A$2:$A$601,0)),"")="Persona natural",$G504=""),"Persona natural sin cargo; ",""))</f>
        <v/>
      </c>
      <c r="R504" s="12">
        <f>IF($A504="","",IFERROR(IF(LEN(INDEX(SUJETOS!$F$2:$F$601,MATCH($B504,SUJETOS!$A$2:$A$601,0)))&gt;0,INDEX(SUJETOS!$F$2:$F$601,MATCH($B504,SUJETOS!$A$2:$A$601,0)),$B504),$B504))</f>
        <v/>
      </c>
    </row>
    <row r="505">
      <c r="E505" s="18" t="n"/>
      <c r="K505" s="13">
        <f>IF(OR($A505="",$E505=""),"",IFERROR(E505*INDEX(CONTRATOS!$P$2:$P$601,MATCH($A505,CONTRATOS!$A$2:$A$601,0)),""))</f>
        <v/>
      </c>
      <c r="L505" s="17">
        <f>IF(OR($A505="",$E505=""),"",IFERROR(E505*INDEX(CONTRATOS!$Z$2:$Z$601,MATCH($A505,CONTRATOS!$A$2:$A$601,0)),""))</f>
        <v/>
      </c>
      <c r="M505" s="13">
        <f>IF(OR($A505="",$E505=""),"",IFERROR(E505*INDEX(CONTRATOS!$AA$2:$AA$601,MATCH($A505,CONTRATOS!$A$2:$A$601,0)),""))</f>
        <v/>
      </c>
      <c r="N505" s="19">
        <f>IF($A505="","",SUMIFS($E$2:$E$601,$A$2:$A$601,$A505))</f>
        <v/>
      </c>
      <c r="O505" s="12">
        <f>IF($A505="","",IFERROR(INDEX(CONTRATOS!$F$2:$F$601,MATCH($A505,CONTRATOS!$A$2:$A$601,0)),""))</f>
        <v/>
      </c>
      <c r="P505" s="12">
        <f>IF($A505="","",IFERROR(INDEX(CONTRATOS!$M$2:$M$601,MATCH($A505,CONTRATOS!$A$2:$A$601,0)),""))</f>
        <v/>
      </c>
      <c r="Q505" s="12">
        <f>IF($A505="","",IF(COUNTIF(CONTRATOS!$A$2:$A$601,$A505)=0,"El contrato no existe en CONTRATOS; ","")&amp;IF($B505="","Falta sujeto; ",IF(COUNTIF(SUJETOS!$A$2:$A$601,$B505)=0,"El sujeto no existe en SUJETOS; ",""))&amp;IF($E505="","Falta porcentaje; ","")&amp;IF(N505&gt;1.0001,"Los porcentajes del contrato suman más de 100 %; ","")&amp;IF(AND($C505="Individual",$E505&lt;&gt;"",$E505&lt;&gt;1),"Individual debe ser 100 %; ","")&amp;IF(AND($C505&lt;&gt;"Individual",$C505&lt;&gt;"",$E505=1),"Consorcio o UT con 100 %: revise; ","")&amp;IF(COUNTIFS($A$2:$A$601,$A505,$B$2:$B$601,$B505)&gt;1,"Participación repetida; ","")&amp;IF(AND(IFERROR(INDEX(SUJETOS!$B$2:$B$601,MATCH($B505,SUJETOS!$A$2:$A$601,0)),"")="Persona natural",$G505=""),"Persona natural sin cargo; ",""))</f>
        <v/>
      </c>
      <c r="R505" s="12">
        <f>IF($A505="","",IFERROR(IF(LEN(INDEX(SUJETOS!$F$2:$F$601,MATCH($B505,SUJETOS!$A$2:$A$601,0)))&gt;0,INDEX(SUJETOS!$F$2:$F$601,MATCH($B505,SUJETOS!$A$2:$A$601,0)),$B505),$B505))</f>
        <v/>
      </c>
    </row>
    <row r="506">
      <c r="E506" s="18" t="n"/>
      <c r="K506" s="13">
        <f>IF(OR($A506="",$E506=""),"",IFERROR(E506*INDEX(CONTRATOS!$P$2:$P$601,MATCH($A506,CONTRATOS!$A$2:$A$601,0)),""))</f>
        <v/>
      </c>
      <c r="L506" s="17">
        <f>IF(OR($A506="",$E506=""),"",IFERROR(E506*INDEX(CONTRATOS!$Z$2:$Z$601,MATCH($A506,CONTRATOS!$A$2:$A$601,0)),""))</f>
        <v/>
      </c>
      <c r="M506" s="13">
        <f>IF(OR($A506="",$E506=""),"",IFERROR(E506*INDEX(CONTRATOS!$AA$2:$AA$601,MATCH($A506,CONTRATOS!$A$2:$A$601,0)),""))</f>
        <v/>
      </c>
      <c r="N506" s="19">
        <f>IF($A506="","",SUMIFS($E$2:$E$601,$A$2:$A$601,$A506))</f>
        <v/>
      </c>
      <c r="O506" s="12">
        <f>IF($A506="","",IFERROR(INDEX(CONTRATOS!$F$2:$F$601,MATCH($A506,CONTRATOS!$A$2:$A$601,0)),""))</f>
        <v/>
      </c>
      <c r="P506" s="12">
        <f>IF($A506="","",IFERROR(INDEX(CONTRATOS!$M$2:$M$601,MATCH($A506,CONTRATOS!$A$2:$A$601,0)),""))</f>
        <v/>
      </c>
      <c r="Q506" s="12">
        <f>IF($A506="","",IF(COUNTIF(CONTRATOS!$A$2:$A$601,$A506)=0,"El contrato no existe en CONTRATOS; ","")&amp;IF($B506="","Falta sujeto; ",IF(COUNTIF(SUJETOS!$A$2:$A$601,$B506)=0,"El sujeto no existe en SUJETOS; ",""))&amp;IF($E506="","Falta porcentaje; ","")&amp;IF(N506&gt;1.0001,"Los porcentajes del contrato suman más de 100 %; ","")&amp;IF(AND($C506="Individual",$E506&lt;&gt;"",$E506&lt;&gt;1),"Individual debe ser 100 %; ","")&amp;IF(AND($C506&lt;&gt;"Individual",$C506&lt;&gt;"",$E506=1),"Consorcio o UT con 100 %: revise; ","")&amp;IF(COUNTIFS($A$2:$A$601,$A506,$B$2:$B$601,$B506)&gt;1,"Participación repetida; ","")&amp;IF(AND(IFERROR(INDEX(SUJETOS!$B$2:$B$601,MATCH($B506,SUJETOS!$A$2:$A$601,0)),"")="Persona natural",$G506=""),"Persona natural sin cargo; ",""))</f>
        <v/>
      </c>
      <c r="R506" s="12">
        <f>IF($A506="","",IFERROR(IF(LEN(INDEX(SUJETOS!$F$2:$F$601,MATCH($B506,SUJETOS!$A$2:$A$601,0)))&gt;0,INDEX(SUJETOS!$F$2:$F$601,MATCH($B506,SUJETOS!$A$2:$A$601,0)),$B506),$B506))</f>
        <v/>
      </c>
    </row>
    <row r="507">
      <c r="E507" s="18" t="n"/>
      <c r="K507" s="13">
        <f>IF(OR($A507="",$E507=""),"",IFERROR(E507*INDEX(CONTRATOS!$P$2:$P$601,MATCH($A507,CONTRATOS!$A$2:$A$601,0)),""))</f>
        <v/>
      </c>
      <c r="L507" s="17">
        <f>IF(OR($A507="",$E507=""),"",IFERROR(E507*INDEX(CONTRATOS!$Z$2:$Z$601,MATCH($A507,CONTRATOS!$A$2:$A$601,0)),""))</f>
        <v/>
      </c>
      <c r="M507" s="13">
        <f>IF(OR($A507="",$E507=""),"",IFERROR(E507*INDEX(CONTRATOS!$AA$2:$AA$601,MATCH($A507,CONTRATOS!$A$2:$A$601,0)),""))</f>
        <v/>
      </c>
      <c r="N507" s="19">
        <f>IF($A507="","",SUMIFS($E$2:$E$601,$A$2:$A$601,$A507))</f>
        <v/>
      </c>
      <c r="O507" s="12">
        <f>IF($A507="","",IFERROR(INDEX(CONTRATOS!$F$2:$F$601,MATCH($A507,CONTRATOS!$A$2:$A$601,0)),""))</f>
        <v/>
      </c>
      <c r="P507" s="12">
        <f>IF($A507="","",IFERROR(INDEX(CONTRATOS!$M$2:$M$601,MATCH($A507,CONTRATOS!$A$2:$A$601,0)),""))</f>
        <v/>
      </c>
      <c r="Q507" s="12">
        <f>IF($A507="","",IF(COUNTIF(CONTRATOS!$A$2:$A$601,$A507)=0,"El contrato no existe en CONTRATOS; ","")&amp;IF($B507="","Falta sujeto; ",IF(COUNTIF(SUJETOS!$A$2:$A$601,$B507)=0,"El sujeto no existe en SUJETOS; ",""))&amp;IF($E507="","Falta porcentaje; ","")&amp;IF(N507&gt;1.0001,"Los porcentajes del contrato suman más de 100 %; ","")&amp;IF(AND($C507="Individual",$E507&lt;&gt;"",$E507&lt;&gt;1),"Individual debe ser 100 %; ","")&amp;IF(AND($C507&lt;&gt;"Individual",$C507&lt;&gt;"",$E507=1),"Consorcio o UT con 100 %: revise; ","")&amp;IF(COUNTIFS($A$2:$A$601,$A507,$B$2:$B$601,$B507)&gt;1,"Participación repetida; ","")&amp;IF(AND(IFERROR(INDEX(SUJETOS!$B$2:$B$601,MATCH($B507,SUJETOS!$A$2:$A$601,0)),"")="Persona natural",$G507=""),"Persona natural sin cargo; ",""))</f>
        <v/>
      </c>
      <c r="R507" s="12">
        <f>IF($A507="","",IFERROR(IF(LEN(INDEX(SUJETOS!$F$2:$F$601,MATCH($B507,SUJETOS!$A$2:$A$601,0)))&gt;0,INDEX(SUJETOS!$F$2:$F$601,MATCH($B507,SUJETOS!$A$2:$A$601,0)),$B507),$B507))</f>
        <v/>
      </c>
    </row>
    <row r="508">
      <c r="E508" s="18" t="n"/>
      <c r="K508" s="13">
        <f>IF(OR($A508="",$E508=""),"",IFERROR(E508*INDEX(CONTRATOS!$P$2:$P$601,MATCH($A508,CONTRATOS!$A$2:$A$601,0)),""))</f>
        <v/>
      </c>
      <c r="L508" s="17">
        <f>IF(OR($A508="",$E508=""),"",IFERROR(E508*INDEX(CONTRATOS!$Z$2:$Z$601,MATCH($A508,CONTRATOS!$A$2:$A$601,0)),""))</f>
        <v/>
      </c>
      <c r="M508" s="13">
        <f>IF(OR($A508="",$E508=""),"",IFERROR(E508*INDEX(CONTRATOS!$AA$2:$AA$601,MATCH($A508,CONTRATOS!$A$2:$A$601,0)),""))</f>
        <v/>
      </c>
      <c r="N508" s="19">
        <f>IF($A508="","",SUMIFS($E$2:$E$601,$A$2:$A$601,$A508))</f>
        <v/>
      </c>
      <c r="O508" s="12">
        <f>IF($A508="","",IFERROR(INDEX(CONTRATOS!$F$2:$F$601,MATCH($A508,CONTRATOS!$A$2:$A$601,0)),""))</f>
        <v/>
      </c>
      <c r="P508" s="12">
        <f>IF($A508="","",IFERROR(INDEX(CONTRATOS!$M$2:$M$601,MATCH($A508,CONTRATOS!$A$2:$A$601,0)),""))</f>
        <v/>
      </c>
      <c r="Q508" s="12">
        <f>IF($A508="","",IF(COUNTIF(CONTRATOS!$A$2:$A$601,$A508)=0,"El contrato no existe en CONTRATOS; ","")&amp;IF($B508="","Falta sujeto; ",IF(COUNTIF(SUJETOS!$A$2:$A$601,$B508)=0,"El sujeto no existe en SUJETOS; ",""))&amp;IF($E508="","Falta porcentaje; ","")&amp;IF(N508&gt;1.0001,"Los porcentajes del contrato suman más de 100 %; ","")&amp;IF(AND($C508="Individual",$E508&lt;&gt;"",$E508&lt;&gt;1),"Individual debe ser 100 %; ","")&amp;IF(AND($C508&lt;&gt;"Individual",$C508&lt;&gt;"",$E508=1),"Consorcio o UT con 100 %: revise; ","")&amp;IF(COUNTIFS($A$2:$A$601,$A508,$B$2:$B$601,$B508)&gt;1,"Participación repetida; ","")&amp;IF(AND(IFERROR(INDEX(SUJETOS!$B$2:$B$601,MATCH($B508,SUJETOS!$A$2:$A$601,0)),"")="Persona natural",$G508=""),"Persona natural sin cargo; ",""))</f>
        <v/>
      </c>
      <c r="R508" s="12">
        <f>IF($A508="","",IFERROR(IF(LEN(INDEX(SUJETOS!$F$2:$F$601,MATCH($B508,SUJETOS!$A$2:$A$601,0)))&gt;0,INDEX(SUJETOS!$F$2:$F$601,MATCH($B508,SUJETOS!$A$2:$A$601,0)),$B508),$B508))</f>
        <v/>
      </c>
    </row>
    <row r="509">
      <c r="E509" s="18" t="n"/>
      <c r="K509" s="13">
        <f>IF(OR($A509="",$E509=""),"",IFERROR(E509*INDEX(CONTRATOS!$P$2:$P$601,MATCH($A509,CONTRATOS!$A$2:$A$601,0)),""))</f>
        <v/>
      </c>
      <c r="L509" s="17">
        <f>IF(OR($A509="",$E509=""),"",IFERROR(E509*INDEX(CONTRATOS!$Z$2:$Z$601,MATCH($A509,CONTRATOS!$A$2:$A$601,0)),""))</f>
        <v/>
      </c>
      <c r="M509" s="13">
        <f>IF(OR($A509="",$E509=""),"",IFERROR(E509*INDEX(CONTRATOS!$AA$2:$AA$601,MATCH($A509,CONTRATOS!$A$2:$A$601,0)),""))</f>
        <v/>
      </c>
      <c r="N509" s="19">
        <f>IF($A509="","",SUMIFS($E$2:$E$601,$A$2:$A$601,$A509))</f>
        <v/>
      </c>
      <c r="O509" s="12">
        <f>IF($A509="","",IFERROR(INDEX(CONTRATOS!$F$2:$F$601,MATCH($A509,CONTRATOS!$A$2:$A$601,0)),""))</f>
        <v/>
      </c>
      <c r="P509" s="12">
        <f>IF($A509="","",IFERROR(INDEX(CONTRATOS!$M$2:$M$601,MATCH($A509,CONTRATOS!$A$2:$A$601,0)),""))</f>
        <v/>
      </c>
      <c r="Q509" s="12">
        <f>IF($A509="","",IF(COUNTIF(CONTRATOS!$A$2:$A$601,$A509)=0,"El contrato no existe en CONTRATOS; ","")&amp;IF($B509="","Falta sujeto; ",IF(COUNTIF(SUJETOS!$A$2:$A$601,$B509)=0,"El sujeto no existe en SUJETOS; ",""))&amp;IF($E509="","Falta porcentaje; ","")&amp;IF(N509&gt;1.0001,"Los porcentajes del contrato suman más de 100 %; ","")&amp;IF(AND($C509="Individual",$E509&lt;&gt;"",$E509&lt;&gt;1),"Individual debe ser 100 %; ","")&amp;IF(AND($C509&lt;&gt;"Individual",$C509&lt;&gt;"",$E509=1),"Consorcio o UT con 100 %: revise; ","")&amp;IF(COUNTIFS($A$2:$A$601,$A509,$B$2:$B$601,$B509)&gt;1,"Participación repetida; ","")&amp;IF(AND(IFERROR(INDEX(SUJETOS!$B$2:$B$601,MATCH($B509,SUJETOS!$A$2:$A$601,0)),"")="Persona natural",$G509=""),"Persona natural sin cargo; ",""))</f>
        <v/>
      </c>
      <c r="R509" s="12">
        <f>IF($A509="","",IFERROR(IF(LEN(INDEX(SUJETOS!$F$2:$F$601,MATCH($B509,SUJETOS!$A$2:$A$601,0)))&gt;0,INDEX(SUJETOS!$F$2:$F$601,MATCH($B509,SUJETOS!$A$2:$A$601,0)),$B509),$B509))</f>
        <v/>
      </c>
    </row>
    <row r="510">
      <c r="E510" s="18" t="n"/>
      <c r="K510" s="13">
        <f>IF(OR($A510="",$E510=""),"",IFERROR(E510*INDEX(CONTRATOS!$P$2:$P$601,MATCH($A510,CONTRATOS!$A$2:$A$601,0)),""))</f>
        <v/>
      </c>
      <c r="L510" s="17">
        <f>IF(OR($A510="",$E510=""),"",IFERROR(E510*INDEX(CONTRATOS!$Z$2:$Z$601,MATCH($A510,CONTRATOS!$A$2:$A$601,0)),""))</f>
        <v/>
      </c>
      <c r="M510" s="13">
        <f>IF(OR($A510="",$E510=""),"",IFERROR(E510*INDEX(CONTRATOS!$AA$2:$AA$601,MATCH($A510,CONTRATOS!$A$2:$A$601,0)),""))</f>
        <v/>
      </c>
      <c r="N510" s="19">
        <f>IF($A510="","",SUMIFS($E$2:$E$601,$A$2:$A$601,$A510))</f>
        <v/>
      </c>
      <c r="O510" s="12">
        <f>IF($A510="","",IFERROR(INDEX(CONTRATOS!$F$2:$F$601,MATCH($A510,CONTRATOS!$A$2:$A$601,0)),""))</f>
        <v/>
      </c>
      <c r="P510" s="12">
        <f>IF($A510="","",IFERROR(INDEX(CONTRATOS!$M$2:$M$601,MATCH($A510,CONTRATOS!$A$2:$A$601,0)),""))</f>
        <v/>
      </c>
      <c r="Q510" s="12">
        <f>IF($A510="","",IF(COUNTIF(CONTRATOS!$A$2:$A$601,$A510)=0,"El contrato no existe en CONTRATOS; ","")&amp;IF($B510="","Falta sujeto; ",IF(COUNTIF(SUJETOS!$A$2:$A$601,$B510)=0,"El sujeto no existe en SUJETOS; ",""))&amp;IF($E510="","Falta porcentaje; ","")&amp;IF(N510&gt;1.0001,"Los porcentajes del contrato suman más de 100 %; ","")&amp;IF(AND($C510="Individual",$E510&lt;&gt;"",$E510&lt;&gt;1),"Individual debe ser 100 %; ","")&amp;IF(AND($C510&lt;&gt;"Individual",$C510&lt;&gt;"",$E510=1),"Consorcio o UT con 100 %: revise; ","")&amp;IF(COUNTIFS($A$2:$A$601,$A510,$B$2:$B$601,$B510)&gt;1,"Participación repetida; ","")&amp;IF(AND(IFERROR(INDEX(SUJETOS!$B$2:$B$601,MATCH($B510,SUJETOS!$A$2:$A$601,0)),"")="Persona natural",$G510=""),"Persona natural sin cargo; ",""))</f>
        <v/>
      </c>
      <c r="R510" s="12">
        <f>IF($A510="","",IFERROR(IF(LEN(INDEX(SUJETOS!$F$2:$F$601,MATCH($B510,SUJETOS!$A$2:$A$601,0)))&gt;0,INDEX(SUJETOS!$F$2:$F$601,MATCH($B510,SUJETOS!$A$2:$A$601,0)),$B510),$B510))</f>
        <v/>
      </c>
    </row>
    <row r="511">
      <c r="E511" s="18" t="n"/>
      <c r="K511" s="13">
        <f>IF(OR($A511="",$E511=""),"",IFERROR(E511*INDEX(CONTRATOS!$P$2:$P$601,MATCH($A511,CONTRATOS!$A$2:$A$601,0)),""))</f>
        <v/>
      </c>
      <c r="L511" s="17">
        <f>IF(OR($A511="",$E511=""),"",IFERROR(E511*INDEX(CONTRATOS!$Z$2:$Z$601,MATCH($A511,CONTRATOS!$A$2:$A$601,0)),""))</f>
        <v/>
      </c>
      <c r="M511" s="13">
        <f>IF(OR($A511="",$E511=""),"",IFERROR(E511*INDEX(CONTRATOS!$AA$2:$AA$601,MATCH($A511,CONTRATOS!$A$2:$A$601,0)),""))</f>
        <v/>
      </c>
      <c r="N511" s="19">
        <f>IF($A511="","",SUMIFS($E$2:$E$601,$A$2:$A$601,$A511))</f>
        <v/>
      </c>
      <c r="O511" s="12">
        <f>IF($A511="","",IFERROR(INDEX(CONTRATOS!$F$2:$F$601,MATCH($A511,CONTRATOS!$A$2:$A$601,0)),""))</f>
        <v/>
      </c>
      <c r="P511" s="12">
        <f>IF($A511="","",IFERROR(INDEX(CONTRATOS!$M$2:$M$601,MATCH($A511,CONTRATOS!$A$2:$A$601,0)),""))</f>
        <v/>
      </c>
      <c r="Q511" s="12">
        <f>IF($A511="","",IF(COUNTIF(CONTRATOS!$A$2:$A$601,$A511)=0,"El contrato no existe en CONTRATOS; ","")&amp;IF($B511="","Falta sujeto; ",IF(COUNTIF(SUJETOS!$A$2:$A$601,$B511)=0,"El sujeto no existe en SUJETOS; ",""))&amp;IF($E511="","Falta porcentaje; ","")&amp;IF(N511&gt;1.0001,"Los porcentajes del contrato suman más de 100 %; ","")&amp;IF(AND($C511="Individual",$E511&lt;&gt;"",$E511&lt;&gt;1),"Individual debe ser 100 %; ","")&amp;IF(AND($C511&lt;&gt;"Individual",$C511&lt;&gt;"",$E511=1),"Consorcio o UT con 100 %: revise; ","")&amp;IF(COUNTIFS($A$2:$A$601,$A511,$B$2:$B$601,$B511)&gt;1,"Participación repetida; ","")&amp;IF(AND(IFERROR(INDEX(SUJETOS!$B$2:$B$601,MATCH($B511,SUJETOS!$A$2:$A$601,0)),"")="Persona natural",$G511=""),"Persona natural sin cargo; ",""))</f>
        <v/>
      </c>
      <c r="R511" s="12">
        <f>IF($A511="","",IFERROR(IF(LEN(INDEX(SUJETOS!$F$2:$F$601,MATCH($B511,SUJETOS!$A$2:$A$601,0)))&gt;0,INDEX(SUJETOS!$F$2:$F$601,MATCH($B511,SUJETOS!$A$2:$A$601,0)),$B511),$B511))</f>
        <v/>
      </c>
    </row>
    <row r="512">
      <c r="E512" s="18" t="n"/>
      <c r="K512" s="13">
        <f>IF(OR($A512="",$E512=""),"",IFERROR(E512*INDEX(CONTRATOS!$P$2:$P$601,MATCH($A512,CONTRATOS!$A$2:$A$601,0)),""))</f>
        <v/>
      </c>
      <c r="L512" s="17">
        <f>IF(OR($A512="",$E512=""),"",IFERROR(E512*INDEX(CONTRATOS!$Z$2:$Z$601,MATCH($A512,CONTRATOS!$A$2:$A$601,0)),""))</f>
        <v/>
      </c>
      <c r="M512" s="13">
        <f>IF(OR($A512="",$E512=""),"",IFERROR(E512*INDEX(CONTRATOS!$AA$2:$AA$601,MATCH($A512,CONTRATOS!$A$2:$A$601,0)),""))</f>
        <v/>
      </c>
      <c r="N512" s="19">
        <f>IF($A512="","",SUMIFS($E$2:$E$601,$A$2:$A$601,$A512))</f>
        <v/>
      </c>
      <c r="O512" s="12">
        <f>IF($A512="","",IFERROR(INDEX(CONTRATOS!$F$2:$F$601,MATCH($A512,CONTRATOS!$A$2:$A$601,0)),""))</f>
        <v/>
      </c>
      <c r="P512" s="12">
        <f>IF($A512="","",IFERROR(INDEX(CONTRATOS!$M$2:$M$601,MATCH($A512,CONTRATOS!$A$2:$A$601,0)),""))</f>
        <v/>
      </c>
      <c r="Q512" s="12">
        <f>IF($A512="","",IF(COUNTIF(CONTRATOS!$A$2:$A$601,$A512)=0,"El contrato no existe en CONTRATOS; ","")&amp;IF($B512="","Falta sujeto; ",IF(COUNTIF(SUJETOS!$A$2:$A$601,$B512)=0,"El sujeto no existe en SUJETOS; ",""))&amp;IF($E512="","Falta porcentaje; ","")&amp;IF(N512&gt;1.0001,"Los porcentajes del contrato suman más de 100 %; ","")&amp;IF(AND($C512="Individual",$E512&lt;&gt;"",$E512&lt;&gt;1),"Individual debe ser 100 %; ","")&amp;IF(AND($C512&lt;&gt;"Individual",$C512&lt;&gt;"",$E512=1),"Consorcio o UT con 100 %: revise; ","")&amp;IF(COUNTIFS($A$2:$A$601,$A512,$B$2:$B$601,$B512)&gt;1,"Participación repetida; ","")&amp;IF(AND(IFERROR(INDEX(SUJETOS!$B$2:$B$601,MATCH($B512,SUJETOS!$A$2:$A$601,0)),"")="Persona natural",$G512=""),"Persona natural sin cargo; ",""))</f>
        <v/>
      </c>
      <c r="R512" s="12">
        <f>IF($A512="","",IFERROR(IF(LEN(INDEX(SUJETOS!$F$2:$F$601,MATCH($B512,SUJETOS!$A$2:$A$601,0)))&gt;0,INDEX(SUJETOS!$F$2:$F$601,MATCH($B512,SUJETOS!$A$2:$A$601,0)),$B512),$B512))</f>
        <v/>
      </c>
    </row>
    <row r="513">
      <c r="E513" s="18" t="n"/>
      <c r="K513" s="13">
        <f>IF(OR($A513="",$E513=""),"",IFERROR(E513*INDEX(CONTRATOS!$P$2:$P$601,MATCH($A513,CONTRATOS!$A$2:$A$601,0)),""))</f>
        <v/>
      </c>
      <c r="L513" s="17">
        <f>IF(OR($A513="",$E513=""),"",IFERROR(E513*INDEX(CONTRATOS!$Z$2:$Z$601,MATCH($A513,CONTRATOS!$A$2:$A$601,0)),""))</f>
        <v/>
      </c>
      <c r="M513" s="13">
        <f>IF(OR($A513="",$E513=""),"",IFERROR(E513*INDEX(CONTRATOS!$AA$2:$AA$601,MATCH($A513,CONTRATOS!$A$2:$A$601,0)),""))</f>
        <v/>
      </c>
      <c r="N513" s="19">
        <f>IF($A513="","",SUMIFS($E$2:$E$601,$A$2:$A$601,$A513))</f>
        <v/>
      </c>
      <c r="O513" s="12">
        <f>IF($A513="","",IFERROR(INDEX(CONTRATOS!$F$2:$F$601,MATCH($A513,CONTRATOS!$A$2:$A$601,0)),""))</f>
        <v/>
      </c>
      <c r="P513" s="12">
        <f>IF($A513="","",IFERROR(INDEX(CONTRATOS!$M$2:$M$601,MATCH($A513,CONTRATOS!$A$2:$A$601,0)),""))</f>
        <v/>
      </c>
      <c r="Q513" s="12">
        <f>IF($A513="","",IF(COUNTIF(CONTRATOS!$A$2:$A$601,$A513)=0,"El contrato no existe en CONTRATOS; ","")&amp;IF($B513="","Falta sujeto; ",IF(COUNTIF(SUJETOS!$A$2:$A$601,$B513)=0,"El sujeto no existe en SUJETOS; ",""))&amp;IF($E513="","Falta porcentaje; ","")&amp;IF(N513&gt;1.0001,"Los porcentajes del contrato suman más de 100 %; ","")&amp;IF(AND($C513="Individual",$E513&lt;&gt;"",$E513&lt;&gt;1),"Individual debe ser 100 %; ","")&amp;IF(AND($C513&lt;&gt;"Individual",$C513&lt;&gt;"",$E513=1),"Consorcio o UT con 100 %: revise; ","")&amp;IF(COUNTIFS($A$2:$A$601,$A513,$B$2:$B$601,$B513)&gt;1,"Participación repetida; ","")&amp;IF(AND(IFERROR(INDEX(SUJETOS!$B$2:$B$601,MATCH($B513,SUJETOS!$A$2:$A$601,0)),"")="Persona natural",$G513=""),"Persona natural sin cargo; ",""))</f>
        <v/>
      </c>
      <c r="R513" s="12">
        <f>IF($A513="","",IFERROR(IF(LEN(INDEX(SUJETOS!$F$2:$F$601,MATCH($B513,SUJETOS!$A$2:$A$601,0)))&gt;0,INDEX(SUJETOS!$F$2:$F$601,MATCH($B513,SUJETOS!$A$2:$A$601,0)),$B513),$B513))</f>
        <v/>
      </c>
    </row>
    <row r="514">
      <c r="E514" s="18" t="n"/>
      <c r="K514" s="13">
        <f>IF(OR($A514="",$E514=""),"",IFERROR(E514*INDEX(CONTRATOS!$P$2:$P$601,MATCH($A514,CONTRATOS!$A$2:$A$601,0)),""))</f>
        <v/>
      </c>
      <c r="L514" s="17">
        <f>IF(OR($A514="",$E514=""),"",IFERROR(E514*INDEX(CONTRATOS!$Z$2:$Z$601,MATCH($A514,CONTRATOS!$A$2:$A$601,0)),""))</f>
        <v/>
      </c>
      <c r="M514" s="13">
        <f>IF(OR($A514="",$E514=""),"",IFERROR(E514*INDEX(CONTRATOS!$AA$2:$AA$601,MATCH($A514,CONTRATOS!$A$2:$A$601,0)),""))</f>
        <v/>
      </c>
      <c r="N514" s="19">
        <f>IF($A514="","",SUMIFS($E$2:$E$601,$A$2:$A$601,$A514))</f>
        <v/>
      </c>
      <c r="O514" s="12">
        <f>IF($A514="","",IFERROR(INDEX(CONTRATOS!$F$2:$F$601,MATCH($A514,CONTRATOS!$A$2:$A$601,0)),""))</f>
        <v/>
      </c>
      <c r="P514" s="12">
        <f>IF($A514="","",IFERROR(INDEX(CONTRATOS!$M$2:$M$601,MATCH($A514,CONTRATOS!$A$2:$A$601,0)),""))</f>
        <v/>
      </c>
      <c r="Q514" s="12">
        <f>IF($A514="","",IF(COUNTIF(CONTRATOS!$A$2:$A$601,$A514)=0,"El contrato no existe en CONTRATOS; ","")&amp;IF($B514="","Falta sujeto; ",IF(COUNTIF(SUJETOS!$A$2:$A$601,$B514)=0,"El sujeto no existe en SUJETOS; ",""))&amp;IF($E514="","Falta porcentaje; ","")&amp;IF(N514&gt;1.0001,"Los porcentajes del contrato suman más de 100 %; ","")&amp;IF(AND($C514="Individual",$E514&lt;&gt;"",$E514&lt;&gt;1),"Individual debe ser 100 %; ","")&amp;IF(AND($C514&lt;&gt;"Individual",$C514&lt;&gt;"",$E514=1),"Consorcio o UT con 100 %: revise; ","")&amp;IF(COUNTIFS($A$2:$A$601,$A514,$B$2:$B$601,$B514)&gt;1,"Participación repetida; ","")&amp;IF(AND(IFERROR(INDEX(SUJETOS!$B$2:$B$601,MATCH($B514,SUJETOS!$A$2:$A$601,0)),"")="Persona natural",$G514=""),"Persona natural sin cargo; ",""))</f>
        <v/>
      </c>
      <c r="R514" s="12">
        <f>IF($A514="","",IFERROR(IF(LEN(INDEX(SUJETOS!$F$2:$F$601,MATCH($B514,SUJETOS!$A$2:$A$601,0)))&gt;0,INDEX(SUJETOS!$F$2:$F$601,MATCH($B514,SUJETOS!$A$2:$A$601,0)),$B514),$B514))</f>
        <v/>
      </c>
    </row>
    <row r="515">
      <c r="E515" s="18" t="n"/>
      <c r="K515" s="13">
        <f>IF(OR($A515="",$E515=""),"",IFERROR(E515*INDEX(CONTRATOS!$P$2:$P$601,MATCH($A515,CONTRATOS!$A$2:$A$601,0)),""))</f>
        <v/>
      </c>
      <c r="L515" s="17">
        <f>IF(OR($A515="",$E515=""),"",IFERROR(E515*INDEX(CONTRATOS!$Z$2:$Z$601,MATCH($A515,CONTRATOS!$A$2:$A$601,0)),""))</f>
        <v/>
      </c>
      <c r="M515" s="13">
        <f>IF(OR($A515="",$E515=""),"",IFERROR(E515*INDEX(CONTRATOS!$AA$2:$AA$601,MATCH($A515,CONTRATOS!$A$2:$A$601,0)),""))</f>
        <v/>
      </c>
      <c r="N515" s="19">
        <f>IF($A515="","",SUMIFS($E$2:$E$601,$A$2:$A$601,$A515))</f>
        <v/>
      </c>
      <c r="O515" s="12">
        <f>IF($A515="","",IFERROR(INDEX(CONTRATOS!$F$2:$F$601,MATCH($A515,CONTRATOS!$A$2:$A$601,0)),""))</f>
        <v/>
      </c>
      <c r="P515" s="12">
        <f>IF($A515="","",IFERROR(INDEX(CONTRATOS!$M$2:$M$601,MATCH($A515,CONTRATOS!$A$2:$A$601,0)),""))</f>
        <v/>
      </c>
      <c r="Q515" s="12">
        <f>IF($A515="","",IF(COUNTIF(CONTRATOS!$A$2:$A$601,$A515)=0,"El contrato no existe en CONTRATOS; ","")&amp;IF($B515="","Falta sujeto; ",IF(COUNTIF(SUJETOS!$A$2:$A$601,$B515)=0,"El sujeto no existe en SUJETOS; ",""))&amp;IF($E515="","Falta porcentaje; ","")&amp;IF(N515&gt;1.0001,"Los porcentajes del contrato suman más de 100 %; ","")&amp;IF(AND($C515="Individual",$E515&lt;&gt;"",$E515&lt;&gt;1),"Individual debe ser 100 %; ","")&amp;IF(AND($C515&lt;&gt;"Individual",$C515&lt;&gt;"",$E515=1),"Consorcio o UT con 100 %: revise; ","")&amp;IF(COUNTIFS($A$2:$A$601,$A515,$B$2:$B$601,$B515)&gt;1,"Participación repetida; ","")&amp;IF(AND(IFERROR(INDEX(SUJETOS!$B$2:$B$601,MATCH($B515,SUJETOS!$A$2:$A$601,0)),"")="Persona natural",$G515=""),"Persona natural sin cargo; ",""))</f>
        <v/>
      </c>
      <c r="R515" s="12">
        <f>IF($A515="","",IFERROR(IF(LEN(INDEX(SUJETOS!$F$2:$F$601,MATCH($B515,SUJETOS!$A$2:$A$601,0)))&gt;0,INDEX(SUJETOS!$F$2:$F$601,MATCH($B515,SUJETOS!$A$2:$A$601,0)),$B515),$B515))</f>
        <v/>
      </c>
    </row>
    <row r="516">
      <c r="E516" s="18" t="n"/>
      <c r="K516" s="13">
        <f>IF(OR($A516="",$E516=""),"",IFERROR(E516*INDEX(CONTRATOS!$P$2:$P$601,MATCH($A516,CONTRATOS!$A$2:$A$601,0)),""))</f>
        <v/>
      </c>
      <c r="L516" s="17">
        <f>IF(OR($A516="",$E516=""),"",IFERROR(E516*INDEX(CONTRATOS!$Z$2:$Z$601,MATCH($A516,CONTRATOS!$A$2:$A$601,0)),""))</f>
        <v/>
      </c>
      <c r="M516" s="13">
        <f>IF(OR($A516="",$E516=""),"",IFERROR(E516*INDEX(CONTRATOS!$AA$2:$AA$601,MATCH($A516,CONTRATOS!$A$2:$A$601,0)),""))</f>
        <v/>
      </c>
      <c r="N516" s="19">
        <f>IF($A516="","",SUMIFS($E$2:$E$601,$A$2:$A$601,$A516))</f>
        <v/>
      </c>
      <c r="O516" s="12">
        <f>IF($A516="","",IFERROR(INDEX(CONTRATOS!$F$2:$F$601,MATCH($A516,CONTRATOS!$A$2:$A$601,0)),""))</f>
        <v/>
      </c>
      <c r="P516" s="12">
        <f>IF($A516="","",IFERROR(INDEX(CONTRATOS!$M$2:$M$601,MATCH($A516,CONTRATOS!$A$2:$A$601,0)),""))</f>
        <v/>
      </c>
      <c r="Q516" s="12">
        <f>IF($A516="","",IF(COUNTIF(CONTRATOS!$A$2:$A$601,$A516)=0,"El contrato no existe en CONTRATOS; ","")&amp;IF($B516="","Falta sujeto; ",IF(COUNTIF(SUJETOS!$A$2:$A$601,$B516)=0,"El sujeto no existe en SUJETOS; ",""))&amp;IF($E516="","Falta porcentaje; ","")&amp;IF(N516&gt;1.0001,"Los porcentajes del contrato suman más de 100 %; ","")&amp;IF(AND($C516="Individual",$E516&lt;&gt;"",$E516&lt;&gt;1),"Individual debe ser 100 %; ","")&amp;IF(AND($C516&lt;&gt;"Individual",$C516&lt;&gt;"",$E516=1),"Consorcio o UT con 100 %: revise; ","")&amp;IF(COUNTIFS($A$2:$A$601,$A516,$B$2:$B$601,$B516)&gt;1,"Participación repetida; ","")&amp;IF(AND(IFERROR(INDEX(SUJETOS!$B$2:$B$601,MATCH($B516,SUJETOS!$A$2:$A$601,0)),"")="Persona natural",$G516=""),"Persona natural sin cargo; ",""))</f>
        <v/>
      </c>
      <c r="R516" s="12">
        <f>IF($A516="","",IFERROR(IF(LEN(INDEX(SUJETOS!$F$2:$F$601,MATCH($B516,SUJETOS!$A$2:$A$601,0)))&gt;0,INDEX(SUJETOS!$F$2:$F$601,MATCH($B516,SUJETOS!$A$2:$A$601,0)),$B516),$B516))</f>
        <v/>
      </c>
    </row>
    <row r="517">
      <c r="E517" s="18" t="n"/>
      <c r="K517" s="13">
        <f>IF(OR($A517="",$E517=""),"",IFERROR(E517*INDEX(CONTRATOS!$P$2:$P$601,MATCH($A517,CONTRATOS!$A$2:$A$601,0)),""))</f>
        <v/>
      </c>
      <c r="L517" s="17">
        <f>IF(OR($A517="",$E517=""),"",IFERROR(E517*INDEX(CONTRATOS!$Z$2:$Z$601,MATCH($A517,CONTRATOS!$A$2:$A$601,0)),""))</f>
        <v/>
      </c>
      <c r="M517" s="13">
        <f>IF(OR($A517="",$E517=""),"",IFERROR(E517*INDEX(CONTRATOS!$AA$2:$AA$601,MATCH($A517,CONTRATOS!$A$2:$A$601,0)),""))</f>
        <v/>
      </c>
      <c r="N517" s="19">
        <f>IF($A517="","",SUMIFS($E$2:$E$601,$A$2:$A$601,$A517))</f>
        <v/>
      </c>
      <c r="O517" s="12">
        <f>IF($A517="","",IFERROR(INDEX(CONTRATOS!$F$2:$F$601,MATCH($A517,CONTRATOS!$A$2:$A$601,0)),""))</f>
        <v/>
      </c>
      <c r="P517" s="12">
        <f>IF($A517="","",IFERROR(INDEX(CONTRATOS!$M$2:$M$601,MATCH($A517,CONTRATOS!$A$2:$A$601,0)),""))</f>
        <v/>
      </c>
      <c r="Q517" s="12">
        <f>IF($A517="","",IF(COUNTIF(CONTRATOS!$A$2:$A$601,$A517)=0,"El contrato no existe en CONTRATOS; ","")&amp;IF($B517="","Falta sujeto; ",IF(COUNTIF(SUJETOS!$A$2:$A$601,$B517)=0,"El sujeto no existe en SUJETOS; ",""))&amp;IF($E517="","Falta porcentaje; ","")&amp;IF(N517&gt;1.0001,"Los porcentajes del contrato suman más de 100 %; ","")&amp;IF(AND($C517="Individual",$E517&lt;&gt;"",$E517&lt;&gt;1),"Individual debe ser 100 %; ","")&amp;IF(AND($C517&lt;&gt;"Individual",$C517&lt;&gt;"",$E517=1),"Consorcio o UT con 100 %: revise; ","")&amp;IF(COUNTIFS($A$2:$A$601,$A517,$B$2:$B$601,$B517)&gt;1,"Participación repetida; ","")&amp;IF(AND(IFERROR(INDEX(SUJETOS!$B$2:$B$601,MATCH($B517,SUJETOS!$A$2:$A$601,0)),"")="Persona natural",$G517=""),"Persona natural sin cargo; ",""))</f>
        <v/>
      </c>
      <c r="R517" s="12">
        <f>IF($A517="","",IFERROR(IF(LEN(INDEX(SUJETOS!$F$2:$F$601,MATCH($B517,SUJETOS!$A$2:$A$601,0)))&gt;0,INDEX(SUJETOS!$F$2:$F$601,MATCH($B517,SUJETOS!$A$2:$A$601,0)),$B517),$B517))</f>
        <v/>
      </c>
    </row>
    <row r="518">
      <c r="E518" s="18" t="n"/>
      <c r="K518" s="13">
        <f>IF(OR($A518="",$E518=""),"",IFERROR(E518*INDEX(CONTRATOS!$P$2:$P$601,MATCH($A518,CONTRATOS!$A$2:$A$601,0)),""))</f>
        <v/>
      </c>
      <c r="L518" s="17">
        <f>IF(OR($A518="",$E518=""),"",IFERROR(E518*INDEX(CONTRATOS!$Z$2:$Z$601,MATCH($A518,CONTRATOS!$A$2:$A$601,0)),""))</f>
        <v/>
      </c>
      <c r="M518" s="13">
        <f>IF(OR($A518="",$E518=""),"",IFERROR(E518*INDEX(CONTRATOS!$AA$2:$AA$601,MATCH($A518,CONTRATOS!$A$2:$A$601,0)),""))</f>
        <v/>
      </c>
      <c r="N518" s="19">
        <f>IF($A518="","",SUMIFS($E$2:$E$601,$A$2:$A$601,$A518))</f>
        <v/>
      </c>
      <c r="O518" s="12">
        <f>IF($A518="","",IFERROR(INDEX(CONTRATOS!$F$2:$F$601,MATCH($A518,CONTRATOS!$A$2:$A$601,0)),""))</f>
        <v/>
      </c>
      <c r="P518" s="12">
        <f>IF($A518="","",IFERROR(INDEX(CONTRATOS!$M$2:$M$601,MATCH($A518,CONTRATOS!$A$2:$A$601,0)),""))</f>
        <v/>
      </c>
      <c r="Q518" s="12">
        <f>IF($A518="","",IF(COUNTIF(CONTRATOS!$A$2:$A$601,$A518)=0,"El contrato no existe en CONTRATOS; ","")&amp;IF($B518="","Falta sujeto; ",IF(COUNTIF(SUJETOS!$A$2:$A$601,$B518)=0,"El sujeto no existe en SUJETOS; ",""))&amp;IF($E518="","Falta porcentaje; ","")&amp;IF(N518&gt;1.0001,"Los porcentajes del contrato suman más de 100 %; ","")&amp;IF(AND($C518="Individual",$E518&lt;&gt;"",$E518&lt;&gt;1),"Individual debe ser 100 %; ","")&amp;IF(AND($C518&lt;&gt;"Individual",$C518&lt;&gt;"",$E518=1),"Consorcio o UT con 100 %: revise; ","")&amp;IF(COUNTIFS($A$2:$A$601,$A518,$B$2:$B$601,$B518)&gt;1,"Participación repetida; ","")&amp;IF(AND(IFERROR(INDEX(SUJETOS!$B$2:$B$601,MATCH($B518,SUJETOS!$A$2:$A$601,0)),"")="Persona natural",$G518=""),"Persona natural sin cargo; ",""))</f>
        <v/>
      </c>
      <c r="R518" s="12">
        <f>IF($A518="","",IFERROR(IF(LEN(INDEX(SUJETOS!$F$2:$F$601,MATCH($B518,SUJETOS!$A$2:$A$601,0)))&gt;0,INDEX(SUJETOS!$F$2:$F$601,MATCH($B518,SUJETOS!$A$2:$A$601,0)),$B518),$B518))</f>
        <v/>
      </c>
    </row>
    <row r="519">
      <c r="E519" s="18" t="n"/>
      <c r="K519" s="13">
        <f>IF(OR($A519="",$E519=""),"",IFERROR(E519*INDEX(CONTRATOS!$P$2:$P$601,MATCH($A519,CONTRATOS!$A$2:$A$601,0)),""))</f>
        <v/>
      </c>
      <c r="L519" s="17">
        <f>IF(OR($A519="",$E519=""),"",IFERROR(E519*INDEX(CONTRATOS!$Z$2:$Z$601,MATCH($A519,CONTRATOS!$A$2:$A$601,0)),""))</f>
        <v/>
      </c>
      <c r="M519" s="13">
        <f>IF(OR($A519="",$E519=""),"",IFERROR(E519*INDEX(CONTRATOS!$AA$2:$AA$601,MATCH($A519,CONTRATOS!$A$2:$A$601,0)),""))</f>
        <v/>
      </c>
      <c r="N519" s="19">
        <f>IF($A519="","",SUMIFS($E$2:$E$601,$A$2:$A$601,$A519))</f>
        <v/>
      </c>
      <c r="O519" s="12">
        <f>IF($A519="","",IFERROR(INDEX(CONTRATOS!$F$2:$F$601,MATCH($A519,CONTRATOS!$A$2:$A$601,0)),""))</f>
        <v/>
      </c>
      <c r="P519" s="12">
        <f>IF($A519="","",IFERROR(INDEX(CONTRATOS!$M$2:$M$601,MATCH($A519,CONTRATOS!$A$2:$A$601,0)),""))</f>
        <v/>
      </c>
      <c r="Q519" s="12">
        <f>IF($A519="","",IF(COUNTIF(CONTRATOS!$A$2:$A$601,$A519)=0,"El contrato no existe en CONTRATOS; ","")&amp;IF($B519="","Falta sujeto; ",IF(COUNTIF(SUJETOS!$A$2:$A$601,$B519)=0,"El sujeto no existe en SUJETOS; ",""))&amp;IF($E519="","Falta porcentaje; ","")&amp;IF(N519&gt;1.0001,"Los porcentajes del contrato suman más de 100 %; ","")&amp;IF(AND($C519="Individual",$E519&lt;&gt;"",$E519&lt;&gt;1),"Individual debe ser 100 %; ","")&amp;IF(AND($C519&lt;&gt;"Individual",$C519&lt;&gt;"",$E519=1),"Consorcio o UT con 100 %: revise; ","")&amp;IF(COUNTIFS($A$2:$A$601,$A519,$B$2:$B$601,$B519)&gt;1,"Participación repetida; ","")&amp;IF(AND(IFERROR(INDEX(SUJETOS!$B$2:$B$601,MATCH($B519,SUJETOS!$A$2:$A$601,0)),"")="Persona natural",$G519=""),"Persona natural sin cargo; ",""))</f>
        <v/>
      </c>
      <c r="R519" s="12">
        <f>IF($A519="","",IFERROR(IF(LEN(INDEX(SUJETOS!$F$2:$F$601,MATCH($B519,SUJETOS!$A$2:$A$601,0)))&gt;0,INDEX(SUJETOS!$F$2:$F$601,MATCH($B519,SUJETOS!$A$2:$A$601,0)),$B519),$B519))</f>
        <v/>
      </c>
    </row>
    <row r="520">
      <c r="E520" s="18" t="n"/>
      <c r="K520" s="13">
        <f>IF(OR($A520="",$E520=""),"",IFERROR(E520*INDEX(CONTRATOS!$P$2:$P$601,MATCH($A520,CONTRATOS!$A$2:$A$601,0)),""))</f>
        <v/>
      </c>
      <c r="L520" s="17">
        <f>IF(OR($A520="",$E520=""),"",IFERROR(E520*INDEX(CONTRATOS!$Z$2:$Z$601,MATCH($A520,CONTRATOS!$A$2:$A$601,0)),""))</f>
        <v/>
      </c>
      <c r="M520" s="13">
        <f>IF(OR($A520="",$E520=""),"",IFERROR(E520*INDEX(CONTRATOS!$AA$2:$AA$601,MATCH($A520,CONTRATOS!$A$2:$A$601,0)),""))</f>
        <v/>
      </c>
      <c r="N520" s="19">
        <f>IF($A520="","",SUMIFS($E$2:$E$601,$A$2:$A$601,$A520))</f>
        <v/>
      </c>
      <c r="O520" s="12">
        <f>IF($A520="","",IFERROR(INDEX(CONTRATOS!$F$2:$F$601,MATCH($A520,CONTRATOS!$A$2:$A$601,0)),""))</f>
        <v/>
      </c>
      <c r="P520" s="12">
        <f>IF($A520="","",IFERROR(INDEX(CONTRATOS!$M$2:$M$601,MATCH($A520,CONTRATOS!$A$2:$A$601,0)),""))</f>
        <v/>
      </c>
      <c r="Q520" s="12">
        <f>IF($A520="","",IF(COUNTIF(CONTRATOS!$A$2:$A$601,$A520)=0,"El contrato no existe en CONTRATOS; ","")&amp;IF($B520="","Falta sujeto; ",IF(COUNTIF(SUJETOS!$A$2:$A$601,$B520)=0,"El sujeto no existe en SUJETOS; ",""))&amp;IF($E520="","Falta porcentaje; ","")&amp;IF(N520&gt;1.0001,"Los porcentajes del contrato suman más de 100 %; ","")&amp;IF(AND($C520="Individual",$E520&lt;&gt;"",$E520&lt;&gt;1),"Individual debe ser 100 %; ","")&amp;IF(AND($C520&lt;&gt;"Individual",$C520&lt;&gt;"",$E520=1),"Consorcio o UT con 100 %: revise; ","")&amp;IF(COUNTIFS($A$2:$A$601,$A520,$B$2:$B$601,$B520)&gt;1,"Participación repetida; ","")&amp;IF(AND(IFERROR(INDEX(SUJETOS!$B$2:$B$601,MATCH($B520,SUJETOS!$A$2:$A$601,0)),"")="Persona natural",$G520=""),"Persona natural sin cargo; ",""))</f>
        <v/>
      </c>
      <c r="R520" s="12">
        <f>IF($A520="","",IFERROR(IF(LEN(INDEX(SUJETOS!$F$2:$F$601,MATCH($B520,SUJETOS!$A$2:$A$601,0)))&gt;0,INDEX(SUJETOS!$F$2:$F$601,MATCH($B520,SUJETOS!$A$2:$A$601,0)),$B520),$B520))</f>
        <v/>
      </c>
    </row>
    <row r="521">
      <c r="E521" s="18" t="n"/>
      <c r="K521" s="13">
        <f>IF(OR($A521="",$E521=""),"",IFERROR(E521*INDEX(CONTRATOS!$P$2:$P$601,MATCH($A521,CONTRATOS!$A$2:$A$601,0)),""))</f>
        <v/>
      </c>
      <c r="L521" s="17">
        <f>IF(OR($A521="",$E521=""),"",IFERROR(E521*INDEX(CONTRATOS!$Z$2:$Z$601,MATCH($A521,CONTRATOS!$A$2:$A$601,0)),""))</f>
        <v/>
      </c>
      <c r="M521" s="13">
        <f>IF(OR($A521="",$E521=""),"",IFERROR(E521*INDEX(CONTRATOS!$AA$2:$AA$601,MATCH($A521,CONTRATOS!$A$2:$A$601,0)),""))</f>
        <v/>
      </c>
      <c r="N521" s="19">
        <f>IF($A521="","",SUMIFS($E$2:$E$601,$A$2:$A$601,$A521))</f>
        <v/>
      </c>
      <c r="O521" s="12">
        <f>IF($A521="","",IFERROR(INDEX(CONTRATOS!$F$2:$F$601,MATCH($A521,CONTRATOS!$A$2:$A$601,0)),""))</f>
        <v/>
      </c>
      <c r="P521" s="12">
        <f>IF($A521="","",IFERROR(INDEX(CONTRATOS!$M$2:$M$601,MATCH($A521,CONTRATOS!$A$2:$A$601,0)),""))</f>
        <v/>
      </c>
      <c r="Q521" s="12">
        <f>IF($A521="","",IF(COUNTIF(CONTRATOS!$A$2:$A$601,$A521)=0,"El contrato no existe en CONTRATOS; ","")&amp;IF($B521="","Falta sujeto; ",IF(COUNTIF(SUJETOS!$A$2:$A$601,$B521)=0,"El sujeto no existe en SUJETOS; ",""))&amp;IF($E521="","Falta porcentaje; ","")&amp;IF(N521&gt;1.0001,"Los porcentajes del contrato suman más de 100 %; ","")&amp;IF(AND($C521="Individual",$E521&lt;&gt;"",$E521&lt;&gt;1),"Individual debe ser 100 %; ","")&amp;IF(AND($C521&lt;&gt;"Individual",$C521&lt;&gt;"",$E521=1),"Consorcio o UT con 100 %: revise; ","")&amp;IF(COUNTIFS($A$2:$A$601,$A521,$B$2:$B$601,$B521)&gt;1,"Participación repetida; ","")&amp;IF(AND(IFERROR(INDEX(SUJETOS!$B$2:$B$601,MATCH($B521,SUJETOS!$A$2:$A$601,0)),"")="Persona natural",$G521=""),"Persona natural sin cargo; ",""))</f>
        <v/>
      </c>
      <c r="R521" s="12">
        <f>IF($A521="","",IFERROR(IF(LEN(INDEX(SUJETOS!$F$2:$F$601,MATCH($B521,SUJETOS!$A$2:$A$601,0)))&gt;0,INDEX(SUJETOS!$F$2:$F$601,MATCH($B521,SUJETOS!$A$2:$A$601,0)),$B521),$B521))</f>
        <v/>
      </c>
    </row>
    <row r="522">
      <c r="E522" s="18" t="n"/>
      <c r="K522" s="13">
        <f>IF(OR($A522="",$E522=""),"",IFERROR(E522*INDEX(CONTRATOS!$P$2:$P$601,MATCH($A522,CONTRATOS!$A$2:$A$601,0)),""))</f>
        <v/>
      </c>
      <c r="L522" s="17">
        <f>IF(OR($A522="",$E522=""),"",IFERROR(E522*INDEX(CONTRATOS!$Z$2:$Z$601,MATCH($A522,CONTRATOS!$A$2:$A$601,0)),""))</f>
        <v/>
      </c>
      <c r="M522" s="13">
        <f>IF(OR($A522="",$E522=""),"",IFERROR(E522*INDEX(CONTRATOS!$AA$2:$AA$601,MATCH($A522,CONTRATOS!$A$2:$A$601,0)),""))</f>
        <v/>
      </c>
      <c r="N522" s="19">
        <f>IF($A522="","",SUMIFS($E$2:$E$601,$A$2:$A$601,$A522))</f>
        <v/>
      </c>
      <c r="O522" s="12">
        <f>IF($A522="","",IFERROR(INDEX(CONTRATOS!$F$2:$F$601,MATCH($A522,CONTRATOS!$A$2:$A$601,0)),""))</f>
        <v/>
      </c>
      <c r="P522" s="12">
        <f>IF($A522="","",IFERROR(INDEX(CONTRATOS!$M$2:$M$601,MATCH($A522,CONTRATOS!$A$2:$A$601,0)),""))</f>
        <v/>
      </c>
      <c r="Q522" s="12">
        <f>IF($A522="","",IF(COUNTIF(CONTRATOS!$A$2:$A$601,$A522)=0,"El contrato no existe en CONTRATOS; ","")&amp;IF($B522="","Falta sujeto; ",IF(COUNTIF(SUJETOS!$A$2:$A$601,$B522)=0,"El sujeto no existe en SUJETOS; ",""))&amp;IF($E522="","Falta porcentaje; ","")&amp;IF(N522&gt;1.0001,"Los porcentajes del contrato suman más de 100 %; ","")&amp;IF(AND($C522="Individual",$E522&lt;&gt;"",$E522&lt;&gt;1),"Individual debe ser 100 %; ","")&amp;IF(AND($C522&lt;&gt;"Individual",$C522&lt;&gt;"",$E522=1),"Consorcio o UT con 100 %: revise; ","")&amp;IF(COUNTIFS($A$2:$A$601,$A522,$B$2:$B$601,$B522)&gt;1,"Participación repetida; ","")&amp;IF(AND(IFERROR(INDEX(SUJETOS!$B$2:$B$601,MATCH($B522,SUJETOS!$A$2:$A$601,0)),"")="Persona natural",$G522=""),"Persona natural sin cargo; ",""))</f>
        <v/>
      </c>
      <c r="R522" s="12">
        <f>IF($A522="","",IFERROR(IF(LEN(INDEX(SUJETOS!$F$2:$F$601,MATCH($B522,SUJETOS!$A$2:$A$601,0)))&gt;0,INDEX(SUJETOS!$F$2:$F$601,MATCH($B522,SUJETOS!$A$2:$A$601,0)),$B522),$B522))</f>
        <v/>
      </c>
    </row>
    <row r="523">
      <c r="E523" s="18" t="n"/>
      <c r="K523" s="13">
        <f>IF(OR($A523="",$E523=""),"",IFERROR(E523*INDEX(CONTRATOS!$P$2:$P$601,MATCH($A523,CONTRATOS!$A$2:$A$601,0)),""))</f>
        <v/>
      </c>
      <c r="L523" s="17">
        <f>IF(OR($A523="",$E523=""),"",IFERROR(E523*INDEX(CONTRATOS!$Z$2:$Z$601,MATCH($A523,CONTRATOS!$A$2:$A$601,0)),""))</f>
        <v/>
      </c>
      <c r="M523" s="13">
        <f>IF(OR($A523="",$E523=""),"",IFERROR(E523*INDEX(CONTRATOS!$AA$2:$AA$601,MATCH($A523,CONTRATOS!$A$2:$A$601,0)),""))</f>
        <v/>
      </c>
      <c r="N523" s="19">
        <f>IF($A523="","",SUMIFS($E$2:$E$601,$A$2:$A$601,$A523))</f>
        <v/>
      </c>
      <c r="O523" s="12">
        <f>IF($A523="","",IFERROR(INDEX(CONTRATOS!$F$2:$F$601,MATCH($A523,CONTRATOS!$A$2:$A$601,0)),""))</f>
        <v/>
      </c>
      <c r="P523" s="12">
        <f>IF($A523="","",IFERROR(INDEX(CONTRATOS!$M$2:$M$601,MATCH($A523,CONTRATOS!$A$2:$A$601,0)),""))</f>
        <v/>
      </c>
      <c r="Q523" s="12">
        <f>IF($A523="","",IF(COUNTIF(CONTRATOS!$A$2:$A$601,$A523)=0,"El contrato no existe en CONTRATOS; ","")&amp;IF($B523="","Falta sujeto; ",IF(COUNTIF(SUJETOS!$A$2:$A$601,$B523)=0,"El sujeto no existe en SUJETOS; ",""))&amp;IF($E523="","Falta porcentaje; ","")&amp;IF(N523&gt;1.0001,"Los porcentajes del contrato suman más de 100 %; ","")&amp;IF(AND($C523="Individual",$E523&lt;&gt;"",$E523&lt;&gt;1),"Individual debe ser 100 %; ","")&amp;IF(AND($C523&lt;&gt;"Individual",$C523&lt;&gt;"",$E523=1),"Consorcio o UT con 100 %: revise; ","")&amp;IF(COUNTIFS($A$2:$A$601,$A523,$B$2:$B$601,$B523)&gt;1,"Participación repetida; ","")&amp;IF(AND(IFERROR(INDEX(SUJETOS!$B$2:$B$601,MATCH($B523,SUJETOS!$A$2:$A$601,0)),"")="Persona natural",$G523=""),"Persona natural sin cargo; ",""))</f>
        <v/>
      </c>
      <c r="R523" s="12">
        <f>IF($A523="","",IFERROR(IF(LEN(INDEX(SUJETOS!$F$2:$F$601,MATCH($B523,SUJETOS!$A$2:$A$601,0)))&gt;0,INDEX(SUJETOS!$F$2:$F$601,MATCH($B523,SUJETOS!$A$2:$A$601,0)),$B523),$B523))</f>
        <v/>
      </c>
    </row>
    <row r="524">
      <c r="E524" s="18" t="n"/>
      <c r="K524" s="13">
        <f>IF(OR($A524="",$E524=""),"",IFERROR(E524*INDEX(CONTRATOS!$P$2:$P$601,MATCH($A524,CONTRATOS!$A$2:$A$601,0)),""))</f>
        <v/>
      </c>
      <c r="L524" s="17">
        <f>IF(OR($A524="",$E524=""),"",IFERROR(E524*INDEX(CONTRATOS!$Z$2:$Z$601,MATCH($A524,CONTRATOS!$A$2:$A$601,0)),""))</f>
        <v/>
      </c>
      <c r="M524" s="13">
        <f>IF(OR($A524="",$E524=""),"",IFERROR(E524*INDEX(CONTRATOS!$AA$2:$AA$601,MATCH($A524,CONTRATOS!$A$2:$A$601,0)),""))</f>
        <v/>
      </c>
      <c r="N524" s="19">
        <f>IF($A524="","",SUMIFS($E$2:$E$601,$A$2:$A$601,$A524))</f>
        <v/>
      </c>
      <c r="O524" s="12">
        <f>IF($A524="","",IFERROR(INDEX(CONTRATOS!$F$2:$F$601,MATCH($A524,CONTRATOS!$A$2:$A$601,0)),""))</f>
        <v/>
      </c>
      <c r="P524" s="12">
        <f>IF($A524="","",IFERROR(INDEX(CONTRATOS!$M$2:$M$601,MATCH($A524,CONTRATOS!$A$2:$A$601,0)),""))</f>
        <v/>
      </c>
      <c r="Q524" s="12">
        <f>IF($A524="","",IF(COUNTIF(CONTRATOS!$A$2:$A$601,$A524)=0,"El contrato no existe en CONTRATOS; ","")&amp;IF($B524="","Falta sujeto; ",IF(COUNTIF(SUJETOS!$A$2:$A$601,$B524)=0,"El sujeto no existe en SUJETOS; ",""))&amp;IF($E524="","Falta porcentaje; ","")&amp;IF(N524&gt;1.0001,"Los porcentajes del contrato suman más de 100 %; ","")&amp;IF(AND($C524="Individual",$E524&lt;&gt;"",$E524&lt;&gt;1),"Individual debe ser 100 %; ","")&amp;IF(AND($C524&lt;&gt;"Individual",$C524&lt;&gt;"",$E524=1),"Consorcio o UT con 100 %: revise; ","")&amp;IF(COUNTIFS($A$2:$A$601,$A524,$B$2:$B$601,$B524)&gt;1,"Participación repetida; ","")&amp;IF(AND(IFERROR(INDEX(SUJETOS!$B$2:$B$601,MATCH($B524,SUJETOS!$A$2:$A$601,0)),"")="Persona natural",$G524=""),"Persona natural sin cargo; ",""))</f>
        <v/>
      </c>
      <c r="R524" s="12">
        <f>IF($A524="","",IFERROR(IF(LEN(INDEX(SUJETOS!$F$2:$F$601,MATCH($B524,SUJETOS!$A$2:$A$601,0)))&gt;0,INDEX(SUJETOS!$F$2:$F$601,MATCH($B524,SUJETOS!$A$2:$A$601,0)),$B524),$B524))</f>
        <v/>
      </c>
    </row>
    <row r="525">
      <c r="E525" s="18" t="n"/>
      <c r="K525" s="13">
        <f>IF(OR($A525="",$E525=""),"",IFERROR(E525*INDEX(CONTRATOS!$P$2:$P$601,MATCH($A525,CONTRATOS!$A$2:$A$601,0)),""))</f>
        <v/>
      </c>
      <c r="L525" s="17">
        <f>IF(OR($A525="",$E525=""),"",IFERROR(E525*INDEX(CONTRATOS!$Z$2:$Z$601,MATCH($A525,CONTRATOS!$A$2:$A$601,0)),""))</f>
        <v/>
      </c>
      <c r="M525" s="13">
        <f>IF(OR($A525="",$E525=""),"",IFERROR(E525*INDEX(CONTRATOS!$AA$2:$AA$601,MATCH($A525,CONTRATOS!$A$2:$A$601,0)),""))</f>
        <v/>
      </c>
      <c r="N525" s="19">
        <f>IF($A525="","",SUMIFS($E$2:$E$601,$A$2:$A$601,$A525))</f>
        <v/>
      </c>
      <c r="O525" s="12">
        <f>IF($A525="","",IFERROR(INDEX(CONTRATOS!$F$2:$F$601,MATCH($A525,CONTRATOS!$A$2:$A$601,0)),""))</f>
        <v/>
      </c>
      <c r="P525" s="12">
        <f>IF($A525="","",IFERROR(INDEX(CONTRATOS!$M$2:$M$601,MATCH($A525,CONTRATOS!$A$2:$A$601,0)),""))</f>
        <v/>
      </c>
      <c r="Q525" s="12">
        <f>IF($A525="","",IF(COUNTIF(CONTRATOS!$A$2:$A$601,$A525)=0,"El contrato no existe en CONTRATOS; ","")&amp;IF($B525="","Falta sujeto; ",IF(COUNTIF(SUJETOS!$A$2:$A$601,$B525)=0,"El sujeto no existe en SUJETOS; ",""))&amp;IF($E525="","Falta porcentaje; ","")&amp;IF(N525&gt;1.0001,"Los porcentajes del contrato suman más de 100 %; ","")&amp;IF(AND($C525="Individual",$E525&lt;&gt;"",$E525&lt;&gt;1),"Individual debe ser 100 %; ","")&amp;IF(AND($C525&lt;&gt;"Individual",$C525&lt;&gt;"",$E525=1),"Consorcio o UT con 100 %: revise; ","")&amp;IF(COUNTIFS($A$2:$A$601,$A525,$B$2:$B$601,$B525)&gt;1,"Participación repetida; ","")&amp;IF(AND(IFERROR(INDEX(SUJETOS!$B$2:$B$601,MATCH($B525,SUJETOS!$A$2:$A$601,0)),"")="Persona natural",$G525=""),"Persona natural sin cargo; ",""))</f>
        <v/>
      </c>
      <c r="R525" s="12">
        <f>IF($A525="","",IFERROR(IF(LEN(INDEX(SUJETOS!$F$2:$F$601,MATCH($B525,SUJETOS!$A$2:$A$601,0)))&gt;0,INDEX(SUJETOS!$F$2:$F$601,MATCH($B525,SUJETOS!$A$2:$A$601,0)),$B525),$B525))</f>
        <v/>
      </c>
    </row>
    <row r="526">
      <c r="E526" s="18" t="n"/>
      <c r="K526" s="13">
        <f>IF(OR($A526="",$E526=""),"",IFERROR(E526*INDEX(CONTRATOS!$P$2:$P$601,MATCH($A526,CONTRATOS!$A$2:$A$601,0)),""))</f>
        <v/>
      </c>
      <c r="L526" s="17">
        <f>IF(OR($A526="",$E526=""),"",IFERROR(E526*INDEX(CONTRATOS!$Z$2:$Z$601,MATCH($A526,CONTRATOS!$A$2:$A$601,0)),""))</f>
        <v/>
      </c>
      <c r="M526" s="13">
        <f>IF(OR($A526="",$E526=""),"",IFERROR(E526*INDEX(CONTRATOS!$AA$2:$AA$601,MATCH($A526,CONTRATOS!$A$2:$A$601,0)),""))</f>
        <v/>
      </c>
      <c r="N526" s="19">
        <f>IF($A526="","",SUMIFS($E$2:$E$601,$A$2:$A$601,$A526))</f>
        <v/>
      </c>
      <c r="O526" s="12">
        <f>IF($A526="","",IFERROR(INDEX(CONTRATOS!$F$2:$F$601,MATCH($A526,CONTRATOS!$A$2:$A$601,0)),""))</f>
        <v/>
      </c>
      <c r="P526" s="12">
        <f>IF($A526="","",IFERROR(INDEX(CONTRATOS!$M$2:$M$601,MATCH($A526,CONTRATOS!$A$2:$A$601,0)),""))</f>
        <v/>
      </c>
      <c r="Q526" s="12">
        <f>IF($A526="","",IF(COUNTIF(CONTRATOS!$A$2:$A$601,$A526)=0,"El contrato no existe en CONTRATOS; ","")&amp;IF($B526="","Falta sujeto; ",IF(COUNTIF(SUJETOS!$A$2:$A$601,$B526)=0,"El sujeto no existe en SUJETOS; ",""))&amp;IF($E526="","Falta porcentaje; ","")&amp;IF(N526&gt;1.0001,"Los porcentajes del contrato suman más de 100 %; ","")&amp;IF(AND($C526="Individual",$E526&lt;&gt;"",$E526&lt;&gt;1),"Individual debe ser 100 %; ","")&amp;IF(AND($C526&lt;&gt;"Individual",$C526&lt;&gt;"",$E526=1),"Consorcio o UT con 100 %: revise; ","")&amp;IF(COUNTIFS($A$2:$A$601,$A526,$B$2:$B$601,$B526)&gt;1,"Participación repetida; ","")&amp;IF(AND(IFERROR(INDEX(SUJETOS!$B$2:$B$601,MATCH($B526,SUJETOS!$A$2:$A$601,0)),"")="Persona natural",$G526=""),"Persona natural sin cargo; ",""))</f>
        <v/>
      </c>
      <c r="R526" s="12">
        <f>IF($A526="","",IFERROR(IF(LEN(INDEX(SUJETOS!$F$2:$F$601,MATCH($B526,SUJETOS!$A$2:$A$601,0)))&gt;0,INDEX(SUJETOS!$F$2:$F$601,MATCH($B526,SUJETOS!$A$2:$A$601,0)),$B526),$B526))</f>
        <v/>
      </c>
    </row>
    <row r="527">
      <c r="E527" s="18" t="n"/>
      <c r="K527" s="13">
        <f>IF(OR($A527="",$E527=""),"",IFERROR(E527*INDEX(CONTRATOS!$P$2:$P$601,MATCH($A527,CONTRATOS!$A$2:$A$601,0)),""))</f>
        <v/>
      </c>
      <c r="L527" s="17">
        <f>IF(OR($A527="",$E527=""),"",IFERROR(E527*INDEX(CONTRATOS!$Z$2:$Z$601,MATCH($A527,CONTRATOS!$A$2:$A$601,0)),""))</f>
        <v/>
      </c>
      <c r="M527" s="13">
        <f>IF(OR($A527="",$E527=""),"",IFERROR(E527*INDEX(CONTRATOS!$AA$2:$AA$601,MATCH($A527,CONTRATOS!$A$2:$A$601,0)),""))</f>
        <v/>
      </c>
      <c r="N527" s="19">
        <f>IF($A527="","",SUMIFS($E$2:$E$601,$A$2:$A$601,$A527))</f>
        <v/>
      </c>
      <c r="O527" s="12">
        <f>IF($A527="","",IFERROR(INDEX(CONTRATOS!$F$2:$F$601,MATCH($A527,CONTRATOS!$A$2:$A$601,0)),""))</f>
        <v/>
      </c>
      <c r="P527" s="12">
        <f>IF($A527="","",IFERROR(INDEX(CONTRATOS!$M$2:$M$601,MATCH($A527,CONTRATOS!$A$2:$A$601,0)),""))</f>
        <v/>
      </c>
      <c r="Q527" s="12">
        <f>IF($A527="","",IF(COUNTIF(CONTRATOS!$A$2:$A$601,$A527)=0,"El contrato no existe en CONTRATOS; ","")&amp;IF($B527="","Falta sujeto; ",IF(COUNTIF(SUJETOS!$A$2:$A$601,$B527)=0,"El sujeto no existe en SUJETOS; ",""))&amp;IF($E527="","Falta porcentaje; ","")&amp;IF(N527&gt;1.0001,"Los porcentajes del contrato suman más de 100 %; ","")&amp;IF(AND($C527="Individual",$E527&lt;&gt;"",$E527&lt;&gt;1),"Individual debe ser 100 %; ","")&amp;IF(AND($C527&lt;&gt;"Individual",$C527&lt;&gt;"",$E527=1),"Consorcio o UT con 100 %: revise; ","")&amp;IF(COUNTIFS($A$2:$A$601,$A527,$B$2:$B$601,$B527)&gt;1,"Participación repetida; ","")&amp;IF(AND(IFERROR(INDEX(SUJETOS!$B$2:$B$601,MATCH($B527,SUJETOS!$A$2:$A$601,0)),"")="Persona natural",$G527=""),"Persona natural sin cargo; ",""))</f>
        <v/>
      </c>
      <c r="R527" s="12">
        <f>IF($A527="","",IFERROR(IF(LEN(INDEX(SUJETOS!$F$2:$F$601,MATCH($B527,SUJETOS!$A$2:$A$601,0)))&gt;0,INDEX(SUJETOS!$F$2:$F$601,MATCH($B527,SUJETOS!$A$2:$A$601,0)),$B527),$B527))</f>
        <v/>
      </c>
    </row>
    <row r="528">
      <c r="E528" s="18" t="n"/>
      <c r="K528" s="13">
        <f>IF(OR($A528="",$E528=""),"",IFERROR(E528*INDEX(CONTRATOS!$P$2:$P$601,MATCH($A528,CONTRATOS!$A$2:$A$601,0)),""))</f>
        <v/>
      </c>
      <c r="L528" s="17">
        <f>IF(OR($A528="",$E528=""),"",IFERROR(E528*INDEX(CONTRATOS!$Z$2:$Z$601,MATCH($A528,CONTRATOS!$A$2:$A$601,0)),""))</f>
        <v/>
      </c>
      <c r="M528" s="13">
        <f>IF(OR($A528="",$E528=""),"",IFERROR(E528*INDEX(CONTRATOS!$AA$2:$AA$601,MATCH($A528,CONTRATOS!$A$2:$A$601,0)),""))</f>
        <v/>
      </c>
      <c r="N528" s="19">
        <f>IF($A528="","",SUMIFS($E$2:$E$601,$A$2:$A$601,$A528))</f>
        <v/>
      </c>
      <c r="O528" s="12">
        <f>IF($A528="","",IFERROR(INDEX(CONTRATOS!$F$2:$F$601,MATCH($A528,CONTRATOS!$A$2:$A$601,0)),""))</f>
        <v/>
      </c>
      <c r="P528" s="12">
        <f>IF($A528="","",IFERROR(INDEX(CONTRATOS!$M$2:$M$601,MATCH($A528,CONTRATOS!$A$2:$A$601,0)),""))</f>
        <v/>
      </c>
      <c r="Q528" s="12">
        <f>IF($A528="","",IF(COUNTIF(CONTRATOS!$A$2:$A$601,$A528)=0,"El contrato no existe en CONTRATOS; ","")&amp;IF($B528="","Falta sujeto; ",IF(COUNTIF(SUJETOS!$A$2:$A$601,$B528)=0,"El sujeto no existe en SUJETOS; ",""))&amp;IF($E528="","Falta porcentaje; ","")&amp;IF(N528&gt;1.0001,"Los porcentajes del contrato suman más de 100 %; ","")&amp;IF(AND($C528="Individual",$E528&lt;&gt;"",$E528&lt;&gt;1),"Individual debe ser 100 %; ","")&amp;IF(AND($C528&lt;&gt;"Individual",$C528&lt;&gt;"",$E528=1),"Consorcio o UT con 100 %: revise; ","")&amp;IF(COUNTIFS($A$2:$A$601,$A528,$B$2:$B$601,$B528)&gt;1,"Participación repetida; ","")&amp;IF(AND(IFERROR(INDEX(SUJETOS!$B$2:$B$601,MATCH($B528,SUJETOS!$A$2:$A$601,0)),"")="Persona natural",$G528=""),"Persona natural sin cargo; ",""))</f>
        <v/>
      </c>
      <c r="R528" s="12">
        <f>IF($A528="","",IFERROR(IF(LEN(INDEX(SUJETOS!$F$2:$F$601,MATCH($B528,SUJETOS!$A$2:$A$601,0)))&gt;0,INDEX(SUJETOS!$F$2:$F$601,MATCH($B528,SUJETOS!$A$2:$A$601,0)),$B528),$B528))</f>
        <v/>
      </c>
    </row>
    <row r="529">
      <c r="E529" s="18" t="n"/>
      <c r="K529" s="13">
        <f>IF(OR($A529="",$E529=""),"",IFERROR(E529*INDEX(CONTRATOS!$P$2:$P$601,MATCH($A529,CONTRATOS!$A$2:$A$601,0)),""))</f>
        <v/>
      </c>
      <c r="L529" s="17">
        <f>IF(OR($A529="",$E529=""),"",IFERROR(E529*INDEX(CONTRATOS!$Z$2:$Z$601,MATCH($A529,CONTRATOS!$A$2:$A$601,0)),""))</f>
        <v/>
      </c>
      <c r="M529" s="13">
        <f>IF(OR($A529="",$E529=""),"",IFERROR(E529*INDEX(CONTRATOS!$AA$2:$AA$601,MATCH($A529,CONTRATOS!$A$2:$A$601,0)),""))</f>
        <v/>
      </c>
      <c r="N529" s="19">
        <f>IF($A529="","",SUMIFS($E$2:$E$601,$A$2:$A$601,$A529))</f>
        <v/>
      </c>
      <c r="O529" s="12">
        <f>IF($A529="","",IFERROR(INDEX(CONTRATOS!$F$2:$F$601,MATCH($A529,CONTRATOS!$A$2:$A$601,0)),""))</f>
        <v/>
      </c>
      <c r="P529" s="12">
        <f>IF($A529="","",IFERROR(INDEX(CONTRATOS!$M$2:$M$601,MATCH($A529,CONTRATOS!$A$2:$A$601,0)),""))</f>
        <v/>
      </c>
      <c r="Q529" s="12">
        <f>IF($A529="","",IF(COUNTIF(CONTRATOS!$A$2:$A$601,$A529)=0,"El contrato no existe en CONTRATOS; ","")&amp;IF($B529="","Falta sujeto; ",IF(COUNTIF(SUJETOS!$A$2:$A$601,$B529)=0,"El sujeto no existe en SUJETOS; ",""))&amp;IF($E529="","Falta porcentaje; ","")&amp;IF(N529&gt;1.0001,"Los porcentajes del contrato suman más de 100 %; ","")&amp;IF(AND($C529="Individual",$E529&lt;&gt;"",$E529&lt;&gt;1),"Individual debe ser 100 %; ","")&amp;IF(AND($C529&lt;&gt;"Individual",$C529&lt;&gt;"",$E529=1),"Consorcio o UT con 100 %: revise; ","")&amp;IF(COUNTIFS($A$2:$A$601,$A529,$B$2:$B$601,$B529)&gt;1,"Participación repetida; ","")&amp;IF(AND(IFERROR(INDEX(SUJETOS!$B$2:$B$601,MATCH($B529,SUJETOS!$A$2:$A$601,0)),"")="Persona natural",$G529=""),"Persona natural sin cargo; ",""))</f>
        <v/>
      </c>
      <c r="R529" s="12">
        <f>IF($A529="","",IFERROR(IF(LEN(INDEX(SUJETOS!$F$2:$F$601,MATCH($B529,SUJETOS!$A$2:$A$601,0)))&gt;0,INDEX(SUJETOS!$F$2:$F$601,MATCH($B529,SUJETOS!$A$2:$A$601,0)),$B529),$B529))</f>
        <v/>
      </c>
    </row>
    <row r="530">
      <c r="E530" s="18" t="n"/>
      <c r="K530" s="13">
        <f>IF(OR($A530="",$E530=""),"",IFERROR(E530*INDEX(CONTRATOS!$P$2:$P$601,MATCH($A530,CONTRATOS!$A$2:$A$601,0)),""))</f>
        <v/>
      </c>
      <c r="L530" s="17">
        <f>IF(OR($A530="",$E530=""),"",IFERROR(E530*INDEX(CONTRATOS!$Z$2:$Z$601,MATCH($A530,CONTRATOS!$A$2:$A$601,0)),""))</f>
        <v/>
      </c>
      <c r="M530" s="13">
        <f>IF(OR($A530="",$E530=""),"",IFERROR(E530*INDEX(CONTRATOS!$AA$2:$AA$601,MATCH($A530,CONTRATOS!$A$2:$A$601,0)),""))</f>
        <v/>
      </c>
      <c r="N530" s="19">
        <f>IF($A530="","",SUMIFS($E$2:$E$601,$A$2:$A$601,$A530))</f>
        <v/>
      </c>
      <c r="O530" s="12">
        <f>IF($A530="","",IFERROR(INDEX(CONTRATOS!$F$2:$F$601,MATCH($A530,CONTRATOS!$A$2:$A$601,0)),""))</f>
        <v/>
      </c>
      <c r="P530" s="12">
        <f>IF($A530="","",IFERROR(INDEX(CONTRATOS!$M$2:$M$601,MATCH($A530,CONTRATOS!$A$2:$A$601,0)),""))</f>
        <v/>
      </c>
      <c r="Q530" s="12">
        <f>IF($A530="","",IF(COUNTIF(CONTRATOS!$A$2:$A$601,$A530)=0,"El contrato no existe en CONTRATOS; ","")&amp;IF($B530="","Falta sujeto; ",IF(COUNTIF(SUJETOS!$A$2:$A$601,$B530)=0,"El sujeto no existe en SUJETOS; ",""))&amp;IF($E530="","Falta porcentaje; ","")&amp;IF(N530&gt;1.0001,"Los porcentajes del contrato suman más de 100 %; ","")&amp;IF(AND($C530="Individual",$E530&lt;&gt;"",$E530&lt;&gt;1),"Individual debe ser 100 %; ","")&amp;IF(AND($C530&lt;&gt;"Individual",$C530&lt;&gt;"",$E530=1),"Consorcio o UT con 100 %: revise; ","")&amp;IF(COUNTIFS($A$2:$A$601,$A530,$B$2:$B$601,$B530)&gt;1,"Participación repetida; ","")&amp;IF(AND(IFERROR(INDEX(SUJETOS!$B$2:$B$601,MATCH($B530,SUJETOS!$A$2:$A$601,0)),"")="Persona natural",$G530=""),"Persona natural sin cargo; ",""))</f>
        <v/>
      </c>
      <c r="R530" s="12">
        <f>IF($A530="","",IFERROR(IF(LEN(INDEX(SUJETOS!$F$2:$F$601,MATCH($B530,SUJETOS!$A$2:$A$601,0)))&gt;0,INDEX(SUJETOS!$F$2:$F$601,MATCH($B530,SUJETOS!$A$2:$A$601,0)),$B530),$B530))</f>
        <v/>
      </c>
    </row>
    <row r="531">
      <c r="E531" s="18" t="n"/>
      <c r="K531" s="13">
        <f>IF(OR($A531="",$E531=""),"",IFERROR(E531*INDEX(CONTRATOS!$P$2:$P$601,MATCH($A531,CONTRATOS!$A$2:$A$601,0)),""))</f>
        <v/>
      </c>
      <c r="L531" s="17">
        <f>IF(OR($A531="",$E531=""),"",IFERROR(E531*INDEX(CONTRATOS!$Z$2:$Z$601,MATCH($A531,CONTRATOS!$A$2:$A$601,0)),""))</f>
        <v/>
      </c>
      <c r="M531" s="13">
        <f>IF(OR($A531="",$E531=""),"",IFERROR(E531*INDEX(CONTRATOS!$AA$2:$AA$601,MATCH($A531,CONTRATOS!$A$2:$A$601,0)),""))</f>
        <v/>
      </c>
      <c r="N531" s="19">
        <f>IF($A531="","",SUMIFS($E$2:$E$601,$A$2:$A$601,$A531))</f>
        <v/>
      </c>
      <c r="O531" s="12">
        <f>IF($A531="","",IFERROR(INDEX(CONTRATOS!$F$2:$F$601,MATCH($A531,CONTRATOS!$A$2:$A$601,0)),""))</f>
        <v/>
      </c>
      <c r="P531" s="12">
        <f>IF($A531="","",IFERROR(INDEX(CONTRATOS!$M$2:$M$601,MATCH($A531,CONTRATOS!$A$2:$A$601,0)),""))</f>
        <v/>
      </c>
      <c r="Q531" s="12">
        <f>IF($A531="","",IF(COUNTIF(CONTRATOS!$A$2:$A$601,$A531)=0,"El contrato no existe en CONTRATOS; ","")&amp;IF($B531="","Falta sujeto; ",IF(COUNTIF(SUJETOS!$A$2:$A$601,$B531)=0,"El sujeto no existe en SUJETOS; ",""))&amp;IF($E531="","Falta porcentaje; ","")&amp;IF(N531&gt;1.0001,"Los porcentajes del contrato suman más de 100 %; ","")&amp;IF(AND($C531="Individual",$E531&lt;&gt;"",$E531&lt;&gt;1),"Individual debe ser 100 %; ","")&amp;IF(AND($C531&lt;&gt;"Individual",$C531&lt;&gt;"",$E531=1),"Consorcio o UT con 100 %: revise; ","")&amp;IF(COUNTIFS($A$2:$A$601,$A531,$B$2:$B$601,$B531)&gt;1,"Participación repetida; ","")&amp;IF(AND(IFERROR(INDEX(SUJETOS!$B$2:$B$601,MATCH($B531,SUJETOS!$A$2:$A$601,0)),"")="Persona natural",$G531=""),"Persona natural sin cargo; ",""))</f>
        <v/>
      </c>
      <c r="R531" s="12">
        <f>IF($A531="","",IFERROR(IF(LEN(INDEX(SUJETOS!$F$2:$F$601,MATCH($B531,SUJETOS!$A$2:$A$601,0)))&gt;0,INDEX(SUJETOS!$F$2:$F$601,MATCH($B531,SUJETOS!$A$2:$A$601,0)),$B531),$B531))</f>
        <v/>
      </c>
    </row>
    <row r="532">
      <c r="E532" s="18" t="n"/>
      <c r="K532" s="13">
        <f>IF(OR($A532="",$E532=""),"",IFERROR(E532*INDEX(CONTRATOS!$P$2:$P$601,MATCH($A532,CONTRATOS!$A$2:$A$601,0)),""))</f>
        <v/>
      </c>
      <c r="L532" s="17">
        <f>IF(OR($A532="",$E532=""),"",IFERROR(E532*INDEX(CONTRATOS!$Z$2:$Z$601,MATCH($A532,CONTRATOS!$A$2:$A$601,0)),""))</f>
        <v/>
      </c>
      <c r="M532" s="13">
        <f>IF(OR($A532="",$E532=""),"",IFERROR(E532*INDEX(CONTRATOS!$AA$2:$AA$601,MATCH($A532,CONTRATOS!$A$2:$A$601,0)),""))</f>
        <v/>
      </c>
      <c r="N532" s="19">
        <f>IF($A532="","",SUMIFS($E$2:$E$601,$A$2:$A$601,$A532))</f>
        <v/>
      </c>
      <c r="O532" s="12">
        <f>IF($A532="","",IFERROR(INDEX(CONTRATOS!$F$2:$F$601,MATCH($A532,CONTRATOS!$A$2:$A$601,0)),""))</f>
        <v/>
      </c>
      <c r="P532" s="12">
        <f>IF($A532="","",IFERROR(INDEX(CONTRATOS!$M$2:$M$601,MATCH($A532,CONTRATOS!$A$2:$A$601,0)),""))</f>
        <v/>
      </c>
      <c r="Q532" s="12">
        <f>IF($A532="","",IF(COUNTIF(CONTRATOS!$A$2:$A$601,$A532)=0,"El contrato no existe en CONTRATOS; ","")&amp;IF($B532="","Falta sujeto; ",IF(COUNTIF(SUJETOS!$A$2:$A$601,$B532)=0,"El sujeto no existe en SUJETOS; ",""))&amp;IF($E532="","Falta porcentaje; ","")&amp;IF(N532&gt;1.0001,"Los porcentajes del contrato suman más de 100 %; ","")&amp;IF(AND($C532="Individual",$E532&lt;&gt;"",$E532&lt;&gt;1),"Individual debe ser 100 %; ","")&amp;IF(AND($C532&lt;&gt;"Individual",$C532&lt;&gt;"",$E532=1),"Consorcio o UT con 100 %: revise; ","")&amp;IF(COUNTIFS($A$2:$A$601,$A532,$B$2:$B$601,$B532)&gt;1,"Participación repetida; ","")&amp;IF(AND(IFERROR(INDEX(SUJETOS!$B$2:$B$601,MATCH($B532,SUJETOS!$A$2:$A$601,0)),"")="Persona natural",$G532=""),"Persona natural sin cargo; ",""))</f>
        <v/>
      </c>
      <c r="R532" s="12">
        <f>IF($A532="","",IFERROR(IF(LEN(INDEX(SUJETOS!$F$2:$F$601,MATCH($B532,SUJETOS!$A$2:$A$601,0)))&gt;0,INDEX(SUJETOS!$F$2:$F$601,MATCH($B532,SUJETOS!$A$2:$A$601,0)),$B532),$B532))</f>
        <v/>
      </c>
    </row>
    <row r="533">
      <c r="E533" s="18" t="n"/>
      <c r="K533" s="13">
        <f>IF(OR($A533="",$E533=""),"",IFERROR(E533*INDEX(CONTRATOS!$P$2:$P$601,MATCH($A533,CONTRATOS!$A$2:$A$601,0)),""))</f>
        <v/>
      </c>
      <c r="L533" s="17">
        <f>IF(OR($A533="",$E533=""),"",IFERROR(E533*INDEX(CONTRATOS!$Z$2:$Z$601,MATCH($A533,CONTRATOS!$A$2:$A$601,0)),""))</f>
        <v/>
      </c>
      <c r="M533" s="13">
        <f>IF(OR($A533="",$E533=""),"",IFERROR(E533*INDEX(CONTRATOS!$AA$2:$AA$601,MATCH($A533,CONTRATOS!$A$2:$A$601,0)),""))</f>
        <v/>
      </c>
      <c r="N533" s="19">
        <f>IF($A533="","",SUMIFS($E$2:$E$601,$A$2:$A$601,$A533))</f>
        <v/>
      </c>
      <c r="O533" s="12">
        <f>IF($A533="","",IFERROR(INDEX(CONTRATOS!$F$2:$F$601,MATCH($A533,CONTRATOS!$A$2:$A$601,0)),""))</f>
        <v/>
      </c>
      <c r="P533" s="12">
        <f>IF($A533="","",IFERROR(INDEX(CONTRATOS!$M$2:$M$601,MATCH($A533,CONTRATOS!$A$2:$A$601,0)),""))</f>
        <v/>
      </c>
      <c r="Q533" s="12">
        <f>IF($A533="","",IF(COUNTIF(CONTRATOS!$A$2:$A$601,$A533)=0,"El contrato no existe en CONTRATOS; ","")&amp;IF($B533="","Falta sujeto; ",IF(COUNTIF(SUJETOS!$A$2:$A$601,$B533)=0,"El sujeto no existe en SUJETOS; ",""))&amp;IF($E533="","Falta porcentaje; ","")&amp;IF(N533&gt;1.0001,"Los porcentajes del contrato suman más de 100 %; ","")&amp;IF(AND($C533="Individual",$E533&lt;&gt;"",$E533&lt;&gt;1),"Individual debe ser 100 %; ","")&amp;IF(AND($C533&lt;&gt;"Individual",$C533&lt;&gt;"",$E533=1),"Consorcio o UT con 100 %: revise; ","")&amp;IF(COUNTIFS($A$2:$A$601,$A533,$B$2:$B$601,$B533)&gt;1,"Participación repetida; ","")&amp;IF(AND(IFERROR(INDEX(SUJETOS!$B$2:$B$601,MATCH($B533,SUJETOS!$A$2:$A$601,0)),"")="Persona natural",$G533=""),"Persona natural sin cargo; ",""))</f>
        <v/>
      </c>
      <c r="R533" s="12">
        <f>IF($A533="","",IFERROR(IF(LEN(INDEX(SUJETOS!$F$2:$F$601,MATCH($B533,SUJETOS!$A$2:$A$601,0)))&gt;0,INDEX(SUJETOS!$F$2:$F$601,MATCH($B533,SUJETOS!$A$2:$A$601,0)),$B533),$B533))</f>
        <v/>
      </c>
    </row>
    <row r="534">
      <c r="E534" s="18" t="n"/>
      <c r="K534" s="13">
        <f>IF(OR($A534="",$E534=""),"",IFERROR(E534*INDEX(CONTRATOS!$P$2:$P$601,MATCH($A534,CONTRATOS!$A$2:$A$601,0)),""))</f>
        <v/>
      </c>
      <c r="L534" s="17">
        <f>IF(OR($A534="",$E534=""),"",IFERROR(E534*INDEX(CONTRATOS!$Z$2:$Z$601,MATCH($A534,CONTRATOS!$A$2:$A$601,0)),""))</f>
        <v/>
      </c>
      <c r="M534" s="13">
        <f>IF(OR($A534="",$E534=""),"",IFERROR(E534*INDEX(CONTRATOS!$AA$2:$AA$601,MATCH($A534,CONTRATOS!$A$2:$A$601,0)),""))</f>
        <v/>
      </c>
      <c r="N534" s="19">
        <f>IF($A534="","",SUMIFS($E$2:$E$601,$A$2:$A$601,$A534))</f>
        <v/>
      </c>
      <c r="O534" s="12">
        <f>IF($A534="","",IFERROR(INDEX(CONTRATOS!$F$2:$F$601,MATCH($A534,CONTRATOS!$A$2:$A$601,0)),""))</f>
        <v/>
      </c>
      <c r="P534" s="12">
        <f>IF($A534="","",IFERROR(INDEX(CONTRATOS!$M$2:$M$601,MATCH($A534,CONTRATOS!$A$2:$A$601,0)),""))</f>
        <v/>
      </c>
      <c r="Q534" s="12">
        <f>IF($A534="","",IF(COUNTIF(CONTRATOS!$A$2:$A$601,$A534)=0,"El contrato no existe en CONTRATOS; ","")&amp;IF($B534="","Falta sujeto; ",IF(COUNTIF(SUJETOS!$A$2:$A$601,$B534)=0,"El sujeto no existe en SUJETOS; ",""))&amp;IF($E534="","Falta porcentaje; ","")&amp;IF(N534&gt;1.0001,"Los porcentajes del contrato suman más de 100 %; ","")&amp;IF(AND($C534="Individual",$E534&lt;&gt;"",$E534&lt;&gt;1),"Individual debe ser 100 %; ","")&amp;IF(AND($C534&lt;&gt;"Individual",$C534&lt;&gt;"",$E534=1),"Consorcio o UT con 100 %: revise; ","")&amp;IF(COUNTIFS($A$2:$A$601,$A534,$B$2:$B$601,$B534)&gt;1,"Participación repetida; ","")&amp;IF(AND(IFERROR(INDEX(SUJETOS!$B$2:$B$601,MATCH($B534,SUJETOS!$A$2:$A$601,0)),"")="Persona natural",$G534=""),"Persona natural sin cargo; ",""))</f>
        <v/>
      </c>
      <c r="R534" s="12">
        <f>IF($A534="","",IFERROR(IF(LEN(INDEX(SUJETOS!$F$2:$F$601,MATCH($B534,SUJETOS!$A$2:$A$601,0)))&gt;0,INDEX(SUJETOS!$F$2:$F$601,MATCH($B534,SUJETOS!$A$2:$A$601,0)),$B534),$B534))</f>
        <v/>
      </c>
    </row>
    <row r="535">
      <c r="E535" s="18" t="n"/>
      <c r="K535" s="13">
        <f>IF(OR($A535="",$E535=""),"",IFERROR(E535*INDEX(CONTRATOS!$P$2:$P$601,MATCH($A535,CONTRATOS!$A$2:$A$601,0)),""))</f>
        <v/>
      </c>
      <c r="L535" s="17">
        <f>IF(OR($A535="",$E535=""),"",IFERROR(E535*INDEX(CONTRATOS!$Z$2:$Z$601,MATCH($A535,CONTRATOS!$A$2:$A$601,0)),""))</f>
        <v/>
      </c>
      <c r="M535" s="13">
        <f>IF(OR($A535="",$E535=""),"",IFERROR(E535*INDEX(CONTRATOS!$AA$2:$AA$601,MATCH($A535,CONTRATOS!$A$2:$A$601,0)),""))</f>
        <v/>
      </c>
      <c r="N535" s="19">
        <f>IF($A535="","",SUMIFS($E$2:$E$601,$A$2:$A$601,$A535))</f>
        <v/>
      </c>
      <c r="O535" s="12">
        <f>IF($A535="","",IFERROR(INDEX(CONTRATOS!$F$2:$F$601,MATCH($A535,CONTRATOS!$A$2:$A$601,0)),""))</f>
        <v/>
      </c>
      <c r="P535" s="12">
        <f>IF($A535="","",IFERROR(INDEX(CONTRATOS!$M$2:$M$601,MATCH($A535,CONTRATOS!$A$2:$A$601,0)),""))</f>
        <v/>
      </c>
      <c r="Q535" s="12">
        <f>IF($A535="","",IF(COUNTIF(CONTRATOS!$A$2:$A$601,$A535)=0,"El contrato no existe en CONTRATOS; ","")&amp;IF($B535="","Falta sujeto; ",IF(COUNTIF(SUJETOS!$A$2:$A$601,$B535)=0,"El sujeto no existe en SUJETOS; ",""))&amp;IF($E535="","Falta porcentaje; ","")&amp;IF(N535&gt;1.0001,"Los porcentajes del contrato suman más de 100 %; ","")&amp;IF(AND($C535="Individual",$E535&lt;&gt;"",$E535&lt;&gt;1),"Individual debe ser 100 %; ","")&amp;IF(AND($C535&lt;&gt;"Individual",$C535&lt;&gt;"",$E535=1),"Consorcio o UT con 100 %: revise; ","")&amp;IF(COUNTIFS($A$2:$A$601,$A535,$B$2:$B$601,$B535)&gt;1,"Participación repetida; ","")&amp;IF(AND(IFERROR(INDEX(SUJETOS!$B$2:$B$601,MATCH($B535,SUJETOS!$A$2:$A$601,0)),"")="Persona natural",$G535=""),"Persona natural sin cargo; ",""))</f>
        <v/>
      </c>
      <c r="R535" s="12">
        <f>IF($A535="","",IFERROR(IF(LEN(INDEX(SUJETOS!$F$2:$F$601,MATCH($B535,SUJETOS!$A$2:$A$601,0)))&gt;0,INDEX(SUJETOS!$F$2:$F$601,MATCH($B535,SUJETOS!$A$2:$A$601,0)),$B535),$B535))</f>
        <v/>
      </c>
    </row>
    <row r="536">
      <c r="E536" s="18" t="n"/>
      <c r="K536" s="13">
        <f>IF(OR($A536="",$E536=""),"",IFERROR(E536*INDEX(CONTRATOS!$P$2:$P$601,MATCH($A536,CONTRATOS!$A$2:$A$601,0)),""))</f>
        <v/>
      </c>
      <c r="L536" s="17">
        <f>IF(OR($A536="",$E536=""),"",IFERROR(E536*INDEX(CONTRATOS!$Z$2:$Z$601,MATCH($A536,CONTRATOS!$A$2:$A$601,0)),""))</f>
        <v/>
      </c>
      <c r="M536" s="13">
        <f>IF(OR($A536="",$E536=""),"",IFERROR(E536*INDEX(CONTRATOS!$AA$2:$AA$601,MATCH($A536,CONTRATOS!$A$2:$A$601,0)),""))</f>
        <v/>
      </c>
      <c r="N536" s="19">
        <f>IF($A536="","",SUMIFS($E$2:$E$601,$A$2:$A$601,$A536))</f>
        <v/>
      </c>
      <c r="O536" s="12">
        <f>IF($A536="","",IFERROR(INDEX(CONTRATOS!$F$2:$F$601,MATCH($A536,CONTRATOS!$A$2:$A$601,0)),""))</f>
        <v/>
      </c>
      <c r="P536" s="12">
        <f>IF($A536="","",IFERROR(INDEX(CONTRATOS!$M$2:$M$601,MATCH($A536,CONTRATOS!$A$2:$A$601,0)),""))</f>
        <v/>
      </c>
      <c r="Q536" s="12">
        <f>IF($A536="","",IF(COUNTIF(CONTRATOS!$A$2:$A$601,$A536)=0,"El contrato no existe en CONTRATOS; ","")&amp;IF($B536="","Falta sujeto; ",IF(COUNTIF(SUJETOS!$A$2:$A$601,$B536)=0,"El sujeto no existe en SUJETOS; ",""))&amp;IF($E536="","Falta porcentaje; ","")&amp;IF(N536&gt;1.0001,"Los porcentajes del contrato suman más de 100 %; ","")&amp;IF(AND($C536="Individual",$E536&lt;&gt;"",$E536&lt;&gt;1),"Individual debe ser 100 %; ","")&amp;IF(AND($C536&lt;&gt;"Individual",$C536&lt;&gt;"",$E536=1),"Consorcio o UT con 100 %: revise; ","")&amp;IF(COUNTIFS($A$2:$A$601,$A536,$B$2:$B$601,$B536)&gt;1,"Participación repetida; ","")&amp;IF(AND(IFERROR(INDEX(SUJETOS!$B$2:$B$601,MATCH($B536,SUJETOS!$A$2:$A$601,0)),"")="Persona natural",$G536=""),"Persona natural sin cargo; ",""))</f>
        <v/>
      </c>
      <c r="R536" s="12">
        <f>IF($A536="","",IFERROR(IF(LEN(INDEX(SUJETOS!$F$2:$F$601,MATCH($B536,SUJETOS!$A$2:$A$601,0)))&gt;0,INDEX(SUJETOS!$F$2:$F$601,MATCH($B536,SUJETOS!$A$2:$A$601,0)),$B536),$B536))</f>
        <v/>
      </c>
    </row>
    <row r="537">
      <c r="E537" s="18" t="n"/>
      <c r="K537" s="13">
        <f>IF(OR($A537="",$E537=""),"",IFERROR(E537*INDEX(CONTRATOS!$P$2:$P$601,MATCH($A537,CONTRATOS!$A$2:$A$601,0)),""))</f>
        <v/>
      </c>
      <c r="L537" s="17">
        <f>IF(OR($A537="",$E537=""),"",IFERROR(E537*INDEX(CONTRATOS!$Z$2:$Z$601,MATCH($A537,CONTRATOS!$A$2:$A$601,0)),""))</f>
        <v/>
      </c>
      <c r="M537" s="13">
        <f>IF(OR($A537="",$E537=""),"",IFERROR(E537*INDEX(CONTRATOS!$AA$2:$AA$601,MATCH($A537,CONTRATOS!$A$2:$A$601,0)),""))</f>
        <v/>
      </c>
      <c r="N537" s="19">
        <f>IF($A537="","",SUMIFS($E$2:$E$601,$A$2:$A$601,$A537))</f>
        <v/>
      </c>
      <c r="O537" s="12">
        <f>IF($A537="","",IFERROR(INDEX(CONTRATOS!$F$2:$F$601,MATCH($A537,CONTRATOS!$A$2:$A$601,0)),""))</f>
        <v/>
      </c>
      <c r="P537" s="12">
        <f>IF($A537="","",IFERROR(INDEX(CONTRATOS!$M$2:$M$601,MATCH($A537,CONTRATOS!$A$2:$A$601,0)),""))</f>
        <v/>
      </c>
      <c r="Q537" s="12">
        <f>IF($A537="","",IF(COUNTIF(CONTRATOS!$A$2:$A$601,$A537)=0,"El contrato no existe en CONTRATOS; ","")&amp;IF($B537="","Falta sujeto; ",IF(COUNTIF(SUJETOS!$A$2:$A$601,$B537)=0,"El sujeto no existe en SUJETOS; ",""))&amp;IF($E537="","Falta porcentaje; ","")&amp;IF(N537&gt;1.0001,"Los porcentajes del contrato suman más de 100 %; ","")&amp;IF(AND($C537="Individual",$E537&lt;&gt;"",$E537&lt;&gt;1),"Individual debe ser 100 %; ","")&amp;IF(AND($C537&lt;&gt;"Individual",$C537&lt;&gt;"",$E537=1),"Consorcio o UT con 100 %: revise; ","")&amp;IF(COUNTIFS($A$2:$A$601,$A537,$B$2:$B$601,$B537)&gt;1,"Participación repetida; ","")&amp;IF(AND(IFERROR(INDEX(SUJETOS!$B$2:$B$601,MATCH($B537,SUJETOS!$A$2:$A$601,0)),"")="Persona natural",$G537=""),"Persona natural sin cargo; ",""))</f>
        <v/>
      </c>
      <c r="R537" s="12">
        <f>IF($A537="","",IFERROR(IF(LEN(INDEX(SUJETOS!$F$2:$F$601,MATCH($B537,SUJETOS!$A$2:$A$601,0)))&gt;0,INDEX(SUJETOS!$F$2:$F$601,MATCH($B537,SUJETOS!$A$2:$A$601,0)),$B537),$B537))</f>
        <v/>
      </c>
    </row>
    <row r="538">
      <c r="E538" s="18" t="n"/>
      <c r="K538" s="13">
        <f>IF(OR($A538="",$E538=""),"",IFERROR(E538*INDEX(CONTRATOS!$P$2:$P$601,MATCH($A538,CONTRATOS!$A$2:$A$601,0)),""))</f>
        <v/>
      </c>
      <c r="L538" s="17">
        <f>IF(OR($A538="",$E538=""),"",IFERROR(E538*INDEX(CONTRATOS!$Z$2:$Z$601,MATCH($A538,CONTRATOS!$A$2:$A$601,0)),""))</f>
        <v/>
      </c>
      <c r="M538" s="13">
        <f>IF(OR($A538="",$E538=""),"",IFERROR(E538*INDEX(CONTRATOS!$AA$2:$AA$601,MATCH($A538,CONTRATOS!$A$2:$A$601,0)),""))</f>
        <v/>
      </c>
      <c r="N538" s="19">
        <f>IF($A538="","",SUMIFS($E$2:$E$601,$A$2:$A$601,$A538))</f>
        <v/>
      </c>
      <c r="O538" s="12">
        <f>IF($A538="","",IFERROR(INDEX(CONTRATOS!$F$2:$F$601,MATCH($A538,CONTRATOS!$A$2:$A$601,0)),""))</f>
        <v/>
      </c>
      <c r="P538" s="12">
        <f>IF($A538="","",IFERROR(INDEX(CONTRATOS!$M$2:$M$601,MATCH($A538,CONTRATOS!$A$2:$A$601,0)),""))</f>
        <v/>
      </c>
      <c r="Q538" s="12">
        <f>IF($A538="","",IF(COUNTIF(CONTRATOS!$A$2:$A$601,$A538)=0,"El contrato no existe en CONTRATOS; ","")&amp;IF($B538="","Falta sujeto; ",IF(COUNTIF(SUJETOS!$A$2:$A$601,$B538)=0,"El sujeto no existe en SUJETOS; ",""))&amp;IF($E538="","Falta porcentaje; ","")&amp;IF(N538&gt;1.0001,"Los porcentajes del contrato suman más de 100 %; ","")&amp;IF(AND($C538="Individual",$E538&lt;&gt;"",$E538&lt;&gt;1),"Individual debe ser 100 %; ","")&amp;IF(AND($C538&lt;&gt;"Individual",$C538&lt;&gt;"",$E538=1),"Consorcio o UT con 100 %: revise; ","")&amp;IF(COUNTIFS($A$2:$A$601,$A538,$B$2:$B$601,$B538)&gt;1,"Participación repetida; ","")&amp;IF(AND(IFERROR(INDEX(SUJETOS!$B$2:$B$601,MATCH($B538,SUJETOS!$A$2:$A$601,0)),"")="Persona natural",$G538=""),"Persona natural sin cargo; ",""))</f>
        <v/>
      </c>
      <c r="R538" s="12">
        <f>IF($A538="","",IFERROR(IF(LEN(INDEX(SUJETOS!$F$2:$F$601,MATCH($B538,SUJETOS!$A$2:$A$601,0)))&gt;0,INDEX(SUJETOS!$F$2:$F$601,MATCH($B538,SUJETOS!$A$2:$A$601,0)),$B538),$B538))</f>
        <v/>
      </c>
    </row>
    <row r="539">
      <c r="E539" s="18" t="n"/>
      <c r="K539" s="13">
        <f>IF(OR($A539="",$E539=""),"",IFERROR(E539*INDEX(CONTRATOS!$P$2:$P$601,MATCH($A539,CONTRATOS!$A$2:$A$601,0)),""))</f>
        <v/>
      </c>
      <c r="L539" s="17">
        <f>IF(OR($A539="",$E539=""),"",IFERROR(E539*INDEX(CONTRATOS!$Z$2:$Z$601,MATCH($A539,CONTRATOS!$A$2:$A$601,0)),""))</f>
        <v/>
      </c>
      <c r="M539" s="13">
        <f>IF(OR($A539="",$E539=""),"",IFERROR(E539*INDEX(CONTRATOS!$AA$2:$AA$601,MATCH($A539,CONTRATOS!$A$2:$A$601,0)),""))</f>
        <v/>
      </c>
      <c r="N539" s="19">
        <f>IF($A539="","",SUMIFS($E$2:$E$601,$A$2:$A$601,$A539))</f>
        <v/>
      </c>
      <c r="O539" s="12">
        <f>IF($A539="","",IFERROR(INDEX(CONTRATOS!$F$2:$F$601,MATCH($A539,CONTRATOS!$A$2:$A$601,0)),""))</f>
        <v/>
      </c>
      <c r="P539" s="12">
        <f>IF($A539="","",IFERROR(INDEX(CONTRATOS!$M$2:$M$601,MATCH($A539,CONTRATOS!$A$2:$A$601,0)),""))</f>
        <v/>
      </c>
      <c r="Q539" s="12">
        <f>IF($A539="","",IF(COUNTIF(CONTRATOS!$A$2:$A$601,$A539)=0,"El contrato no existe en CONTRATOS; ","")&amp;IF($B539="","Falta sujeto; ",IF(COUNTIF(SUJETOS!$A$2:$A$601,$B539)=0,"El sujeto no existe en SUJETOS; ",""))&amp;IF($E539="","Falta porcentaje; ","")&amp;IF(N539&gt;1.0001,"Los porcentajes del contrato suman más de 100 %; ","")&amp;IF(AND($C539="Individual",$E539&lt;&gt;"",$E539&lt;&gt;1),"Individual debe ser 100 %; ","")&amp;IF(AND($C539&lt;&gt;"Individual",$C539&lt;&gt;"",$E539=1),"Consorcio o UT con 100 %: revise; ","")&amp;IF(COUNTIFS($A$2:$A$601,$A539,$B$2:$B$601,$B539)&gt;1,"Participación repetida; ","")&amp;IF(AND(IFERROR(INDEX(SUJETOS!$B$2:$B$601,MATCH($B539,SUJETOS!$A$2:$A$601,0)),"")="Persona natural",$G539=""),"Persona natural sin cargo; ",""))</f>
        <v/>
      </c>
      <c r="R539" s="12">
        <f>IF($A539="","",IFERROR(IF(LEN(INDEX(SUJETOS!$F$2:$F$601,MATCH($B539,SUJETOS!$A$2:$A$601,0)))&gt;0,INDEX(SUJETOS!$F$2:$F$601,MATCH($B539,SUJETOS!$A$2:$A$601,0)),$B539),$B539))</f>
        <v/>
      </c>
    </row>
    <row r="540">
      <c r="E540" s="18" t="n"/>
      <c r="K540" s="13">
        <f>IF(OR($A540="",$E540=""),"",IFERROR(E540*INDEX(CONTRATOS!$P$2:$P$601,MATCH($A540,CONTRATOS!$A$2:$A$601,0)),""))</f>
        <v/>
      </c>
      <c r="L540" s="17">
        <f>IF(OR($A540="",$E540=""),"",IFERROR(E540*INDEX(CONTRATOS!$Z$2:$Z$601,MATCH($A540,CONTRATOS!$A$2:$A$601,0)),""))</f>
        <v/>
      </c>
      <c r="M540" s="13">
        <f>IF(OR($A540="",$E540=""),"",IFERROR(E540*INDEX(CONTRATOS!$AA$2:$AA$601,MATCH($A540,CONTRATOS!$A$2:$A$601,0)),""))</f>
        <v/>
      </c>
      <c r="N540" s="19">
        <f>IF($A540="","",SUMIFS($E$2:$E$601,$A$2:$A$601,$A540))</f>
        <v/>
      </c>
      <c r="O540" s="12">
        <f>IF($A540="","",IFERROR(INDEX(CONTRATOS!$F$2:$F$601,MATCH($A540,CONTRATOS!$A$2:$A$601,0)),""))</f>
        <v/>
      </c>
      <c r="P540" s="12">
        <f>IF($A540="","",IFERROR(INDEX(CONTRATOS!$M$2:$M$601,MATCH($A540,CONTRATOS!$A$2:$A$601,0)),""))</f>
        <v/>
      </c>
      <c r="Q540" s="12">
        <f>IF($A540="","",IF(COUNTIF(CONTRATOS!$A$2:$A$601,$A540)=0,"El contrato no existe en CONTRATOS; ","")&amp;IF($B540="","Falta sujeto; ",IF(COUNTIF(SUJETOS!$A$2:$A$601,$B540)=0,"El sujeto no existe en SUJETOS; ",""))&amp;IF($E540="","Falta porcentaje; ","")&amp;IF(N540&gt;1.0001,"Los porcentajes del contrato suman más de 100 %; ","")&amp;IF(AND($C540="Individual",$E540&lt;&gt;"",$E540&lt;&gt;1),"Individual debe ser 100 %; ","")&amp;IF(AND($C540&lt;&gt;"Individual",$C540&lt;&gt;"",$E540=1),"Consorcio o UT con 100 %: revise; ","")&amp;IF(COUNTIFS($A$2:$A$601,$A540,$B$2:$B$601,$B540)&gt;1,"Participación repetida; ","")&amp;IF(AND(IFERROR(INDEX(SUJETOS!$B$2:$B$601,MATCH($B540,SUJETOS!$A$2:$A$601,0)),"")="Persona natural",$G540=""),"Persona natural sin cargo; ",""))</f>
        <v/>
      </c>
      <c r="R540" s="12">
        <f>IF($A540="","",IFERROR(IF(LEN(INDEX(SUJETOS!$F$2:$F$601,MATCH($B540,SUJETOS!$A$2:$A$601,0)))&gt;0,INDEX(SUJETOS!$F$2:$F$601,MATCH($B540,SUJETOS!$A$2:$A$601,0)),$B540),$B540))</f>
        <v/>
      </c>
    </row>
    <row r="541">
      <c r="E541" s="18" t="n"/>
      <c r="K541" s="13">
        <f>IF(OR($A541="",$E541=""),"",IFERROR(E541*INDEX(CONTRATOS!$P$2:$P$601,MATCH($A541,CONTRATOS!$A$2:$A$601,0)),""))</f>
        <v/>
      </c>
      <c r="L541" s="17">
        <f>IF(OR($A541="",$E541=""),"",IFERROR(E541*INDEX(CONTRATOS!$Z$2:$Z$601,MATCH($A541,CONTRATOS!$A$2:$A$601,0)),""))</f>
        <v/>
      </c>
      <c r="M541" s="13">
        <f>IF(OR($A541="",$E541=""),"",IFERROR(E541*INDEX(CONTRATOS!$AA$2:$AA$601,MATCH($A541,CONTRATOS!$A$2:$A$601,0)),""))</f>
        <v/>
      </c>
      <c r="N541" s="19">
        <f>IF($A541="","",SUMIFS($E$2:$E$601,$A$2:$A$601,$A541))</f>
        <v/>
      </c>
      <c r="O541" s="12">
        <f>IF($A541="","",IFERROR(INDEX(CONTRATOS!$F$2:$F$601,MATCH($A541,CONTRATOS!$A$2:$A$601,0)),""))</f>
        <v/>
      </c>
      <c r="P541" s="12">
        <f>IF($A541="","",IFERROR(INDEX(CONTRATOS!$M$2:$M$601,MATCH($A541,CONTRATOS!$A$2:$A$601,0)),""))</f>
        <v/>
      </c>
      <c r="Q541" s="12">
        <f>IF($A541="","",IF(COUNTIF(CONTRATOS!$A$2:$A$601,$A541)=0,"El contrato no existe en CONTRATOS; ","")&amp;IF($B541="","Falta sujeto; ",IF(COUNTIF(SUJETOS!$A$2:$A$601,$B541)=0,"El sujeto no existe en SUJETOS; ",""))&amp;IF($E541="","Falta porcentaje; ","")&amp;IF(N541&gt;1.0001,"Los porcentajes del contrato suman más de 100 %; ","")&amp;IF(AND($C541="Individual",$E541&lt;&gt;"",$E541&lt;&gt;1),"Individual debe ser 100 %; ","")&amp;IF(AND($C541&lt;&gt;"Individual",$C541&lt;&gt;"",$E541=1),"Consorcio o UT con 100 %: revise; ","")&amp;IF(COUNTIFS($A$2:$A$601,$A541,$B$2:$B$601,$B541)&gt;1,"Participación repetida; ","")&amp;IF(AND(IFERROR(INDEX(SUJETOS!$B$2:$B$601,MATCH($B541,SUJETOS!$A$2:$A$601,0)),"")="Persona natural",$G541=""),"Persona natural sin cargo; ",""))</f>
        <v/>
      </c>
      <c r="R541" s="12">
        <f>IF($A541="","",IFERROR(IF(LEN(INDEX(SUJETOS!$F$2:$F$601,MATCH($B541,SUJETOS!$A$2:$A$601,0)))&gt;0,INDEX(SUJETOS!$F$2:$F$601,MATCH($B541,SUJETOS!$A$2:$A$601,0)),$B541),$B541))</f>
        <v/>
      </c>
    </row>
    <row r="542">
      <c r="E542" s="18" t="n"/>
      <c r="K542" s="13">
        <f>IF(OR($A542="",$E542=""),"",IFERROR(E542*INDEX(CONTRATOS!$P$2:$P$601,MATCH($A542,CONTRATOS!$A$2:$A$601,0)),""))</f>
        <v/>
      </c>
      <c r="L542" s="17">
        <f>IF(OR($A542="",$E542=""),"",IFERROR(E542*INDEX(CONTRATOS!$Z$2:$Z$601,MATCH($A542,CONTRATOS!$A$2:$A$601,0)),""))</f>
        <v/>
      </c>
      <c r="M542" s="13">
        <f>IF(OR($A542="",$E542=""),"",IFERROR(E542*INDEX(CONTRATOS!$AA$2:$AA$601,MATCH($A542,CONTRATOS!$A$2:$A$601,0)),""))</f>
        <v/>
      </c>
      <c r="N542" s="19">
        <f>IF($A542="","",SUMIFS($E$2:$E$601,$A$2:$A$601,$A542))</f>
        <v/>
      </c>
      <c r="O542" s="12">
        <f>IF($A542="","",IFERROR(INDEX(CONTRATOS!$F$2:$F$601,MATCH($A542,CONTRATOS!$A$2:$A$601,0)),""))</f>
        <v/>
      </c>
      <c r="P542" s="12">
        <f>IF($A542="","",IFERROR(INDEX(CONTRATOS!$M$2:$M$601,MATCH($A542,CONTRATOS!$A$2:$A$601,0)),""))</f>
        <v/>
      </c>
      <c r="Q542" s="12">
        <f>IF($A542="","",IF(COUNTIF(CONTRATOS!$A$2:$A$601,$A542)=0,"El contrato no existe en CONTRATOS; ","")&amp;IF($B542="","Falta sujeto; ",IF(COUNTIF(SUJETOS!$A$2:$A$601,$B542)=0,"El sujeto no existe en SUJETOS; ",""))&amp;IF($E542="","Falta porcentaje; ","")&amp;IF(N542&gt;1.0001,"Los porcentajes del contrato suman más de 100 %; ","")&amp;IF(AND($C542="Individual",$E542&lt;&gt;"",$E542&lt;&gt;1),"Individual debe ser 100 %; ","")&amp;IF(AND($C542&lt;&gt;"Individual",$C542&lt;&gt;"",$E542=1),"Consorcio o UT con 100 %: revise; ","")&amp;IF(COUNTIFS($A$2:$A$601,$A542,$B$2:$B$601,$B542)&gt;1,"Participación repetida; ","")&amp;IF(AND(IFERROR(INDEX(SUJETOS!$B$2:$B$601,MATCH($B542,SUJETOS!$A$2:$A$601,0)),"")="Persona natural",$G542=""),"Persona natural sin cargo; ",""))</f>
        <v/>
      </c>
      <c r="R542" s="12">
        <f>IF($A542="","",IFERROR(IF(LEN(INDEX(SUJETOS!$F$2:$F$601,MATCH($B542,SUJETOS!$A$2:$A$601,0)))&gt;0,INDEX(SUJETOS!$F$2:$F$601,MATCH($B542,SUJETOS!$A$2:$A$601,0)),$B542),$B542))</f>
        <v/>
      </c>
    </row>
    <row r="543">
      <c r="E543" s="18" t="n"/>
      <c r="K543" s="13">
        <f>IF(OR($A543="",$E543=""),"",IFERROR(E543*INDEX(CONTRATOS!$P$2:$P$601,MATCH($A543,CONTRATOS!$A$2:$A$601,0)),""))</f>
        <v/>
      </c>
      <c r="L543" s="17">
        <f>IF(OR($A543="",$E543=""),"",IFERROR(E543*INDEX(CONTRATOS!$Z$2:$Z$601,MATCH($A543,CONTRATOS!$A$2:$A$601,0)),""))</f>
        <v/>
      </c>
      <c r="M543" s="13">
        <f>IF(OR($A543="",$E543=""),"",IFERROR(E543*INDEX(CONTRATOS!$AA$2:$AA$601,MATCH($A543,CONTRATOS!$A$2:$A$601,0)),""))</f>
        <v/>
      </c>
      <c r="N543" s="19">
        <f>IF($A543="","",SUMIFS($E$2:$E$601,$A$2:$A$601,$A543))</f>
        <v/>
      </c>
      <c r="O543" s="12">
        <f>IF($A543="","",IFERROR(INDEX(CONTRATOS!$F$2:$F$601,MATCH($A543,CONTRATOS!$A$2:$A$601,0)),""))</f>
        <v/>
      </c>
      <c r="P543" s="12">
        <f>IF($A543="","",IFERROR(INDEX(CONTRATOS!$M$2:$M$601,MATCH($A543,CONTRATOS!$A$2:$A$601,0)),""))</f>
        <v/>
      </c>
      <c r="Q543" s="12">
        <f>IF($A543="","",IF(COUNTIF(CONTRATOS!$A$2:$A$601,$A543)=0,"El contrato no existe en CONTRATOS; ","")&amp;IF($B543="","Falta sujeto; ",IF(COUNTIF(SUJETOS!$A$2:$A$601,$B543)=0,"El sujeto no existe en SUJETOS; ",""))&amp;IF($E543="","Falta porcentaje; ","")&amp;IF(N543&gt;1.0001,"Los porcentajes del contrato suman más de 100 %; ","")&amp;IF(AND($C543="Individual",$E543&lt;&gt;"",$E543&lt;&gt;1),"Individual debe ser 100 %; ","")&amp;IF(AND($C543&lt;&gt;"Individual",$C543&lt;&gt;"",$E543=1),"Consorcio o UT con 100 %: revise; ","")&amp;IF(COUNTIFS($A$2:$A$601,$A543,$B$2:$B$601,$B543)&gt;1,"Participación repetida; ","")&amp;IF(AND(IFERROR(INDEX(SUJETOS!$B$2:$B$601,MATCH($B543,SUJETOS!$A$2:$A$601,0)),"")="Persona natural",$G543=""),"Persona natural sin cargo; ",""))</f>
        <v/>
      </c>
      <c r="R543" s="12">
        <f>IF($A543="","",IFERROR(IF(LEN(INDEX(SUJETOS!$F$2:$F$601,MATCH($B543,SUJETOS!$A$2:$A$601,0)))&gt;0,INDEX(SUJETOS!$F$2:$F$601,MATCH($B543,SUJETOS!$A$2:$A$601,0)),$B543),$B543))</f>
        <v/>
      </c>
    </row>
    <row r="544">
      <c r="E544" s="18" t="n"/>
      <c r="K544" s="13">
        <f>IF(OR($A544="",$E544=""),"",IFERROR(E544*INDEX(CONTRATOS!$P$2:$P$601,MATCH($A544,CONTRATOS!$A$2:$A$601,0)),""))</f>
        <v/>
      </c>
      <c r="L544" s="17">
        <f>IF(OR($A544="",$E544=""),"",IFERROR(E544*INDEX(CONTRATOS!$Z$2:$Z$601,MATCH($A544,CONTRATOS!$A$2:$A$601,0)),""))</f>
        <v/>
      </c>
      <c r="M544" s="13">
        <f>IF(OR($A544="",$E544=""),"",IFERROR(E544*INDEX(CONTRATOS!$AA$2:$AA$601,MATCH($A544,CONTRATOS!$A$2:$A$601,0)),""))</f>
        <v/>
      </c>
      <c r="N544" s="19">
        <f>IF($A544="","",SUMIFS($E$2:$E$601,$A$2:$A$601,$A544))</f>
        <v/>
      </c>
      <c r="O544" s="12">
        <f>IF($A544="","",IFERROR(INDEX(CONTRATOS!$F$2:$F$601,MATCH($A544,CONTRATOS!$A$2:$A$601,0)),""))</f>
        <v/>
      </c>
      <c r="P544" s="12">
        <f>IF($A544="","",IFERROR(INDEX(CONTRATOS!$M$2:$M$601,MATCH($A544,CONTRATOS!$A$2:$A$601,0)),""))</f>
        <v/>
      </c>
      <c r="Q544" s="12">
        <f>IF($A544="","",IF(COUNTIF(CONTRATOS!$A$2:$A$601,$A544)=0,"El contrato no existe en CONTRATOS; ","")&amp;IF($B544="","Falta sujeto; ",IF(COUNTIF(SUJETOS!$A$2:$A$601,$B544)=0,"El sujeto no existe en SUJETOS; ",""))&amp;IF($E544="","Falta porcentaje; ","")&amp;IF(N544&gt;1.0001,"Los porcentajes del contrato suman más de 100 %; ","")&amp;IF(AND($C544="Individual",$E544&lt;&gt;"",$E544&lt;&gt;1),"Individual debe ser 100 %; ","")&amp;IF(AND($C544&lt;&gt;"Individual",$C544&lt;&gt;"",$E544=1),"Consorcio o UT con 100 %: revise; ","")&amp;IF(COUNTIFS($A$2:$A$601,$A544,$B$2:$B$601,$B544)&gt;1,"Participación repetida; ","")&amp;IF(AND(IFERROR(INDEX(SUJETOS!$B$2:$B$601,MATCH($B544,SUJETOS!$A$2:$A$601,0)),"")="Persona natural",$G544=""),"Persona natural sin cargo; ",""))</f>
        <v/>
      </c>
      <c r="R544" s="12">
        <f>IF($A544="","",IFERROR(IF(LEN(INDEX(SUJETOS!$F$2:$F$601,MATCH($B544,SUJETOS!$A$2:$A$601,0)))&gt;0,INDEX(SUJETOS!$F$2:$F$601,MATCH($B544,SUJETOS!$A$2:$A$601,0)),$B544),$B544))</f>
        <v/>
      </c>
    </row>
    <row r="545">
      <c r="E545" s="18" t="n"/>
      <c r="K545" s="13">
        <f>IF(OR($A545="",$E545=""),"",IFERROR(E545*INDEX(CONTRATOS!$P$2:$P$601,MATCH($A545,CONTRATOS!$A$2:$A$601,0)),""))</f>
        <v/>
      </c>
      <c r="L545" s="17">
        <f>IF(OR($A545="",$E545=""),"",IFERROR(E545*INDEX(CONTRATOS!$Z$2:$Z$601,MATCH($A545,CONTRATOS!$A$2:$A$601,0)),""))</f>
        <v/>
      </c>
      <c r="M545" s="13">
        <f>IF(OR($A545="",$E545=""),"",IFERROR(E545*INDEX(CONTRATOS!$AA$2:$AA$601,MATCH($A545,CONTRATOS!$A$2:$A$601,0)),""))</f>
        <v/>
      </c>
      <c r="N545" s="19">
        <f>IF($A545="","",SUMIFS($E$2:$E$601,$A$2:$A$601,$A545))</f>
        <v/>
      </c>
      <c r="O545" s="12">
        <f>IF($A545="","",IFERROR(INDEX(CONTRATOS!$F$2:$F$601,MATCH($A545,CONTRATOS!$A$2:$A$601,0)),""))</f>
        <v/>
      </c>
      <c r="P545" s="12">
        <f>IF($A545="","",IFERROR(INDEX(CONTRATOS!$M$2:$M$601,MATCH($A545,CONTRATOS!$A$2:$A$601,0)),""))</f>
        <v/>
      </c>
      <c r="Q545" s="12">
        <f>IF($A545="","",IF(COUNTIF(CONTRATOS!$A$2:$A$601,$A545)=0,"El contrato no existe en CONTRATOS; ","")&amp;IF($B545="","Falta sujeto; ",IF(COUNTIF(SUJETOS!$A$2:$A$601,$B545)=0,"El sujeto no existe en SUJETOS; ",""))&amp;IF($E545="","Falta porcentaje; ","")&amp;IF(N545&gt;1.0001,"Los porcentajes del contrato suman más de 100 %; ","")&amp;IF(AND($C545="Individual",$E545&lt;&gt;"",$E545&lt;&gt;1),"Individual debe ser 100 %; ","")&amp;IF(AND($C545&lt;&gt;"Individual",$C545&lt;&gt;"",$E545=1),"Consorcio o UT con 100 %: revise; ","")&amp;IF(COUNTIFS($A$2:$A$601,$A545,$B$2:$B$601,$B545)&gt;1,"Participación repetida; ","")&amp;IF(AND(IFERROR(INDEX(SUJETOS!$B$2:$B$601,MATCH($B545,SUJETOS!$A$2:$A$601,0)),"")="Persona natural",$G545=""),"Persona natural sin cargo; ",""))</f>
        <v/>
      </c>
      <c r="R545" s="12">
        <f>IF($A545="","",IFERROR(IF(LEN(INDEX(SUJETOS!$F$2:$F$601,MATCH($B545,SUJETOS!$A$2:$A$601,0)))&gt;0,INDEX(SUJETOS!$F$2:$F$601,MATCH($B545,SUJETOS!$A$2:$A$601,0)),$B545),$B545))</f>
        <v/>
      </c>
    </row>
    <row r="546">
      <c r="E546" s="18" t="n"/>
      <c r="K546" s="13">
        <f>IF(OR($A546="",$E546=""),"",IFERROR(E546*INDEX(CONTRATOS!$P$2:$P$601,MATCH($A546,CONTRATOS!$A$2:$A$601,0)),""))</f>
        <v/>
      </c>
      <c r="L546" s="17">
        <f>IF(OR($A546="",$E546=""),"",IFERROR(E546*INDEX(CONTRATOS!$Z$2:$Z$601,MATCH($A546,CONTRATOS!$A$2:$A$601,0)),""))</f>
        <v/>
      </c>
      <c r="M546" s="13">
        <f>IF(OR($A546="",$E546=""),"",IFERROR(E546*INDEX(CONTRATOS!$AA$2:$AA$601,MATCH($A546,CONTRATOS!$A$2:$A$601,0)),""))</f>
        <v/>
      </c>
      <c r="N546" s="19">
        <f>IF($A546="","",SUMIFS($E$2:$E$601,$A$2:$A$601,$A546))</f>
        <v/>
      </c>
      <c r="O546" s="12">
        <f>IF($A546="","",IFERROR(INDEX(CONTRATOS!$F$2:$F$601,MATCH($A546,CONTRATOS!$A$2:$A$601,0)),""))</f>
        <v/>
      </c>
      <c r="P546" s="12">
        <f>IF($A546="","",IFERROR(INDEX(CONTRATOS!$M$2:$M$601,MATCH($A546,CONTRATOS!$A$2:$A$601,0)),""))</f>
        <v/>
      </c>
      <c r="Q546" s="12">
        <f>IF($A546="","",IF(COUNTIF(CONTRATOS!$A$2:$A$601,$A546)=0,"El contrato no existe en CONTRATOS; ","")&amp;IF($B546="","Falta sujeto; ",IF(COUNTIF(SUJETOS!$A$2:$A$601,$B546)=0,"El sujeto no existe en SUJETOS; ",""))&amp;IF($E546="","Falta porcentaje; ","")&amp;IF(N546&gt;1.0001,"Los porcentajes del contrato suman más de 100 %; ","")&amp;IF(AND($C546="Individual",$E546&lt;&gt;"",$E546&lt;&gt;1),"Individual debe ser 100 %; ","")&amp;IF(AND($C546&lt;&gt;"Individual",$C546&lt;&gt;"",$E546=1),"Consorcio o UT con 100 %: revise; ","")&amp;IF(COUNTIFS($A$2:$A$601,$A546,$B$2:$B$601,$B546)&gt;1,"Participación repetida; ","")&amp;IF(AND(IFERROR(INDEX(SUJETOS!$B$2:$B$601,MATCH($B546,SUJETOS!$A$2:$A$601,0)),"")="Persona natural",$G546=""),"Persona natural sin cargo; ",""))</f>
        <v/>
      </c>
      <c r="R546" s="12">
        <f>IF($A546="","",IFERROR(IF(LEN(INDEX(SUJETOS!$F$2:$F$601,MATCH($B546,SUJETOS!$A$2:$A$601,0)))&gt;0,INDEX(SUJETOS!$F$2:$F$601,MATCH($B546,SUJETOS!$A$2:$A$601,0)),$B546),$B546))</f>
        <v/>
      </c>
    </row>
    <row r="547">
      <c r="E547" s="18" t="n"/>
      <c r="K547" s="13">
        <f>IF(OR($A547="",$E547=""),"",IFERROR(E547*INDEX(CONTRATOS!$P$2:$P$601,MATCH($A547,CONTRATOS!$A$2:$A$601,0)),""))</f>
        <v/>
      </c>
      <c r="L547" s="17">
        <f>IF(OR($A547="",$E547=""),"",IFERROR(E547*INDEX(CONTRATOS!$Z$2:$Z$601,MATCH($A547,CONTRATOS!$A$2:$A$601,0)),""))</f>
        <v/>
      </c>
      <c r="M547" s="13">
        <f>IF(OR($A547="",$E547=""),"",IFERROR(E547*INDEX(CONTRATOS!$AA$2:$AA$601,MATCH($A547,CONTRATOS!$A$2:$A$601,0)),""))</f>
        <v/>
      </c>
      <c r="N547" s="19">
        <f>IF($A547="","",SUMIFS($E$2:$E$601,$A$2:$A$601,$A547))</f>
        <v/>
      </c>
      <c r="O547" s="12">
        <f>IF($A547="","",IFERROR(INDEX(CONTRATOS!$F$2:$F$601,MATCH($A547,CONTRATOS!$A$2:$A$601,0)),""))</f>
        <v/>
      </c>
      <c r="P547" s="12">
        <f>IF($A547="","",IFERROR(INDEX(CONTRATOS!$M$2:$M$601,MATCH($A547,CONTRATOS!$A$2:$A$601,0)),""))</f>
        <v/>
      </c>
      <c r="Q547" s="12">
        <f>IF($A547="","",IF(COUNTIF(CONTRATOS!$A$2:$A$601,$A547)=0,"El contrato no existe en CONTRATOS; ","")&amp;IF($B547="","Falta sujeto; ",IF(COUNTIF(SUJETOS!$A$2:$A$601,$B547)=0,"El sujeto no existe en SUJETOS; ",""))&amp;IF($E547="","Falta porcentaje; ","")&amp;IF(N547&gt;1.0001,"Los porcentajes del contrato suman más de 100 %; ","")&amp;IF(AND($C547="Individual",$E547&lt;&gt;"",$E547&lt;&gt;1),"Individual debe ser 100 %; ","")&amp;IF(AND($C547&lt;&gt;"Individual",$C547&lt;&gt;"",$E547=1),"Consorcio o UT con 100 %: revise; ","")&amp;IF(COUNTIFS($A$2:$A$601,$A547,$B$2:$B$601,$B547)&gt;1,"Participación repetida; ","")&amp;IF(AND(IFERROR(INDEX(SUJETOS!$B$2:$B$601,MATCH($B547,SUJETOS!$A$2:$A$601,0)),"")="Persona natural",$G547=""),"Persona natural sin cargo; ",""))</f>
        <v/>
      </c>
      <c r="R547" s="12">
        <f>IF($A547="","",IFERROR(IF(LEN(INDEX(SUJETOS!$F$2:$F$601,MATCH($B547,SUJETOS!$A$2:$A$601,0)))&gt;0,INDEX(SUJETOS!$F$2:$F$601,MATCH($B547,SUJETOS!$A$2:$A$601,0)),$B547),$B547))</f>
        <v/>
      </c>
    </row>
    <row r="548">
      <c r="E548" s="18" t="n"/>
      <c r="K548" s="13">
        <f>IF(OR($A548="",$E548=""),"",IFERROR(E548*INDEX(CONTRATOS!$P$2:$P$601,MATCH($A548,CONTRATOS!$A$2:$A$601,0)),""))</f>
        <v/>
      </c>
      <c r="L548" s="17">
        <f>IF(OR($A548="",$E548=""),"",IFERROR(E548*INDEX(CONTRATOS!$Z$2:$Z$601,MATCH($A548,CONTRATOS!$A$2:$A$601,0)),""))</f>
        <v/>
      </c>
      <c r="M548" s="13">
        <f>IF(OR($A548="",$E548=""),"",IFERROR(E548*INDEX(CONTRATOS!$AA$2:$AA$601,MATCH($A548,CONTRATOS!$A$2:$A$601,0)),""))</f>
        <v/>
      </c>
      <c r="N548" s="19">
        <f>IF($A548="","",SUMIFS($E$2:$E$601,$A$2:$A$601,$A548))</f>
        <v/>
      </c>
      <c r="O548" s="12">
        <f>IF($A548="","",IFERROR(INDEX(CONTRATOS!$F$2:$F$601,MATCH($A548,CONTRATOS!$A$2:$A$601,0)),""))</f>
        <v/>
      </c>
      <c r="P548" s="12">
        <f>IF($A548="","",IFERROR(INDEX(CONTRATOS!$M$2:$M$601,MATCH($A548,CONTRATOS!$A$2:$A$601,0)),""))</f>
        <v/>
      </c>
      <c r="Q548" s="12">
        <f>IF($A548="","",IF(COUNTIF(CONTRATOS!$A$2:$A$601,$A548)=0,"El contrato no existe en CONTRATOS; ","")&amp;IF($B548="","Falta sujeto; ",IF(COUNTIF(SUJETOS!$A$2:$A$601,$B548)=0,"El sujeto no existe en SUJETOS; ",""))&amp;IF($E548="","Falta porcentaje; ","")&amp;IF(N548&gt;1.0001,"Los porcentajes del contrato suman más de 100 %; ","")&amp;IF(AND($C548="Individual",$E548&lt;&gt;"",$E548&lt;&gt;1),"Individual debe ser 100 %; ","")&amp;IF(AND($C548&lt;&gt;"Individual",$C548&lt;&gt;"",$E548=1),"Consorcio o UT con 100 %: revise; ","")&amp;IF(COUNTIFS($A$2:$A$601,$A548,$B$2:$B$601,$B548)&gt;1,"Participación repetida; ","")&amp;IF(AND(IFERROR(INDEX(SUJETOS!$B$2:$B$601,MATCH($B548,SUJETOS!$A$2:$A$601,0)),"")="Persona natural",$G548=""),"Persona natural sin cargo; ",""))</f>
        <v/>
      </c>
      <c r="R548" s="12">
        <f>IF($A548="","",IFERROR(IF(LEN(INDEX(SUJETOS!$F$2:$F$601,MATCH($B548,SUJETOS!$A$2:$A$601,0)))&gt;0,INDEX(SUJETOS!$F$2:$F$601,MATCH($B548,SUJETOS!$A$2:$A$601,0)),$B548),$B548))</f>
        <v/>
      </c>
    </row>
    <row r="549">
      <c r="E549" s="18" t="n"/>
      <c r="K549" s="13">
        <f>IF(OR($A549="",$E549=""),"",IFERROR(E549*INDEX(CONTRATOS!$P$2:$P$601,MATCH($A549,CONTRATOS!$A$2:$A$601,0)),""))</f>
        <v/>
      </c>
      <c r="L549" s="17">
        <f>IF(OR($A549="",$E549=""),"",IFERROR(E549*INDEX(CONTRATOS!$Z$2:$Z$601,MATCH($A549,CONTRATOS!$A$2:$A$601,0)),""))</f>
        <v/>
      </c>
      <c r="M549" s="13">
        <f>IF(OR($A549="",$E549=""),"",IFERROR(E549*INDEX(CONTRATOS!$AA$2:$AA$601,MATCH($A549,CONTRATOS!$A$2:$A$601,0)),""))</f>
        <v/>
      </c>
      <c r="N549" s="19">
        <f>IF($A549="","",SUMIFS($E$2:$E$601,$A$2:$A$601,$A549))</f>
        <v/>
      </c>
      <c r="O549" s="12">
        <f>IF($A549="","",IFERROR(INDEX(CONTRATOS!$F$2:$F$601,MATCH($A549,CONTRATOS!$A$2:$A$601,0)),""))</f>
        <v/>
      </c>
      <c r="P549" s="12">
        <f>IF($A549="","",IFERROR(INDEX(CONTRATOS!$M$2:$M$601,MATCH($A549,CONTRATOS!$A$2:$A$601,0)),""))</f>
        <v/>
      </c>
      <c r="Q549" s="12">
        <f>IF($A549="","",IF(COUNTIF(CONTRATOS!$A$2:$A$601,$A549)=0,"El contrato no existe en CONTRATOS; ","")&amp;IF($B549="","Falta sujeto; ",IF(COUNTIF(SUJETOS!$A$2:$A$601,$B549)=0,"El sujeto no existe en SUJETOS; ",""))&amp;IF($E549="","Falta porcentaje; ","")&amp;IF(N549&gt;1.0001,"Los porcentajes del contrato suman más de 100 %; ","")&amp;IF(AND($C549="Individual",$E549&lt;&gt;"",$E549&lt;&gt;1),"Individual debe ser 100 %; ","")&amp;IF(AND($C549&lt;&gt;"Individual",$C549&lt;&gt;"",$E549=1),"Consorcio o UT con 100 %: revise; ","")&amp;IF(COUNTIFS($A$2:$A$601,$A549,$B$2:$B$601,$B549)&gt;1,"Participación repetida; ","")&amp;IF(AND(IFERROR(INDEX(SUJETOS!$B$2:$B$601,MATCH($B549,SUJETOS!$A$2:$A$601,0)),"")="Persona natural",$G549=""),"Persona natural sin cargo; ",""))</f>
        <v/>
      </c>
      <c r="R549" s="12">
        <f>IF($A549="","",IFERROR(IF(LEN(INDEX(SUJETOS!$F$2:$F$601,MATCH($B549,SUJETOS!$A$2:$A$601,0)))&gt;0,INDEX(SUJETOS!$F$2:$F$601,MATCH($B549,SUJETOS!$A$2:$A$601,0)),$B549),$B549))</f>
        <v/>
      </c>
    </row>
    <row r="550">
      <c r="E550" s="18" t="n"/>
      <c r="K550" s="13">
        <f>IF(OR($A550="",$E550=""),"",IFERROR(E550*INDEX(CONTRATOS!$P$2:$P$601,MATCH($A550,CONTRATOS!$A$2:$A$601,0)),""))</f>
        <v/>
      </c>
      <c r="L550" s="17">
        <f>IF(OR($A550="",$E550=""),"",IFERROR(E550*INDEX(CONTRATOS!$Z$2:$Z$601,MATCH($A550,CONTRATOS!$A$2:$A$601,0)),""))</f>
        <v/>
      </c>
      <c r="M550" s="13">
        <f>IF(OR($A550="",$E550=""),"",IFERROR(E550*INDEX(CONTRATOS!$AA$2:$AA$601,MATCH($A550,CONTRATOS!$A$2:$A$601,0)),""))</f>
        <v/>
      </c>
      <c r="N550" s="19">
        <f>IF($A550="","",SUMIFS($E$2:$E$601,$A$2:$A$601,$A550))</f>
        <v/>
      </c>
      <c r="O550" s="12">
        <f>IF($A550="","",IFERROR(INDEX(CONTRATOS!$F$2:$F$601,MATCH($A550,CONTRATOS!$A$2:$A$601,0)),""))</f>
        <v/>
      </c>
      <c r="P550" s="12">
        <f>IF($A550="","",IFERROR(INDEX(CONTRATOS!$M$2:$M$601,MATCH($A550,CONTRATOS!$A$2:$A$601,0)),""))</f>
        <v/>
      </c>
      <c r="Q550" s="12">
        <f>IF($A550="","",IF(COUNTIF(CONTRATOS!$A$2:$A$601,$A550)=0,"El contrato no existe en CONTRATOS; ","")&amp;IF($B550="","Falta sujeto; ",IF(COUNTIF(SUJETOS!$A$2:$A$601,$B550)=0,"El sujeto no existe en SUJETOS; ",""))&amp;IF($E550="","Falta porcentaje; ","")&amp;IF(N550&gt;1.0001,"Los porcentajes del contrato suman más de 100 %; ","")&amp;IF(AND($C550="Individual",$E550&lt;&gt;"",$E550&lt;&gt;1),"Individual debe ser 100 %; ","")&amp;IF(AND($C550&lt;&gt;"Individual",$C550&lt;&gt;"",$E550=1),"Consorcio o UT con 100 %: revise; ","")&amp;IF(COUNTIFS($A$2:$A$601,$A550,$B$2:$B$601,$B550)&gt;1,"Participación repetida; ","")&amp;IF(AND(IFERROR(INDEX(SUJETOS!$B$2:$B$601,MATCH($B550,SUJETOS!$A$2:$A$601,0)),"")="Persona natural",$G550=""),"Persona natural sin cargo; ",""))</f>
        <v/>
      </c>
      <c r="R550" s="12">
        <f>IF($A550="","",IFERROR(IF(LEN(INDEX(SUJETOS!$F$2:$F$601,MATCH($B550,SUJETOS!$A$2:$A$601,0)))&gt;0,INDEX(SUJETOS!$F$2:$F$601,MATCH($B550,SUJETOS!$A$2:$A$601,0)),$B550),$B550))</f>
        <v/>
      </c>
    </row>
    <row r="551">
      <c r="E551" s="18" t="n"/>
      <c r="K551" s="13">
        <f>IF(OR($A551="",$E551=""),"",IFERROR(E551*INDEX(CONTRATOS!$P$2:$P$601,MATCH($A551,CONTRATOS!$A$2:$A$601,0)),""))</f>
        <v/>
      </c>
      <c r="L551" s="17">
        <f>IF(OR($A551="",$E551=""),"",IFERROR(E551*INDEX(CONTRATOS!$Z$2:$Z$601,MATCH($A551,CONTRATOS!$A$2:$A$601,0)),""))</f>
        <v/>
      </c>
      <c r="M551" s="13">
        <f>IF(OR($A551="",$E551=""),"",IFERROR(E551*INDEX(CONTRATOS!$AA$2:$AA$601,MATCH($A551,CONTRATOS!$A$2:$A$601,0)),""))</f>
        <v/>
      </c>
      <c r="N551" s="19">
        <f>IF($A551="","",SUMIFS($E$2:$E$601,$A$2:$A$601,$A551))</f>
        <v/>
      </c>
      <c r="O551" s="12">
        <f>IF($A551="","",IFERROR(INDEX(CONTRATOS!$F$2:$F$601,MATCH($A551,CONTRATOS!$A$2:$A$601,0)),""))</f>
        <v/>
      </c>
      <c r="P551" s="12">
        <f>IF($A551="","",IFERROR(INDEX(CONTRATOS!$M$2:$M$601,MATCH($A551,CONTRATOS!$A$2:$A$601,0)),""))</f>
        <v/>
      </c>
      <c r="Q551" s="12">
        <f>IF($A551="","",IF(COUNTIF(CONTRATOS!$A$2:$A$601,$A551)=0,"El contrato no existe en CONTRATOS; ","")&amp;IF($B551="","Falta sujeto; ",IF(COUNTIF(SUJETOS!$A$2:$A$601,$B551)=0,"El sujeto no existe en SUJETOS; ",""))&amp;IF($E551="","Falta porcentaje; ","")&amp;IF(N551&gt;1.0001,"Los porcentajes del contrato suman más de 100 %; ","")&amp;IF(AND($C551="Individual",$E551&lt;&gt;"",$E551&lt;&gt;1),"Individual debe ser 100 %; ","")&amp;IF(AND($C551&lt;&gt;"Individual",$C551&lt;&gt;"",$E551=1),"Consorcio o UT con 100 %: revise; ","")&amp;IF(COUNTIFS($A$2:$A$601,$A551,$B$2:$B$601,$B551)&gt;1,"Participación repetida; ","")&amp;IF(AND(IFERROR(INDEX(SUJETOS!$B$2:$B$601,MATCH($B551,SUJETOS!$A$2:$A$601,0)),"")="Persona natural",$G551=""),"Persona natural sin cargo; ",""))</f>
        <v/>
      </c>
      <c r="R551" s="12">
        <f>IF($A551="","",IFERROR(IF(LEN(INDEX(SUJETOS!$F$2:$F$601,MATCH($B551,SUJETOS!$A$2:$A$601,0)))&gt;0,INDEX(SUJETOS!$F$2:$F$601,MATCH($B551,SUJETOS!$A$2:$A$601,0)),$B551),$B551))</f>
        <v/>
      </c>
    </row>
    <row r="552">
      <c r="E552" s="18" t="n"/>
      <c r="K552" s="13">
        <f>IF(OR($A552="",$E552=""),"",IFERROR(E552*INDEX(CONTRATOS!$P$2:$P$601,MATCH($A552,CONTRATOS!$A$2:$A$601,0)),""))</f>
        <v/>
      </c>
      <c r="L552" s="17">
        <f>IF(OR($A552="",$E552=""),"",IFERROR(E552*INDEX(CONTRATOS!$Z$2:$Z$601,MATCH($A552,CONTRATOS!$A$2:$A$601,0)),""))</f>
        <v/>
      </c>
      <c r="M552" s="13">
        <f>IF(OR($A552="",$E552=""),"",IFERROR(E552*INDEX(CONTRATOS!$AA$2:$AA$601,MATCH($A552,CONTRATOS!$A$2:$A$601,0)),""))</f>
        <v/>
      </c>
      <c r="N552" s="19">
        <f>IF($A552="","",SUMIFS($E$2:$E$601,$A$2:$A$601,$A552))</f>
        <v/>
      </c>
      <c r="O552" s="12">
        <f>IF($A552="","",IFERROR(INDEX(CONTRATOS!$F$2:$F$601,MATCH($A552,CONTRATOS!$A$2:$A$601,0)),""))</f>
        <v/>
      </c>
      <c r="P552" s="12">
        <f>IF($A552="","",IFERROR(INDEX(CONTRATOS!$M$2:$M$601,MATCH($A552,CONTRATOS!$A$2:$A$601,0)),""))</f>
        <v/>
      </c>
      <c r="Q552" s="12">
        <f>IF($A552="","",IF(COUNTIF(CONTRATOS!$A$2:$A$601,$A552)=0,"El contrato no existe en CONTRATOS; ","")&amp;IF($B552="","Falta sujeto; ",IF(COUNTIF(SUJETOS!$A$2:$A$601,$B552)=0,"El sujeto no existe en SUJETOS; ",""))&amp;IF($E552="","Falta porcentaje; ","")&amp;IF(N552&gt;1.0001,"Los porcentajes del contrato suman más de 100 %; ","")&amp;IF(AND($C552="Individual",$E552&lt;&gt;"",$E552&lt;&gt;1),"Individual debe ser 100 %; ","")&amp;IF(AND($C552&lt;&gt;"Individual",$C552&lt;&gt;"",$E552=1),"Consorcio o UT con 100 %: revise; ","")&amp;IF(COUNTIFS($A$2:$A$601,$A552,$B$2:$B$601,$B552)&gt;1,"Participación repetida; ","")&amp;IF(AND(IFERROR(INDEX(SUJETOS!$B$2:$B$601,MATCH($B552,SUJETOS!$A$2:$A$601,0)),"")="Persona natural",$G552=""),"Persona natural sin cargo; ",""))</f>
        <v/>
      </c>
      <c r="R552" s="12">
        <f>IF($A552="","",IFERROR(IF(LEN(INDEX(SUJETOS!$F$2:$F$601,MATCH($B552,SUJETOS!$A$2:$A$601,0)))&gt;0,INDEX(SUJETOS!$F$2:$F$601,MATCH($B552,SUJETOS!$A$2:$A$601,0)),$B552),$B552))</f>
        <v/>
      </c>
    </row>
    <row r="553">
      <c r="E553" s="18" t="n"/>
      <c r="K553" s="13">
        <f>IF(OR($A553="",$E553=""),"",IFERROR(E553*INDEX(CONTRATOS!$P$2:$P$601,MATCH($A553,CONTRATOS!$A$2:$A$601,0)),""))</f>
        <v/>
      </c>
      <c r="L553" s="17">
        <f>IF(OR($A553="",$E553=""),"",IFERROR(E553*INDEX(CONTRATOS!$Z$2:$Z$601,MATCH($A553,CONTRATOS!$A$2:$A$601,0)),""))</f>
        <v/>
      </c>
      <c r="M553" s="13">
        <f>IF(OR($A553="",$E553=""),"",IFERROR(E553*INDEX(CONTRATOS!$AA$2:$AA$601,MATCH($A553,CONTRATOS!$A$2:$A$601,0)),""))</f>
        <v/>
      </c>
      <c r="N553" s="19">
        <f>IF($A553="","",SUMIFS($E$2:$E$601,$A$2:$A$601,$A553))</f>
        <v/>
      </c>
      <c r="O553" s="12">
        <f>IF($A553="","",IFERROR(INDEX(CONTRATOS!$F$2:$F$601,MATCH($A553,CONTRATOS!$A$2:$A$601,0)),""))</f>
        <v/>
      </c>
      <c r="P553" s="12">
        <f>IF($A553="","",IFERROR(INDEX(CONTRATOS!$M$2:$M$601,MATCH($A553,CONTRATOS!$A$2:$A$601,0)),""))</f>
        <v/>
      </c>
      <c r="Q553" s="12">
        <f>IF($A553="","",IF(COUNTIF(CONTRATOS!$A$2:$A$601,$A553)=0,"El contrato no existe en CONTRATOS; ","")&amp;IF($B553="","Falta sujeto; ",IF(COUNTIF(SUJETOS!$A$2:$A$601,$B553)=0,"El sujeto no existe en SUJETOS; ",""))&amp;IF($E553="","Falta porcentaje; ","")&amp;IF(N553&gt;1.0001,"Los porcentajes del contrato suman más de 100 %; ","")&amp;IF(AND($C553="Individual",$E553&lt;&gt;"",$E553&lt;&gt;1),"Individual debe ser 100 %; ","")&amp;IF(AND($C553&lt;&gt;"Individual",$C553&lt;&gt;"",$E553=1),"Consorcio o UT con 100 %: revise; ","")&amp;IF(COUNTIFS($A$2:$A$601,$A553,$B$2:$B$601,$B553)&gt;1,"Participación repetida; ","")&amp;IF(AND(IFERROR(INDEX(SUJETOS!$B$2:$B$601,MATCH($B553,SUJETOS!$A$2:$A$601,0)),"")="Persona natural",$G553=""),"Persona natural sin cargo; ",""))</f>
        <v/>
      </c>
      <c r="R553" s="12">
        <f>IF($A553="","",IFERROR(IF(LEN(INDEX(SUJETOS!$F$2:$F$601,MATCH($B553,SUJETOS!$A$2:$A$601,0)))&gt;0,INDEX(SUJETOS!$F$2:$F$601,MATCH($B553,SUJETOS!$A$2:$A$601,0)),$B553),$B553))</f>
        <v/>
      </c>
    </row>
    <row r="554">
      <c r="E554" s="18" t="n"/>
      <c r="K554" s="13">
        <f>IF(OR($A554="",$E554=""),"",IFERROR(E554*INDEX(CONTRATOS!$P$2:$P$601,MATCH($A554,CONTRATOS!$A$2:$A$601,0)),""))</f>
        <v/>
      </c>
      <c r="L554" s="17">
        <f>IF(OR($A554="",$E554=""),"",IFERROR(E554*INDEX(CONTRATOS!$Z$2:$Z$601,MATCH($A554,CONTRATOS!$A$2:$A$601,0)),""))</f>
        <v/>
      </c>
      <c r="M554" s="13">
        <f>IF(OR($A554="",$E554=""),"",IFERROR(E554*INDEX(CONTRATOS!$AA$2:$AA$601,MATCH($A554,CONTRATOS!$A$2:$A$601,0)),""))</f>
        <v/>
      </c>
      <c r="N554" s="19">
        <f>IF($A554="","",SUMIFS($E$2:$E$601,$A$2:$A$601,$A554))</f>
        <v/>
      </c>
      <c r="O554" s="12">
        <f>IF($A554="","",IFERROR(INDEX(CONTRATOS!$F$2:$F$601,MATCH($A554,CONTRATOS!$A$2:$A$601,0)),""))</f>
        <v/>
      </c>
      <c r="P554" s="12">
        <f>IF($A554="","",IFERROR(INDEX(CONTRATOS!$M$2:$M$601,MATCH($A554,CONTRATOS!$A$2:$A$601,0)),""))</f>
        <v/>
      </c>
      <c r="Q554" s="12">
        <f>IF($A554="","",IF(COUNTIF(CONTRATOS!$A$2:$A$601,$A554)=0,"El contrato no existe en CONTRATOS; ","")&amp;IF($B554="","Falta sujeto; ",IF(COUNTIF(SUJETOS!$A$2:$A$601,$B554)=0,"El sujeto no existe en SUJETOS; ",""))&amp;IF($E554="","Falta porcentaje; ","")&amp;IF(N554&gt;1.0001,"Los porcentajes del contrato suman más de 100 %; ","")&amp;IF(AND($C554="Individual",$E554&lt;&gt;"",$E554&lt;&gt;1),"Individual debe ser 100 %; ","")&amp;IF(AND($C554&lt;&gt;"Individual",$C554&lt;&gt;"",$E554=1),"Consorcio o UT con 100 %: revise; ","")&amp;IF(COUNTIFS($A$2:$A$601,$A554,$B$2:$B$601,$B554)&gt;1,"Participación repetida; ","")&amp;IF(AND(IFERROR(INDEX(SUJETOS!$B$2:$B$601,MATCH($B554,SUJETOS!$A$2:$A$601,0)),"")="Persona natural",$G554=""),"Persona natural sin cargo; ",""))</f>
        <v/>
      </c>
      <c r="R554" s="12">
        <f>IF($A554="","",IFERROR(IF(LEN(INDEX(SUJETOS!$F$2:$F$601,MATCH($B554,SUJETOS!$A$2:$A$601,0)))&gt;0,INDEX(SUJETOS!$F$2:$F$601,MATCH($B554,SUJETOS!$A$2:$A$601,0)),$B554),$B554))</f>
        <v/>
      </c>
    </row>
    <row r="555">
      <c r="E555" s="18" t="n"/>
      <c r="K555" s="13">
        <f>IF(OR($A555="",$E555=""),"",IFERROR(E555*INDEX(CONTRATOS!$P$2:$P$601,MATCH($A555,CONTRATOS!$A$2:$A$601,0)),""))</f>
        <v/>
      </c>
      <c r="L555" s="17">
        <f>IF(OR($A555="",$E555=""),"",IFERROR(E555*INDEX(CONTRATOS!$Z$2:$Z$601,MATCH($A555,CONTRATOS!$A$2:$A$601,0)),""))</f>
        <v/>
      </c>
      <c r="M555" s="13">
        <f>IF(OR($A555="",$E555=""),"",IFERROR(E555*INDEX(CONTRATOS!$AA$2:$AA$601,MATCH($A555,CONTRATOS!$A$2:$A$601,0)),""))</f>
        <v/>
      </c>
      <c r="N555" s="19">
        <f>IF($A555="","",SUMIFS($E$2:$E$601,$A$2:$A$601,$A555))</f>
        <v/>
      </c>
      <c r="O555" s="12">
        <f>IF($A555="","",IFERROR(INDEX(CONTRATOS!$F$2:$F$601,MATCH($A555,CONTRATOS!$A$2:$A$601,0)),""))</f>
        <v/>
      </c>
      <c r="P555" s="12">
        <f>IF($A555="","",IFERROR(INDEX(CONTRATOS!$M$2:$M$601,MATCH($A555,CONTRATOS!$A$2:$A$601,0)),""))</f>
        <v/>
      </c>
      <c r="Q555" s="12">
        <f>IF($A555="","",IF(COUNTIF(CONTRATOS!$A$2:$A$601,$A555)=0,"El contrato no existe en CONTRATOS; ","")&amp;IF($B555="","Falta sujeto; ",IF(COUNTIF(SUJETOS!$A$2:$A$601,$B555)=0,"El sujeto no existe en SUJETOS; ",""))&amp;IF($E555="","Falta porcentaje; ","")&amp;IF(N555&gt;1.0001,"Los porcentajes del contrato suman más de 100 %; ","")&amp;IF(AND($C555="Individual",$E555&lt;&gt;"",$E555&lt;&gt;1),"Individual debe ser 100 %; ","")&amp;IF(AND($C555&lt;&gt;"Individual",$C555&lt;&gt;"",$E555=1),"Consorcio o UT con 100 %: revise; ","")&amp;IF(COUNTIFS($A$2:$A$601,$A555,$B$2:$B$601,$B555)&gt;1,"Participación repetida; ","")&amp;IF(AND(IFERROR(INDEX(SUJETOS!$B$2:$B$601,MATCH($B555,SUJETOS!$A$2:$A$601,0)),"")="Persona natural",$G555=""),"Persona natural sin cargo; ",""))</f>
        <v/>
      </c>
      <c r="R555" s="12">
        <f>IF($A555="","",IFERROR(IF(LEN(INDEX(SUJETOS!$F$2:$F$601,MATCH($B555,SUJETOS!$A$2:$A$601,0)))&gt;0,INDEX(SUJETOS!$F$2:$F$601,MATCH($B555,SUJETOS!$A$2:$A$601,0)),$B555),$B555))</f>
        <v/>
      </c>
    </row>
    <row r="556">
      <c r="E556" s="18" t="n"/>
      <c r="K556" s="13">
        <f>IF(OR($A556="",$E556=""),"",IFERROR(E556*INDEX(CONTRATOS!$P$2:$P$601,MATCH($A556,CONTRATOS!$A$2:$A$601,0)),""))</f>
        <v/>
      </c>
      <c r="L556" s="17">
        <f>IF(OR($A556="",$E556=""),"",IFERROR(E556*INDEX(CONTRATOS!$Z$2:$Z$601,MATCH($A556,CONTRATOS!$A$2:$A$601,0)),""))</f>
        <v/>
      </c>
      <c r="M556" s="13">
        <f>IF(OR($A556="",$E556=""),"",IFERROR(E556*INDEX(CONTRATOS!$AA$2:$AA$601,MATCH($A556,CONTRATOS!$A$2:$A$601,0)),""))</f>
        <v/>
      </c>
      <c r="N556" s="19">
        <f>IF($A556="","",SUMIFS($E$2:$E$601,$A$2:$A$601,$A556))</f>
        <v/>
      </c>
      <c r="O556" s="12">
        <f>IF($A556="","",IFERROR(INDEX(CONTRATOS!$F$2:$F$601,MATCH($A556,CONTRATOS!$A$2:$A$601,0)),""))</f>
        <v/>
      </c>
      <c r="P556" s="12">
        <f>IF($A556="","",IFERROR(INDEX(CONTRATOS!$M$2:$M$601,MATCH($A556,CONTRATOS!$A$2:$A$601,0)),""))</f>
        <v/>
      </c>
      <c r="Q556" s="12">
        <f>IF($A556="","",IF(COUNTIF(CONTRATOS!$A$2:$A$601,$A556)=0,"El contrato no existe en CONTRATOS; ","")&amp;IF($B556="","Falta sujeto; ",IF(COUNTIF(SUJETOS!$A$2:$A$601,$B556)=0,"El sujeto no existe en SUJETOS; ",""))&amp;IF($E556="","Falta porcentaje; ","")&amp;IF(N556&gt;1.0001,"Los porcentajes del contrato suman más de 100 %; ","")&amp;IF(AND($C556="Individual",$E556&lt;&gt;"",$E556&lt;&gt;1),"Individual debe ser 100 %; ","")&amp;IF(AND($C556&lt;&gt;"Individual",$C556&lt;&gt;"",$E556=1),"Consorcio o UT con 100 %: revise; ","")&amp;IF(COUNTIFS($A$2:$A$601,$A556,$B$2:$B$601,$B556)&gt;1,"Participación repetida; ","")&amp;IF(AND(IFERROR(INDEX(SUJETOS!$B$2:$B$601,MATCH($B556,SUJETOS!$A$2:$A$601,0)),"")="Persona natural",$G556=""),"Persona natural sin cargo; ",""))</f>
        <v/>
      </c>
      <c r="R556" s="12">
        <f>IF($A556="","",IFERROR(IF(LEN(INDEX(SUJETOS!$F$2:$F$601,MATCH($B556,SUJETOS!$A$2:$A$601,0)))&gt;0,INDEX(SUJETOS!$F$2:$F$601,MATCH($B556,SUJETOS!$A$2:$A$601,0)),$B556),$B556))</f>
        <v/>
      </c>
    </row>
    <row r="557">
      <c r="E557" s="18" t="n"/>
      <c r="K557" s="13">
        <f>IF(OR($A557="",$E557=""),"",IFERROR(E557*INDEX(CONTRATOS!$P$2:$P$601,MATCH($A557,CONTRATOS!$A$2:$A$601,0)),""))</f>
        <v/>
      </c>
      <c r="L557" s="17">
        <f>IF(OR($A557="",$E557=""),"",IFERROR(E557*INDEX(CONTRATOS!$Z$2:$Z$601,MATCH($A557,CONTRATOS!$A$2:$A$601,0)),""))</f>
        <v/>
      </c>
      <c r="M557" s="13">
        <f>IF(OR($A557="",$E557=""),"",IFERROR(E557*INDEX(CONTRATOS!$AA$2:$AA$601,MATCH($A557,CONTRATOS!$A$2:$A$601,0)),""))</f>
        <v/>
      </c>
      <c r="N557" s="19">
        <f>IF($A557="","",SUMIFS($E$2:$E$601,$A$2:$A$601,$A557))</f>
        <v/>
      </c>
      <c r="O557" s="12">
        <f>IF($A557="","",IFERROR(INDEX(CONTRATOS!$F$2:$F$601,MATCH($A557,CONTRATOS!$A$2:$A$601,0)),""))</f>
        <v/>
      </c>
      <c r="P557" s="12">
        <f>IF($A557="","",IFERROR(INDEX(CONTRATOS!$M$2:$M$601,MATCH($A557,CONTRATOS!$A$2:$A$601,0)),""))</f>
        <v/>
      </c>
      <c r="Q557" s="12">
        <f>IF($A557="","",IF(COUNTIF(CONTRATOS!$A$2:$A$601,$A557)=0,"El contrato no existe en CONTRATOS; ","")&amp;IF($B557="","Falta sujeto; ",IF(COUNTIF(SUJETOS!$A$2:$A$601,$B557)=0,"El sujeto no existe en SUJETOS; ",""))&amp;IF($E557="","Falta porcentaje; ","")&amp;IF(N557&gt;1.0001,"Los porcentajes del contrato suman más de 100 %; ","")&amp;IF(AND($C557="Individual",$E557&lt;&gt;"",$E557&lt;&gt;1),"Individual debe ser 100 %; ","")&amp;IF(AND($C557&lt;&gt;"Individual",$C557&lt;&gt;"",$E557=1),"Consorcio o UT con 100 %: revise; ","")&amp;IF(COUNTIFS($A$2:$A$601,$A557,$B$2:$B$601,$B557)&gt;1,"Participación repetida; ","")&amp;IF(AND(IFERROR(INDEX(SUJETOS!$B$2:$B$601,MATCH($B557,SUJETOS!$A$2:$A$601,0)),"")="Persona natural",$G557=""),"Persona natural sin cargo; ",""))</f>
        <v/>
      </c>
      <c r="R557" s="12">
        <f>IF($A557="","",IFERROR(IF(LEN(INDEX(SUJETOS!$F$2:$F$601,MATCH($B557,SUJETOS!$A$2:$A$601,0)))&gt;0,INDEX(SUJETOS!$F$2:$F$601,MATCH($B557,SUJETOS!$A$2:$A$601,0)),$B557),$B557))</f>
        <v/>
      </c>
    </row>
    <row r="558">
      <c r="E558" s="18" t="n"/>
      <c r="K558" s="13">
        <f>IF(OR($A558="",$E558=""),"",IFERROR(E558*INDEX(CONTRATOS!$P$2:$P$601,MATCH($A558,CONTRATOS!$A$2:$A$601,0)),""))</f>
        <v/>
      </c>
      <c r="L558" s="17">
        <f>IF(OR($A558="",$E558=""),"",IFERROR(E558*INDEX(CONTRATOS!$Z$2:$Z$601,MATCH($A558,CONTRATOS!$A$2:$A$601,0)),""))</f>
        <v/>
      </c>
      <c r="M558" s="13">
        <f>IF(OR($A558="",$E558=""),"",IFERROR(E558*INDEX(CONTRATOS!$AA$2:$AA$601,MATCH($A558,CONTRATOS!$A$2:$A$601,0)),""))</f>
        <v/>
      </c>
      <c r="N558" s="19">
        <f>IF($A558="","",SUMIFS($E$2:$E$601,$A$2:$A$601,$A558))</f>
        <v/>
      </c>
      <c r="O558" s="12">
        <f>IF($A558="","",IFERROR(INDEX(CONTRATOS!$F$2:$F$601,MATCH($A558,CONTRATOS!$A$2:$A$601,0)),""))</f>
        <v/>
      </c>
      <c r="P558" s="12">
        <f>IF($A558="","",IFERROR(INDEX(CONTRATOS!$M$2:$M$601,MATCH($A558,CONTRATOS!$A$2:$A$601,0)),""))</f>
        <v/>
      </c>
      <c r="Q558" s="12">
        <f>IF($A558="","",IF(COUNTIF(CONTRATOS!$A$2:$A$601,$A558)=0,"El contrato no existe en CONTRATOS; ","")&amp;IF($B558="","Falta sujeto; ",IF(COUNTIF(SUJETOS!$A$2:$A$601,$B558)=0,"El sujeto no existe en SUJETOS; ",""))&amp;IF($E558="","Falta porcentaje; ","")&amp;IF(N558&gt;1.0001,"Los porcentajes del contrato suman más de 100 %; ","")&amp;IF(AND($C558="Individual",$E558&lt;&gt;"",$E558&lt;&gt;1),"Individual debe ser 100 %; ","")&amp;IF(AND($C558&lt;&gt;"Individual",$C558&lt;&gt;"",$E558=1),"Consorcio o UT con 100 %: revise; ","")&amp;IF(COUNTIFS($A$2:$A$601,$A558,$B$2:$B$601,$B558)&gt;1,"Participación repetida; ","")&amp;IF(AND(IFERROR(INDEX(SUJETOS!$B$2:$B$601,MATCH($B558,SUJETOS!$A$2:$A$601,0)),"")="Persona natural",$G558=""),"Persona natural sin cargo; ",""))</f>
        <v/>
      </c>
      <c r="R558" s="12">
        <f>IF($A558="","",IFERROR(IF(LEN(INDEX(SUJETOS!$F$2:$F$601,MATCH($B558,SUJETOS!$A$2:$A$601,0)))&gt;0,INDEX(SUJETOS!$F$2:$F$601,MATCH($B558,SUJETOS!$A$2:$A$601,0)),$B558),$B558))</f>
        <v/>
      </c>
    </row>
    <row r="559">
      <c r="E559" s="18" t="n"/>
      <c r="K559" s="13">
        <f>IF(OR($A559="",$E559=""),"",IFERROR(E559*INDEX(CONTRATOS!$P$2:$P$601,MATCH($A559,CONTRATOS!$A$2:$A$601,0)),""))</f>
        <v/>
      </c>
      <c r="L559" s="17">
        <f>IF(OR($A559="",$E559=""),"",IFERROR(E559*INDEX(CONTRATOS!$Z$2:$Z$601,MATCH($A559,CONTRATOS!$A$2:$A$601,0)),""))</f>
        <v/>
      </c>
      <c r="M559" s="13">
        <f>IF(OR($A559="",$E559=""),"",IFERROR(E559*INDEX(CONTRATOS!$AA$2:$AA$601,MATCH($A559,CONTRATOS!$A$2:$A$601,0)),""))</f>
        <v/>
      </c>
      <c r="N559" s="19">
        <f>IF($A559="","",SUMIFS($E$2:$E$601,$A$2:$A$601,$A559))</f>
        <v/>
      </c>
      <c r="O559" s="12">
        <f>IF($A559="","",IFERROR(INDEX(CONTRATOS!$F$2:$F$601,MATCH($A559,CONTRATOS!$A$2:$A$601,0)),""))</f>
        <v/>
      </c>
      <c r="P559" s="12">
        <f>IF($A559="","",IFERROR(INDEX(CONTRATOS!$M$2:$M$601,MATCH($A559,CONTRATOS!$A$2:$A$601,0)),""))</f>
        <v/>
      </c>
      <c r="Q559" s="12">
        <f>IF($A559="","",IF(COUNTIF(CONTRATOS!$A$2:$A$601,$A559)=0,"El contrato no existe en CONTRATOS; ","")&amp;IF($B559="","Falta sujeto; ",IF(COUNTIF(SUJETOS!$A$2:$A$601,$B559)=0,"El sujeto no existe en SUJETOS; ",""))&amp;IF($E559="","Falta porcentaje; ","")&amp;IF(N559&gt;1.0001,"Los porcentajes del contrato suman más de 100 %; ","")&amp;IF(AND($C559="Individual",$E559&lt;&gt;"",$E559&lt;&gt;1),"Individual debe ser 100 %; ","")&amp;IF(AND($C559&lt;&gt;"Individual",$C559&lt;&gt;"",$E559=1),"Consorcio o UT con 100 %: revise; ","")&amp;IF(COUNTIFS($A$2:$A$601,$A559,$B$2:$B$601,$B559)&gt;1,"Participación repetida; ","")&amp;IF(AND(IFERROR(INDEX(SUJETOS!$B$2:$B$601,MATCH($B559,SUJETOS!$A$2:$A$601,0)),"")="Persona natural",$G559=""),"Persona natural sin cargo; ",""))</f>
        <v/>
      </c>
      <c r="R559" s="12">
        <f>IF($A559="","",IFERROR(IF(LEN(INDEX(SUJETOS!$F$2:$F$601,MATCH($B559,SUJETOS!$A$2:$A$601,0)))&gt;0,INDEX(SUJETOS!$F$2:$F$601,MATCH($B559,SUJETOS!$A$2:$A$601,0)),$B559),$B559))</f>
        <v/>
      </c>
    </row>
    <row r="560">
      <c r="E560" s="18" t="n"/>
      <c r="K560" s="13">
        <f>IF(OR($A560="",$E560=""),"",IFERROR(E560*INDEX(CONTRATOS!$P$2:$P$601,MATCH($A560,CONTRATOS!$A$2:$A$601,0)),""))</f>
        <v/>
      </c>
      <c r="L560" s="17">
        <f>IF(OR($A560="",$E560=""),"",IFERROR(E560*INDEX(CONTRATOS!$Z$2:$Z$601,MATCH($A560,CONTRATOS!$A$2:$A$601,0)),""))</f>
        <v/>
      </c>
      <c r="M560" s="13">
        <f>IF(OR($A560="",$E560=""),"",IFERROR(E560*INDEX(CONTRATOS!$AA$2:$AA$601,MATCH($A560,CONTRATOS!$A$2:$A$601,0)),""))</f>
        <v/>
      </c>
      <c r="N560" s="19">
        <f>IF($A560="","",SUMIFS($E$2:$E$601,$A$2:$A$601,$A560))</f>
        <v/>
      </c>
      <c r="O560" s="12">
        <f>IF($A560="","",IFERROR(INDEX(CONTRATOS!$F$2:$F$601,MATCH($A560,CONTRATOS!$A$2:$A$601,0)),""))</f>
        <v/>
      </c>
      <c r="P560" s="12">
        <f>IF($A560="","",IFERROR(INDEX(CONTRATOS!$M$2:$M$601,MATCH($A560,CONTRATOS!$A$2:$A$601,0)),""))</f>
        <v/>
      </c>
      <c r="Q560" s="12">
        <f>IF($A560="","",IF(COUNTIF(CONTRATOS!$A$2:$A$601,$A560)=0,"El contrato no existe en CONTRATOS; ","")&amp;IF($B560="","Falta sujeto; ",IF(COUNTIF(SUJETOS!$A$2:$A$601,$B560)=0,"El sujeto no existe en SUJETOS; ",""))&amp;IF($E560="","Falta porcentaje; ","")&amp;IF(N560&gt;1.0001,"Los porcentajes del contrato suman más de 100 %; ","")&amp;IF(AND($C560="Individual",$E560&lt;&gt;"",$E560&lt;&gt;1),"Individual debe ser 100 %; ","")&amp;IF(AND($C560&lt;&gt;"Individual",$C560&lt;&gt;"",$E560=1),"Consorcio o UT con 100 %: revise; ","")&amp;IF(COUNTIFS($A$2:$A$601,$A560,$B$2:$B$601,$B560)&gt;1,"Participación repetida; ","")&amp;IF(AND(IFERROR(INDEX(SUJETOS!$B$2:$B$601,MATCH($B560,SUJETOS!$A$2:$A$601,0)),"")="Persona natural",$G560=""),"Persona natural sin cargo; ",""))</f>
        <v/>
      </c>
      <c r="R560" s="12">
        <f>IF($A560="","",IFERROR(IF(LEN(INDEX(SUJETOS!$F$2:$F$601,MATCH($B560,SUJETOS!$A$2:$A$601,0)))&gt;0,INDEX(SUJETOS!$F$2:$F$601,MATCH($B560,SUJETOS!$A$2:$A$601,0)),$B560),$B560))</f>
        <v/>
      </c>
    </row>
    <row r="561">
      <c r="E561" s="18" t="n"/>
      <c r="K561" s="13">
        <f>IF(OR($A561="",$E561=""),"",IFERROR(E561*INDEX(CONTRATOS!$P$2:$P$601,MATCH($A561,CONTRATOS!$A$2:$A$601,0)),""))</f>
        <v/>
      </c>
      <c r="L561" s="17">
        <f>IF(OR($A561="",$E561=""),"",IFERROR(E561*INDEX(CONTRATOS!$Z$2:$Z$601,MATCH($A561,CONTRATOS!$A$2:$A$601,0)),""))</f>
        <v/>
      </c>
      <c r="M561" s="13">
        <f>IF(OR($A561="",$E561=""),"",IFERROR(E561*INDEX(CONTRATOS!$AA$2:$AA$601,MATCH($A561,CONTRATOS!$A$2:$A$601,0)),""))</f>
        <v/>
      </c>
      <c r="N561" s="19">
        <f>IF($A561="","",SUMIFS($E$2:$E$601,$A$2:$A$601,$A561))</f>
        <v/>
      </c>
      <c r="O561" s="12">
        <f>IF($A561="","",IFERROR(INDEX(CONTRATOS!$F$2:$F$601,MATCH($A561,CONTRATOS!$A$2:$A$601,0)),""))</f>
        <v/>
      </c>
      <c r="P561" s="12">
        <f>IF($A561="","",IFERROR(INDEX(CONTRATOS!$M$2:$M$601,MATCH($A561,CONTRATOS!$A$2:$A$601,0)),""))</f>
        <v/>
      </c>
      <c r="Q561" s="12">
        <f>IF($A561="","",IF(COUNTIF(CONTRATOS!$A$2:$A$601,$A561)=0,"El contrato no existe en CONTRATOS; ","")&amp;IF($B561="","Falta sujeto; ",IF(COUNTIF(SUJETOS!$A$2:$A$601,$B561)=0,"El sujeto no existe en SUJETOS; ",""))&amp;IF($E561="","Falta porcentaje; ","")&amp;IF(N561&gt;1.0001,"Los porcentajes del contrato suman más de 100 %; ","")&amp;IF(AND($C561="Individual",$E561&lt;&gt;"",$E561&lt;&gt;1),"Individual debe ser 100 %; ","")&amp;IF(AND($C561&lt;&gt;"Individual",$C561&lt;&gt;"",$E561=1),"Consorcio o UT con 100 %: revise; ","")&amp;IF(COUNTIFS($A$2:$A$601,$A561,$B$2:$B$601,$B561)&gt;1,"Participación repetida; ","")&amp;IF(AND(IFERROR(INDEX(SUJETOS!$B$2:$B$601,MATCH($B561,SUJETOS!$A$2:$A$601,0)),"")="Persona natural",$G561=""),"Persona natural sin cargo; ",""))</f>
        <v/>
      </c>
      <c r="R561" s="12">
        <f>IF($A561="","",IFERROR(IF(LEN(INDEX(SUJETOS!$F$2:$F$601,MATCH($B561,SUJETOS!$A$2:$A$601,0)))&gt;0,INDEX(SUJETOS!$F$2:$F$601,MATCH($B561,SUJETOS!$A$2:$A$601,0)),$B561),$B561))</f>
        <v/>
      </c>
    </row>
    <row r="562">
      <c r="E562" s="18" t="n"/>
      <c r="K562" s="13">
        <f>IF(OR($A562="",$E562=""),"",IFERROR(E562*INDEX(CONTRATOS!$P$2:$P$601,MATCH($A562,CONTRATOS!$A$2:$A$601,0)),""))</f>
        <v/>
      </c>
      <c r="L562" s="17">
        <f>IF(OR($A562="",$E562=""),"",IFERROR(E562*INDEX(CONTRATOS!$Z$2:$Z$601,MATCH($A562,CONTRATOS!$A$2:$A$601,0)),""))</f>
        <v/>
      </c>
      <c r="M562" s="13">
        <f>IF(OR($A562="",$E562=""),"",IFERROR(E562*INDEX(CONTRATOS!$AA$2:$AA$601,MATCH($A562,CONTRATOS!$A$2:$A$601,0)),""))</f>
        <v/>
      </c>
      <c r="N562" s="19">
        <f>IF($A562="","",SUMIFS($E$2:$E$601,$A$2:$A$601,$A562))</f>
        <v/>
      </c>
      <c r="O562" s="12">
        <f>IF($A562="","",IFERROR(INDEX(CONTRATOS!$F$2:$F$601,MATCH($A562,CONTRATOS!$A$2:$A$601,0)),""))</f>
        <v/>
      </c>
      <c r="P562" s="12">
        <f>IF($A562="","",IFERROR(INDEX(CONTRATOS!$M$2:$M$601,MATCH($A562,CONTRATOS!$A$2:$A$601,0)),""))</f>
        <v/>
      </c>
      <c r="Q562" s="12">
        <f>IF($A562="","",IF(COUNTIF(CONTRATOS!$A$2:$A$601,$A562)=0,"El contrato no existe en CONTRATOS; ","")&amp;IF($B562="","Falta sujeto; ",IF(COUNTIF(SUJETOS!$A$2:$A$601,$B562)=0,"El sujeto no existe en SUJETOS; ",""))&amp;IF($E562="","Falta porcentaje; ","")&amp;IF(N562&gt;1.0001,"Los porcentajes del contrato suman más de 100 %; ","")&amp;IF(AND($C562="Individual",$E562&lt;&gt;"",$E562&lt;&gt;1),"Individual debe ser 100 %; ","")&amp;IF(AND($C562&lt;&gt;"Individual",$C562&lt;&gt;"",$E562=1),"Consorcio o UT con 100 %: revise; ","")&amp;IF(COUNTIFS($A$2:$A$601,$A562,$B$2:$B$601,$B562)&gt;1,"Participación repetida; ","")&amp;IF(AND(IFERROR(INDEX(SUJETOS!$B$2:$B$601,MATCH($B562,SUJETOS!$A$2:$A$601,0)),"")="Persona natural",$G562=""),"Persona natural sin cargo; ",""))</f>
        <v/>
      </c>
      <c r="R562" s="12">
        <f>IF($A562="","",IFERROR(IF(LEN(INDEX(SUJETOS!$F$2:$F$601,MATCH($B562,SUJETOS!$A$2:$A$601,0)))&gt;0,INDEX(SUJETOS!$F$2:$F$601,MATCH($B562,SUJETOS!$A$2:$A$601,0)),$B562),$B562))</f>
        <v/>
      </c>
    </row>
    <row r="563">
      <c r="E563" s="18" t="n"/>
      <c r="K563" s="13">
        <f>IF(OR($A563="",$E563=""),"",IFERROR(E563*INDEX(CONTRATOS!$P$2:$P$601,MATCH($A563,CONTRATOS!$A$2:$A$601,0)),""))</f>
        <v/>
      </c>
      <c r="L563" s="17">
        <f>IF(OR($A563="",$E563=""),"",IFERROR(E563*INDEX(CONTRATOS!$Z$2:$Z$601,MATCH($A563,CONTRATOS!$A$2:$A$601,0)),""))</f>
        <v/>
      </c>
      <c r="M563" s="13">
        <f>IF(OR($A563="",$E563=""),"",IFERROR(E563*INDEX(CONTRATOS!$AA$2:$AA$601,MATCH($A563,CONTRATOS!$A$2:$A$601,0)),""))</f>
        <v/>
      </c>
      <c r="N563" s="19">
        <f>IF($A563="","",SUMIFS($E$2:$E$601,$A$2:$A$601,$A563))</f>
        <v/>
      </c>
      <c r="O563" s="12">
        <f>IF($A563="","",IFERROR(INDEX(CONTRATOS!$F$2:$F$601,MATCH($A563,CONTRATOS!$A$2:$A$601,0)),""))</f>
        <v/>
      </c>
      <c r="P563" s="12">
        <f>IF($A563="","",IFERROR(INDEX(CONTRATOS!$M$2:$M$601,MATCH($A563,CONTRATOS!$A$2:$A$601,0)),""))</f>
        <v/>
      </c>
      <c r="Q563" s="12">
        <f>IF($A563="","",IF(COUNTIF(CONTRATOS!$A$2:$A$601,$A563)=0,"El contrato no existe en CONTRATOS; ","")&amp;IF($B563="","Falta sujeto; ",IF(COUNTIF(SUJETOS!$A$2:$A$601,$B563)=0,"El sujeto no existe en SUJETOS; ",""))&amp;IF($E563="","Falta porcentaje; ","")&amp;IF(N563&gt;1.0001,"Los porcentajes del contrato suman más de 100 %; ","")&amp;IF(AND($C563="Individual",$E563&lt;&gt;"",$E563&lt;&gt;1),"Individual debe ser 100 %; ","")&amp;IF(AND($C563&lt;&gt;"Individual",$C563&lt;&gt;"",$E563=1),"Consorcio o UT con 100 %: revise; ","")&amp;IF(COUNTIFS($A$2:$A$601,$A563,$B$2:$B$601,$B563)&gt;1,"Participación repetida; ","")&amp;IF(AND(IFERROR(INDEX(SUJETOS!$B$2:$B$601,MATCH($B563,SUJETOS!$A$2:$A$601,0)),"")="Persona natural",$G563=""),"Persona natural sin cargo; ",""))</f>
        <v/>
      </c>
      <c r="R563" s="12">
        <f>IF($A563="","",IFERROR(IF(LEN(INDEX(SUJETOS!$F$2:$F$601,MATCH($B563,SUJETOS!$A$2:$A$601,0)))&gt;0,INDEX(SUJETOS!$F$2:$F$601,MATCH($B563,SUJETOS!$A$2:$A$601,0)),$B563),$B563))</f>
        <v/>
      </c>
    </row>
    <row r="564">
      <c r="E564" s="18" t="n"/>
      <c r="K564" s="13">
        <f>IF(OR($A564="",$E564=""),"",IFERROR(E564*INDEX(CONTRATOS!$P$2:$P$601,MATCH($A564,CONTRATOS!$A$2:$A$601,0)),""))</f>
        <v/>
      </c>
      <c r="L564" s="17">
        <f>IF(OR($A564="",$E564=""),"",IFERROR(E564*INDEX(CONTRATOS!$Z$2:$Z$601,MATCH($A564,CONTRATOS!$A$2:$A$601,0)),""))</f>
        <v/>
      </c>
      <c r="M564" s="13">
        <f>IF(OR($A564="",$E564=""),"",IFERROR(E564*INDEX(CONTRATOS!$AA$2:$AA$601,MATCH($A564,CONTRATOS!$A$2:$A$601,0)),""))</f>
        <v/>
      </c>
      <c r="N564" s="19">
        <f>IF($A564="","",SUMIFS($E$2:$E$601,$A$2:$A$601,$A564))</f>
        <v/>
      </c>
      <c r="O564" s="12">
        <f>IF($A564="","",IFERROR(INDEX(CONTRATOS!$F$2:$F$601,MATCH($A564,CONTRATOS!$A$2:$A$601,0)),""))</f>
        <v/>
      </c>
      <c r="P564" s="12">
        <f>IF($A564="","",IFERROR(INDEX(CONTRATOS!$M$2:$M$601,MATCH($A564,CONTRATOS!$A$2:$A$601,0)),""))</f>
        <v/>
      </c>
      <c r="Q564" s="12">
        <f>IF($A564="","",IF(COUNTIF(CONTRATOS!$A$2:$A$601,$A564)=0,"El contrato no existe en CONTRATOS; ","")&amp;IF($B564="","Falta sujeto; ",IF(COUNTIF(SUJETOS!$A$2:$A$601,$B564)=0,"El sujeto no existe en SUJETOS; ",""))&amp;IF($E564="","Falta porcentaje; ","")&amp;IF(N564&gt;1.0001,"Los porcentajes del contrato suman más de 100 %; ","")&amp;IF(AND($C564="Individual",$E564&lt;&gt;"",$E564&lt;&gt;1),"Individual debe ser 100 %; ","")&amp;IF(AND($C564&lt;&gt;"Individual",$C564&lt;&gt;"",$E564=1),"Consorcio o UT con 100 %: revise; ","")&amp;IF(COUNTIFS($A$2:$A$601,$A564,$B$2:$B$601,$B564)&gt;1,"Participación repetida; ","")&amp;IF(AND(IFERROR(INDEX(SUJETOS!$B$2:$B$601,MATCH($B564,SUJETOS!$A$2:$A$601,0)),"")="Persona natural",$G564=""),"Persona natural sin cargo; ",""))</f>
        <v/>
      </c>
      <c r="R564" s="12">
        <f>IF($A564="","",IFERROR(IF(LEN(INDEX(SUJETOS!$F$2:$F$601,MATCH($B564,SUJETOS!$A$2:$A$601,0)))&gt;0,INDEX(SUJETOS!$F$2:$F$601,MATCH($B564,SUJETOS!$A$2:$A$601,0)),$B564),$B564))</f>
        <v/>
      </c>
    </row>
    <row r="565">
      <c r="E565" s="18" t="n"/>
      <c r="K565" s="13">
        <f>IF(OR($A565="",$E565=""),"",IFERROR(E565*INDEX(CONTRATOS!$P$2:$P$601,MATCH($A565,CONTRATOS!$A$2:$A$601,0)),""))</f>
        <v/>
      </c>
      <c r="L565" s="17">
        <f>IF(OR($A565="",$E565=""),"",IFERROR(E565*INDEX(CONTRATOS!$Z$2:$Z$601,MATCH($A565,CONTRATOS!$A$2:$A$601,0)),""))</f>
        <v/>
      </c>
      <c r="M565" s="13">
        <f>IF(OR($A565="",$E565=""),"",IFERROR(E565*INDEX(CONTRATOS!$AA$2:$AA$601,MATCH($A565,CONTRATOS!$A$2:$A$601,0)),""))</f>
        <v/>
      </c>
      <c r="N565" s="19">
        <f>IF($A565="","",SUMIFS($E$2:$E$601,$A$2:$A$601,$A565))</f>
        <v/>
      </c>
      <c r="O565" s="12">
        <f>IF($A565="","",IFERROR(INDEX(CONTRATOS!$F$2:$F$601,MATCH($A565,CONTRATOS!$A$2:$A$601,0)),""))</f>
        <v/>
      </c>
      <c r="P565" s="12">
        <f>IF($A565="","",IFERROR(INDEX(CONTRATOS!$M$2:$M$601,MATCH($A565,CONTRATOS!$A$2:$A$601,0)),""))</f>
        <v/>
      </c>
      <c r="Q565" s="12">
        <f>IF($A565="","",IF(COUNTIF(CONTRATOS!$A$2:$A$601,$A565)=0,"El contrato no existe en CONTRATOS; ","")&amp;IF($B565="","Falta sujeto; ",IF(COUNTIF(SUJETOS!$A$2:$A$601,$B565)=0,"El sujeto no existe en SUJETOS; ",""))&amp;IF($E565="","Falta porcentaje; ","")&amp;IF(N565&gt;1.0001,"Los porcentajes del contrato suman más de 100 %; ","")&amp;IF(AND($C565="Individual",$E565&lt;&gt;"",$E565&lt;&gt;1),"Individual debe ser 100 %; ","")&amp;IF(AND($C565&lt;&gt;"Individual",$C565&lt;&gt;"",$E565=1),"Consorcio o UT con 100 %: revise; ","")&amp;IF(COUNTIFS($A$2:$A$601,$A565,$B$2:$B$601,$B565)&gt;1,"Participación repetida; ","")&amp;IF(AND(IFERROR(INDEX(SUJETOS!$B$2:$B$601,MATCH($B565,SUJETOS!$A$2:$A$601,0)),"")="Persona natural",$G565=""),"Persona natural sin cargo; ",""))</f>
        <v/>
      </c>
      <c r="R565" s="12">
        <f>IF($A565="","",IFERROR(IF(LEN(INDEX(SUJETOS!$F$2:$F$601,MATCH($B565,SUJETOS!$A$2:$A$601,0)))&gt;0,INDEX(SUJETOS!$F$2:$F$601,MATCH($B565,SUJETOS!$A$2:$A$601,0)),$B565),$B565))</f>
        <v/>
      </c>
    </row>
    <row r="566">
      <c r="E566" s="18" t="n"/>
      <c r="K566" s="13">
        <f>IF(OR($A566="",$E566=""),"",IFERROR(E566*INDEX(CONTRATOS!$P$2:$P$601,MATCH($A566,CONTRATOS!$A$2:$A$601,0)),""))</f>
        <v/>
      </c>
      <c r="L566" s="17">
        <f>IF(OR($A566="",$E566=""),"",IFERROR(E566*INDEX(CONTRATOS!$Z$2:$Z$601,MATCH($A566,CONTRATOS!$A$2:$A$601,0)),""))</f>
        <v/>
      </c>
      <c r="M566" s="13">
        <f>IF(OR($A566="",$E566=""),"",IFERROR(E566*INDEX(CONTRATOS!$AA$2:$AA$601,MATCH($A566,CONTRATOS!$A$2:$A$601,0)),""))</f>
        <v/>
      </c>
      <c r="N566" s="19">
        <f>IF($A566="","",SUMIFS($E$2:$E$601,$A$2:$A$601,$A566))</f>
        <v/>
      </c>
      <c r="O566" s="12">
        <f>IF($A566="","",IFERROR(INDEX(CONTRATOS!$F$2:$F$601,MATCH($A566,CONTRATOS!$A$2:$A$601,0)),""))</f>
        <v/>
      </c>
      <c r="P566" s="12">
        <f>IF($A566="","",IFERROR(INDEX(CONTRATOS!$M$2:$M$601,MATCH($A566,CONTRATOS!$A$2:$A$601,0)),""))</f>
        <v/>
      </c>
      <c r="Q566" s="12">
        <f>IF($A566="","",IF(COUNTIF(CONTRATOS!$A$2:$A$601,$A566)=0,"El contrato no existe en CONTRATOS; ","")&amp;IF($B566="","Falta sujeto; ",IF(COUNTIF(SUJETOS!$A$2:$A$601,$B566)=0,"El sujeto no existe en SUJETOS; ",""))&amp;IF($E566="","Falta porcentaje; ","")&amp;IF(N566&gt;1.0001,"Los porcentajes del contrato suman más de 100 %; ","")&amp;IF(AND($C566="Individual",$E566&lt;&gt;"",$E566&lt;&gt;1),"Individual debe ser 100 %; ","")&amp;IF(AND($C566&lt;&gt;"Individual",$C566&lt;&gt;"",$E566=1),"Consorcio o UT con 100 %: revise; ","")&amp;IF(COUNTIFS($A$2:$A$601,$A566,$B$2:$B$601,$B566)&gt;1,"Participación repetida; ","")&amp;IF(AND(IFERROR(INDEX(SUJETOS!$B$2:$B$601,MATCH($B566,SUJETOS!$A$2:$A$601,0)),"")="Persona natural",$G566=""),"Persona natural sin cargo; ",""))</f>
        <v/>
      </c>
      <c r="R566" s="12">
        <f>IF($A566="","",IFERROR(IF(LEN(INDEX(SUJETOS!$F$2:$F$601,MATCH($B566,SUJETOS!$A$2:$A$601,0)))&gt;0,INDEX(SUJETOS!$F$2:$F$601,MATCH($B566,SUJETOS!$A$2:$A$601,0)),$B566),$B566))</f>
        <v/>
      </c>
    </row>
    <row r="567">
      <c r="E567" s="18" t="n"/>
      <c r="K567" s="13">
        <f>IF(OR($A567="",$E567=""),"",IFERROR(E567*INDEX(CONTRATOS!$P$2:$P$601,MATCH($A567,CONTRATOS!$A$2:$A$601,0)),""))</f>
        <v/>
      </c>
      <c r="L567" s="17">
        <f>IF(OR($A567="",$E567=""),"",IFERROR(E567*INDEX(CONTRATOS!$Z$2:$Z$601,MATCH($A567,CONTRATOS!$A$2:$A$601,0)),""))</f>
        <v/>
      </c>
      <c r="M567" s="13">
        <f>IF(OR($A567="",$E567=""),"",IFERROR(E567*INDEX(CONTRATOS!$AA$2:$AA$601,MATCH($A567,CONTRATOS!$A$2:$A$601,0)),""))</f>
        <v/>
      </c>
      <c r="N567" s="19">
        <f>IF($A567="","",SUMIFS($E$2:$E$601,$A$2:$A$601,$A567))</f>
        <v/>
      </c>
      <c r="O567" s="12">
        <f>IF($A567="","",IFERROR(INDEX(CONTRATOS!$F$2:$F$601,MATCH($A567,CONTRATOS!$A$2:$A$601,0)),""))</f>
        <v/>
      </c>
      <c r="P567" s="12">
        <f>IF($A567="","",IFERROR(INDEX(CONTRATOS!$M$2:$M$601,MATCH($A567,CONTRATOS!$A$2:$A$601,0)),""))</f>
        <v/>
      </c>
      <c r="Q567" s="12">
        <f>IF($A567="","",IF(COUNTIF(CONTRATOS!$A$2:$A$601,$A567)=0,"El contrato no existe en CONTRATOS; ","")&amp;IF($B567="","Falta sujeto; ",IF(COUNTIF(SUJETOS!$A$2:$A$601,$B567)=0,"El sujeto no existe en SUJETOS; ",""))&amp;IF($E567="","Falta porcentaje; ","")&amp;IF(N567&gt;1.0001,"Los porcentajes del contrato suman más de 100 %; ","")&amp;IF(AND($C567="Individual",$E567&lt;&gt;"",$E567&lt;&gt;1),"Individual debe ser 100 %; ","")&amp;IF(AND($C567&lt;&gt;"Individual",$C567&lt;&gt;"",$E567=1),"Consorcio o UT con 100 %: revise; ","")&amp;IF(COUNTIFS($A$2:$A$601,$A567,$B$2:$B$601,$B567)&gt;1,"Participación repetida; ","")&amp;IF(AND(IFERROR(INDEX(SUJETOS!$B$2:$B$601,MATCH($B567,SUJETOS!$A$2:$A$601,0)),"")="Persona natural",$G567=""),"Persona natural sin cargo; ",""))</f>
        <v/>
      </c>
      <c r="R567" s="12">
        <f>IF($A567="","",IFERROR(IF(LEN(INDEX(SUJETOS!$F$2:$F$601,MATCH($B567,SUJETOS!$A$2:$A$601,0)))&gt;0,INDEX(SUJETOS!$F$2:$F$601,MATCH($B567,SUJETOS!$A$2:$A$601,0)),$B567),$B567))</f>
        <v/>
      </c>
    </row>
    <row r="568">
      <c r="E568" s="18" t="n"/>
      <c r="K568" s="13">
        <f>IF(OR($A568="",$E568=""),"",IFERROR(E568*INDEX(CONTRATOS!$P$2:$P$601,MATCH($A568,CONTRATOS!$A$2:$A$601,0)),""))</f>
        <v/>
      </c>
      <c r="L568" s="17">
        <f>IF(OR($A568="",$E568=""),"",IFERROR(E568*INDEX(CONTRATOS!$Z$2:$Z$601,MATCH($A568,CONTRATOS!$A$2:$A$601,0)),""))</f>
        <v/>
      </c>
      <c r="M568" s="13">
        <f>IF(OR($A568="",$E568=""),"",IFERROR(E568*INDEX(CONTRATOS!$AA$2:$AA$601,MATCH($A568,CONTRATOS!$A$2:$A$601,0)),""))</f>
        <v/>
      </c>
      <c r="N568" s="19">
        <f>IF($A568="","",SUMIFS($E$2:$E$601,$A$2:$A$601,$A568))</f>
        <v/>
      </c>
      <c r="O568" s="12">
        <f>IF($A568="","",IFERROR(INDEX(CONTRATOS!$F$2:$F$601,MATCH($A568,CONTRATOS!$A$2:$A$601,0)),""))</f>
        <v/>
      </c>
      <c r="P568" s="12">
        <f>IF($A568="","",IFERROR(INDEX(CONTRATOS!$M$2:$M$601,MATCH($A568,CONTRATOS!$A$2:$A$601,0)),""))</f>
        <v/>
      </c>
      <c r="Q568" s="12">
        <f>IF($A568="","",IF(COUNTIF(CONTRATOS!$A$2:$A$601,$A568)=0,"El contrato no existe en CONTRATOS; ","")&amp;IF($B568="","Falta sujeto; ",IF(COUNTIF(SUJETOS!$A$2:$A$601,$B568)=0,"El sujeto no existe en SUJETOS; ",""))&amp;IF($E568="","Falta porcentaje; ","")&amp;IF(N568&gt;1.0001,"Los porcentajes del contrato suman más de 100 %; ","")&amp;IF(AND($C568="Individual",$E568&lt;&gt;"",$E568&lt;&gt;1),"Individual debe ser 100 %; ","")&amp;IF(AND($C568&lt;&gt;"Individual",$C568&lt;&gt;"",$E568=1),"Consorcio o UT con 100 %: revise; ","")&amp;IF(COUNTIFS($A$2:$A$601,$A568,$B$2:$B$601,$B568)&gt;1,"Participación repetida; ","")&amp;IF(AND(IFERROR(INDEX(SUJETOS!$B$2:$B$601,MATCH($B568,SUJETOS!$A$2:$A$601,0)),"")="Persona natural",$G568=""),"Persona natural sin cargo; ",""))</f>
        <v/>
      </c>
      <c r="R568" s="12">
        <f>IF($A568="","",IFERROR(IF(LEN(INDEX(SUJETOS!$F$2:$F$601,MATCH($B568,SUJETOS!$A$2:$A$601,0)))&gt;0,INDEX(SUJETOS!$F$2:$F$601,MATCH($B568,SUJETOS!$A$2:$A$601,0)),$B568),$B568))</f>
        <v/>
      </c>
    </row>
    <row r="569">
      <c r="E569" s="18" t="n"/>
      <c r="K569" s="13">
        <f>IF(OR($A569="",$E569=""),"",IFERROR(E569*INDEX(CONTRATOS!$P$2:$P$601,MATCH($A569,CONTRATOS!$A$2:$A$601,0)),""))</f>
        <v/>
      </c>
      <c r="L569" s="17">
        <f>IF(OR($A569="",$E569=""),"",IFERROR(E569*INDEX(CONTRATOS!$Z$2:$Z$601,MATCH($A569,CONTRATOS!$A$2:$A$601,0)),""))</f>
        <v/>
      </c>
      <c r="M569" s="13">
        <f>IF(OR($A569="",$E569=""),"",IFERROR(E569*INDEX(CONTRATOS!$AA$2:$AA$601,MATCH($A569,CONTRATOS!$A$2:$A$601,0)),""))</f>
        <v/>
      </c>
      <c r="N569" s="19">
        <f>IF($A569="","",SUMIFS($E$2:$E$601,$A$2:$A$601,$A569))</f>
        <v/>
      </c>
      <c r="O569" s="12">
        <f>IF($A569="","",IFERROR(INDEX(CONTRATOS!$F$2:$F$601,MATCH($A569,CONTRATOS!$A$2:$A$601,0)),""))</f>
        <v/>
      </c>
      <c r="P569" s="12">
        <f>IF($A569="","",IFERROR(INDEX(CONTRATOS!$M$2:$M$601,MATCH($A569,CONTRATOS!$A$2:$A$601,0)),""))</f>
        <v/>
      </c>
      <c r="Q569" s="12">
        <f>IF($A569="","",IF(COUNTIF(CONTRATOS!$A$2:$A$601,$A569)=0,"El contrato no existe en CONTRATOS; ","")&amp;IF($B569="","Falta sujeto; ",IF(COUNTIF(SUJETOS!$A$2:$A$601,$B569)=0,"El sujeto no existe en SUJETOS; ",""))&amp;IF($E569="","Falta porcentaje; ","")&amp;IF(N569&gt;1.0001,"Los porcentajes del contrato suman más de 100 %; ","")&amp;IF(AND($C569="Individual",$E569&lt;&gt;"",$E569&lt;&gt;1),"Individual debe ser 100 %; ","")&amp;IF(AND($C569&lt;&gt;"Individual",$C569&lt;&gt;"",$E569=1),"Consorcio o UT con 100 %: revise; ","")&amp;IF(COUNTIFS($A$2:$A$601,$A569,$B$2:$B$601,$B569)&gt;1,"Participación repetida; ","")&amp;IF(AND(IFERROR(INDEX(SUJETOS!$B$2:$B$601,MATCH($B569,SUJETOS!$A$2:$A$601,0)),"")="Persona natural",$G569=""),"Persona natural sin cargo; ",""))</f>
        <v/>
      </c>
      <c r="R569" s="12">
        <f>IF($A569="","",IFERROR(IF(LEN(INDEX(SUJETOS!$F$2:$F$601,MATCH($B569,SUJETOS!$A$2:$A$601,0)))&gt;0,INDEX(SUJETOS!$F$2:$F$601,MATCH($B569,SUJETOS!$A$2:$A$601,0)),$B569),$B569))</f>
        <v/>
      </c>
    </row>
    <row r="570">
      <c r="E570" s="18" t="n"/>
      <c r="K570" s="13">
        <f>IF(OR($A570="",$E570=""),"",IFERROR(E570*INDEX(CONTRATOS!$P$2:$P$601,MATCH($A570,CONTRATOS!$A$2:$A$601,0)),""))</f>
        <v/>
      </c>
      <c r="L570" s="17">
        <f>IF(OR($A570="",$E570=""),"",IFERROR(E570*INDEX(CONTRATOS!$Z$2:$Z$601,MATCH($A570,CONTRATOS!$A$2:$A$601,0)),""))</f>
        <v/>
      </c>
      <c r="M570" s="13">
        <f>IF(OR($A570="",$E570=""),"",IFERROR(E570*INDEX(CONTRATOS!$AA$2:$AA$601,MATCH($A570,CONTRATOS!$A$2:$A$601,0)),""))</f>
        <v/>
      </c>
      <c r="N570" s="19">
        <f>IF($A570="","",SUMIFS($E$2:$E$601,$A$2:$A$601,$A570))</f>
        <v/>
      </c>
      <c r="O570" s="12">
        <f>IF($A570="","",IFERROR(INDEX(CONTRATOS!$F$2:$F$601,MATCH($A570,CONTRATOS!$A$2:$A$601,0)),""))</f>
        <v/>
      </c>
      <c r="P570" s="12">
        <f>IF($A570="","",IFERROR(INDEX(CONTRATOS!$M$2:$M$601,MATCH($A570,CONTRATOS!$A$2:$A$601,0)),""))</f>
        <v/>
      </c>
      <c r="Q570" s="12">
        <f>IF($A570="","",IF(COUNTIF(CONTRATOS!$A$2:$A$601,$A570)=0,"El contrato no existe en CONTRATOS; ","")&amp;IF($B570="","Falta sujeto; ",IF(COUNTIF(SUJETOS!$A$2:$A$601,$B570)=0,"El sujeto no existe en SUJETOS; ",""))&amp;IF($E570="","Falta porcentaje; ","")&amp;IF(N570&gt;1.0001,"Los porcentajes del contrato suman más de 100 %; ","")&amp;IF(AND($C570="Individual",$E570&lt;&gt;"",$E570&lt;&gt;1),"Individual debe ser 100 %; ","")&amp;IF(AND($C570&lt;&gt;"Individual",$C570&lt;&gt;"",$E570=1),"Consorcio o UT con 100 %: revise; ","")&amp;IF(COUNTIFS($A$2:$A$601,$A570,$B$2:$B$601,$B570)&gt;1,"Participación repetida; ","")&amp;IF(AND(IFERROR(INDEX(SUJETOS!$B$2:$B$601,MATCH($B570,SUJETOS!$A$2:$A$601,0)),"")="Persona natural",$G570=""),"Persona natural sin cargo; ",""))</f>
        <v/>
      </c>
      <c r="R570" s="12">
        <f>IF($A570="","",IFERROR(IF(LEN(INDEX(SUJETOS!$F$2:$F$601,MATCH($B570,SUJETOS!$A$2:$A$601,0)))&gt;0,INDEX(SUJETOS!$F$2:$F$601,MATCH($B570,SUJETOS!$A$2:$A$601,0)),$B570),$B570))</f>
        <v/>
      </c>
    </row>
    <row r="571">
      <c r="E571" s="18" t="n"/>
      <c r="K571" s="13">
        <f>IF(OR($A571="",$E571=""),"",IFERROR(E571*INDEX(CONTRATOS!$P$2:$P$601,MATCH($A571,CONTRATOS!$A$2:$A$601,0)),""))</f>
        <v/>
      </c>
      <c r="L571" s="17">
        <f>IF(OR($A571="",$E571=""),"",IFERROR(E571*INDEX(CONTRATOS!$Z$2:$Z$601,MATCH($A571,CONTRATOS!$A$2:$A$601,0)),""))</f>
        <v/>
      </c>
      <c r="M571" s="13">
        <f>IF(OR($A571="",$E571=""),"",IFERROR(E571*INDEX(CONTRATOS!$AA$2:$AA$601,MATCH($A571,CONTRATOS!$A$2:$A$601,0)),""))</f>
        <v/>
      </c>
      <c r="N571" s="19">
        <f>IF($A571="","",SUMIFS($E$2:$E$601,$A$2:$A$601,$A571))</f>
        <v/>
      </c>
      <c r="O571" s="12">
        <f>IF($A571="","",IFERROR(INDEX(CONTRATOS!$F$2:$F$601,MATCH($A571,CONTRATOS!$A$2:$A$601,0)),""))</f>
        <v/>
      </c>
      <c r="P571" s="12">
        <f>IF($A571="","",IFERROR(INDEX(CONTRATOS!$M$2:$M$601,MATCH($A571,CONTRATOS!$A$2:$A$601,0)),""))</f>
        <v/>
      </c>
      <c r="Q571" s="12">
        <f>IF($A571="","",IF(COUNTIF(CONTRATOS!$A$2:$A$601,$A571)=0,"El contrato no existe en CONTRATOS; ","")&amp;IF($B571="","Falta sujeto; ",IF(COUNTIF(SUJETOS!$A$2:$A$601,$B571)=0,"El sujeto no existe en SUJETOS; ",""))&amp;IF($E571="","Falta porcentaje; ","")&amp;IF(N571&gt;1.0001,"Los porcentajes del contrato suman más de 100 %; ","")&amp;IF(AND($C571="Individual",$E571&lt;&gt;"",$E571&lt;&gt;1),"Individual debe ser 100 %; ","")&amp;IF(AND($C571&lt;&gt;"Individual",$C571&lt;&gt;"",$E571=1),"Consorcio o UT con 100 %: revise; ","")&amp;IF(COUNTIFS($A$2:$A$601,$A571,$B$2:$B$601,$B571)&gt;1,"Participación repetida; ","")&amp;IF(AND(IFERROR(INDEX(SUJETOS!$B$2:$B$601,MATCH($B571,SUJETOS!$A$2:$A$601,0)),"")="Persona natural",$G571=""),"Persona natural sin cargo; ",""))</f>
        <v/>
      </c>
      <c r="R571" s="12">
        <f>IF($A571="","",IFERROR(IF(LEN(INDEX(SUJETOS!$F$2:$F$601,MATCH($B571,SUJETOS!$A$2:$A$601,0)))&gt;0,INDEX(SUJETOS!$F$2:$F$601,MATCH($B571,SUJETOS!$A$2:$A$601,0)),$B571),$B571))</f>
        <v/>
      </c>
    </row>
    <row r="572">
      <c r="E572" s="18" t="n"/>
      <c r="K572" s="13">
        <f>IF(OR($A572="",$E572=""),"",IFERROR(E572*INDEX(CONTRATOS!$P$2:$P$601,MATCH($A572,CONTRATOS!$A$2:$A$601,0)),""))</f>
        <v/>
      </c>
      <c r="L572" s="17">
        <f>IF(OR($A572="",$E572=""),"",IFERROR(E572*INDEX(CONTRATOS!$Z$2:$Z$601,MATCH($A572,CONTRATOS!$A$2:$A$601,0)),""))</f>
        <v/>
      </c>
      <c r="M572" s="13">
        <f>IF(OR($A572="",$E572=""),"",IFERROR(E572*INDEX(CONTRATOS!$AA$2:$AA$601,MATCH($A572,CONTRATOS!$A$2:$A$601,0)),""))</f>
        <v/>
      </c>
      <c r="N572" s="19">
        <f>IF($A572="","",SUMIFS($E$2:$E$601,$A$2:$A$601,$A572))</f>
        <v/>
      </c>
      <c r="O572" s="12">
        <f>IF($A572="","",IFERROR(INDEX(CONTRATOS!$F$2:$F$601,MATCH($A572,CONTRATOS!$A$2:$A$601,0)),""))</f>
        <v/>
      </c>
      <c r="P572" s="12">
        <f>IF($A572="","",IFERROR(INDEX(CONTRATOS!$M$2:$M$601,MATCH($A572,CONTRATOS!$A$2:$A$601,0)),""))</f>
        <v/>
      </c>
      <c r="Q572" s="12">
        <f>IF($A572="","",IF(COUNTIF(CONTRATOS!$A$2:$A$601,$A572)=0,"El contrato no existe en CONTRATOS; ","")&amp;IF($B572="","Falta sujeto; ",IF(COUNTIF(SUJETOS!$A$2:$A$601,$B572)=0,"El sujeto no existe en SUJETOS; ",""))&amp;IF($E572="","Falta porcentaje; ","")&amp;IF(N572&gt;1.0001,"Los porcentajes del contrato suman más de 100 %; ","")&amp;IF(AND($C572="Individual",$E572&lt;&gt;"",$E572&lt;&gt;1),"Individual debe ser 100 %; ","")&amp;IF(AND($C572&lt;&gt;"Individual",$C572&lt;&gt;"",$E572=1),"Consorcio o UT con 100 %: revise; ","")&amp;IF(COUNTIFS($A$2:$A$601,$A572,$B$2:$B$601,$B572)&gt;1,"Participación repetida; ","")&amp;IF(AND(IFERROR(INDEX(SUJETOS!$B$2:$B$601,MATCH($B572,SUJETOS!$A$2:$A$601,0)),"")="Persona natural",$G572=""),"Persona natural sin cargo; ",""))</f>
        <v/>
      </c>
      <c r="R572" s="12">
        <f>IF($A572="","",IFERROR(IF(LEN(INDEX(SUJETOS!$F$2:$F$601,MATCH($B572,SUJETOS!$A$2:$A$601,0)))&gt;0,INDEX(SUJETOS!$F$2:$F$601,MATCH($B572,SUJETOS!$A$2:$A$601,0)),$B572),$B572))</f>
        <v/>
      </c>
    </row>
    <row r="573">
      <c r="E573" s="18" t="n"/>
      <c r="K573" s="13">
        <f>IF(OR($A573="",$E573=""),"",IFERROR(E573*INDEX(CONTRATOS!$P$2:$P$601,MATCH($A573,CONTRATOS!$A$2:$A$601,0)),""))</f>
        <v/>
      </c>
      <c r="L573" s="17">
        <f>IF(OR($A573="",$E573=""),"",IFERROR(E573*INDEX(CONTRATOS!$Z$2:$Z$601,MATCH($A573,CONTRATOS!$A$2:$A$601,0)),""))</f>
        <v/>
      </c>
      <c r="M573" s="13">
        <f>IF(OR($A573="",$E573=""),"",IFERROR(E573*INDEX(CONTRATOS!$AA$2:$AA$601,MATCH($A573,CONTRATOS!$A$2:$A$601,0)),""))</f>
        <v/>
      </c>
      <c r="N573" s="19">
        <f>IF($A573="","",SUMIFS($E$2:$E$601,$A$2:$A$601,$A573))</f>
        <v/>
      </c>
      <c r="O573" s="12">
        <f>IF($A573="","",IFERROR(INDEX(CONTRATOS!$F$2:$F$601,MATCH($A573,CONTRATOS!$A$2:$A$601,0)),""))</f>
        <v/>
      </c>
      <c r="P573" s="12">
        <f>IF($A573="","",IFERROR(INDEX(CONTRATOS!$M$2:$M$601,MATCH($A573,CONTRATOS!$A$2:$A$601,0)),""))</f>
        <v/>
      </c>
      <c r="Q573" s="12">
        <f>IF($A573="","",IF(COUNTIF(CONTRATOS!$A$2:$A$601,$A573)=0,"El contrato no existe en CONTRATOS; ","")&amp;IF($B573="","Falta sujeto; ",IF(COUNTIF(SUJETOS!$A$2:$A$601,$B573)=0,"El sujeto no existe en SUJETOS; ",""))&amp;IF($E573="","Falta porcentaje; ","")&amp;IF(N573&gt;1.0001,"Los porcentajes del contrato suman más de 100 %; ","")&amp;IF(AND($C573="Individual",$E573&lt;&gt;"",$E573&lt;&gt;1),"Individual debe ser 100 %; ","")&amp;IF(AND($C573&lt;&gt;"Individual",$C573&lt;&gt;"",$E573=1),"Consorcio o UT con 100 %: revise; ","")&amp;IF(COUNTIFS($A$2:$A$601,$A573,$B$2:$B$601,$B573)&gt;1,"Participación repetida; ","")&amp;IF(AND(IFERROR(INDEX(SUJETOS!$B$2:$B$601,MATCH($B573,SUJETOS!$A$2:$A$601,0)),"")="Persona natural",$G573=""),"Persona natural sin cargo; ",""))</f>
        <v/>
      </c>
      <c r="R573" s="12">
        <f>IF($A573="","",IFERROR(IF(LEN(INDEX(SUJETOS!$F$2:$F$601,MATCH($B573,SUJETOS!$A$2:$A$601,0)))&gt;0,INDEX(SUJETOS!$F$2:$F$601,MATCH($B573,SUJETOS!$A$2:$A$601,0)),$B573),$B573))</f>
        <v/>
      </c>
    </row>
    <row r="574">
      <c r="E574" s="18" t="n"/>
      <c r="K574" s="13">
        <f>IF(OR($A574="",$E574=""),"",IFERROR(E574*INDEX(CONTRATOS!$P$2:$P$601,MATCH($A574,CONTRATOS!$A$2:$A$601,0)),""))</f>
        <v/>
      </c>
      <c r="L574" s="17">
        <f>IF(OR($A574="",$E574=""),"",IFERROR(E574*INDEX(CONTRATOS!$Z$2:$Z$601,MATCH($A574,CONTRATOS!$A$2:$A$601,0)),""))</f>
        <v/>
      </c>
      <c r="M574" s="13">
        <f>IF(OR($A574="",$E574=""),"",IFERROR(E574*INDEX(CONTRATOS!$AA$2:$AA$601,MATCH($A574,CONTRATOS!$A$2:$A$601,0)),""))</f>
        <v/>
      </c>
      <c r="N574" s="19">
        <f>IF($A574="","",SUMIFS($E$2:$E$601,$A$2:$A$601,$A574))</f>
        <v/>
      </c>
      <c r="O574" s="12">
        <f>IF($A574="","",IFERROR(INDEX(CONTRATOS!$F$2:$F$601,MATCH($A574,CONTRATOS!$A$2:$A$601,0)),""))</f>
        <v/>
      </c>
      <c r="P574" s="12">
        <f>IF($A574="","",IFERROR(INDEX(CONTRATOS!$M$2:$M$601,MATCH($A574,CONTRATOS!$A$2:$A$601,0)),""))</f>
        <v/>
      </c>
      <c r="Q574" s="12">
        <f>IF($A574="","",IF(COUNTIF(CONTRATOS!$A$2:$A$601,$A574)=0,"El contrato no existe en CONTRATOS; ","")&amp;IF($B574="","Falta sujeto; ",IF(COUNTIF(SUJETOS!$A$2:$A$601,$B574)=0,"El sujeto no existe en SUJETOS; ",""))&amp;IF($E574="","Falta porcentaje; ","")&amp;IF(N574&gt;1.0001,"Los porcentajes del contrato suman más de 100 %; ","")&amp;IF(AND($C574="Individual",$E574&lt;&gt;"",$E574&lt;&gt;1),"Individual debe ser 100 %; ","")&amp;IF(AND($C574&lt;&gt;"Individual",$C574&lt;&gt;"",$E574=1),"Consorcio o UT con 100 %: revise; ","")&amp;IF(COUNTIFS($A$2:$A$601,$A574,$B$2:$B$601,$B574)&gt;1,"Participación repetida; ","")&amp;IF(AND(IFERROR(INDEX(SUJETOS!$B$2:$B$601,MATCH($B574,SUJETOS!$A$2:$A$601,0)),"")="Persona natural",$G574=""),"Persona natural sin cargo; ",""))</f>
        <v/>
      </c>
      <c r="R574" s="12">
        <f>IF($A574="","",IFERROR(IF(LEN(INDEX(SUJETOS!$F$2:$F$601,MATCH($B574,SUJETOS!$A$2:$A$601,0)))&gt;0,INDEX(SUJETOS!$F$2:$F$601,MATCH($B574,SUJETOS!$A$2:$A$601,0)),$B574),$B574))</f>
        <v/>
      </c>
    </row>
    <row r="575">
      <c r="E575" s="18" t="n"/>
      <c r="K575" s="13">
        <f>IF(OR($A575="",$E575=""),"",IFERROR(E575*INDEX(CONTRATOS!$P$2:$P$601,MATCH($A575,CONTRATOS!$A$2:$A$601,0)),""))</f>
        <v/>
      </c>
      <c r="L575" s="17">
        <f>IF(OR($A575="",$E575=""),"",IFERROR(E575*INDEX(CONTRATOS!$Z$2:$Z$601,MATCH($A575,CONTRATOS!$A$2:$A$601,0)),""))</f>
        <v/>
      </c>
      <c r="M575" s="13">
        <f>IF(OR($A575="",$E575=""),"",IFERROR(E575*INDEX(CONTRATOS!$AA$2:$AA$601,MATCH($A575,CONTRATOS!$A$2:$A$601,0)),""))</f>
        <v/>
      </c>
      <c r="N575" s="19">
        <f>IF($A575="","",SUMIFS($E$2:$E$601,$A$2:$A$601,$A575))</f>
        <v/>
      </c>
      <c r="O575" s="12">
        <f>IF($A575="","",IFERROR(INDEX(CONTRATOS!$F$2:$F$601,MATCH($A575,CONTRATOS!$A$2:$A$601,0)),""))</f>
        <v/>
      </c>
      <c r="P575" s="12">
        <f>IF($A575="","",IFERROR(INDEX(CONTRATOS!$M$2:$M$601,MATCH($A575,CONTRATOS!$A$2:$A$601,0)),""))</f>
        <v/>
      </c>
      <c r="Q575" s="12">
        <f>IF($A575="","",IF(COUNTIF(CONTRATOS!$A$2:$A$601,$A575)=0,"El contrato no existe en CONTRATOS; ","")&amp;IF($B575="","Falta sujeto; ",IF(COUNTIF(SUJETOS!$A$2:$A$601,$B575)=0,"El sujeto no existe en SUJETOS; ",""))&amp;IF($E575="","Falta porcentaje; ","")&amp;IF(N575&gt;1.0001,"Los porcentajes del contrato suman más de 100 %; ","")&amp;IF(AND($C575="Individual",$E575&lt;&gt;"",$E575&lt;&gt;1),"Individual debe ser 100 %; ","")&amp;IF(AND($C575&lt;&gt;"Individual",$C575&lt;&gt;"",$E575=1),"Consorcio o UT con 100 %: revise; ","")&amp;IF(COUNTIFS($A$2:$A$601,$A575,$B$2:$B$601,$B575)&gt;1,"Participación repetida; ","")&amp;IF(AND(IFERROR(INDEX(SUJETOS!$B$2:$B$601,MATCH($B575,SUJETOS!$A$2:$A$601,0)),"")="Persona natural",$G575=""),"Persona natural sin cargo; ",""))</f>
        <v/>
      </c>
      <c r="R575" s="12">
        <f>IF($A575="","",IFERROR(IF(LEN(INDEX(SUJETOS!$F$2:$F$601,MATCH($B575,SUJETOS!$A$2:$A$601,0)))&gt;0,INDEX(SUJETOS!$F$2:$F$601,MATCH($B575,SUJETOS!$A$2:$A$601,0)),$B575),$B575))</f>
        <v/>
      </c>
    </row>
    <row r="576">
      <c r="E576" s="18" t="n"/>
      <c r="K576" s="13">
        <f>IF(OR($A576="",$E576=""),"",IFERROR(E576*INDEX(CONTRATOS!$P$2:$P$601,MATCH($A576,CONTRATOS!$A$2:$A$601,0)),""))</f>
        <v/>
      </c>
      <c r="L576" s="17">
        <f>IF(OR($A576="",$E576=""),"",IFERROR(E576*INDEX(CONTRATOS!$Z$2:$Z$601,MATCH($A576,CONTRATOS!$A$2:$A$601,0)),""))</f>
        <v/>
      </c>
      <c r="M576" s="13">
        <f>IF(OR($A576="",$E576=""),"",IFERROR(E576*INDEX(CONTRATOS!$AA$2:$AA$601,MATCH($A576,CONTRATOS!$A$2:$A$601,0)),""))</f>
        <v/>
      </c>
      <c r="N576" s="19">
        <f>IF($A576="","",SUMIFS($E$2:$E$601,$A$2:$A$601,$A576))</f>
        <v/>
      </c>
      <c r="O576" s="12">
        <f>IF($A576="","",IFERROR(INDEX(CONTRATOS!$F$2:$F$601,MATCH($A576,CONTRATOS!$A$2:$A$601,0)),""))</f>
        <v/>
      </c>
      <c r="P576" s="12">
        <f>IF($A576="","",IFERROR(INDEX(CONTRATOS!$M$2:$M$601,MATCH($A576,CONTRATOS!$A$2:$A$601,0)),""))</f>
        <v/>
      </c>
      <c r="Q576" s="12">
        <f>IF($A576="","",IF(COUNTIF(CONTRATOS!$A$2:$A$601,$A576)=0,"El contrato no existe en CONTRATOS; ","")&amp;IF($B576="","Falta sujeto; ",IF(COUNTIF(SUJETOS!$A$2:$A$601,$B576)=0,"El sujeto no existe en SUJETOS; ",""))&amp;IF($E576="","Falta porcentaje; ","")&amp;IF(N576&gt;1.0001,"Los porcentajes del contrato suman más de 100 %; ","")&amp;IF(AND($C576="Individual",$E576&lt;&gt;"",$E576&lt;&gt;1),"Individual debe ser 100 %; ","")&amp;IF(AND($C576&lt;&gt;"Individual",$C576&lt;&gt;"",$E576=1),"Consorcio o UT con 100 %: revise; ","")&amp;IF(COUNTIFS($A$2:$A$601,$A576,$B$2:$B$601,$B576)&gt;1,"Participación repetida; ","")&amp;IF(AND(IFERROR(INDEX(SUJETOS!$B$2:$B$601,MATCH($B576,SUJETOS!$A$2:$A$601,0)),"")="Persona natural",$G576=""),"Persona natural sin cargo; ",""))</f>
        <v/>
      </c>
      <c r="R576" s="12">
        <f>IF($A576="","",IFERROR(IF(LEN(INDEX(SUJETOS!$F$2:$F$601,MATCH($B576,SUJETOS!$A$2:$A$601,0)))&gt;0,INDEX(SUJETOS!$F$2:$F$601,MATCH($B576,SUJETOS!$A$2:$A$601,0)),$B576),$B576))</f>
        <v/>
      </c>
    </row>
    <row r="577">
      <c r="E577" s="18" t="n"/>
      <c r="K577" s="13">
        <f>IF(OR($A577="",$E577=""),"",IFERROR(E577*INDEX(CONTRATOS!$P$2:$P$601,MATCH($A577,CONTRATOS!$A$2:$A$601,0)),""))</f>
        <v/>
      </c>
      <c r="L577" s="17">
        <f>IF(OR($A577="",$E577=""),"",IFERROR(E577*INDEX(CONTRATOS!$Z$2:$Z$601,MATCH($A577,CONTRATOS!$A$2:$A$601,0)),""))</f>
        <v/>
      </c>
      <c r="M577" s="13">
        <f>IF(OR($A577="",$E577=""),"",IFERROR(E577*INDEX(CONTRATOS!$AA$2:$AA$601,MATCH($A577,CONTRATOS!$A$2:$A$601,0)),""))</f>
        <v/>
      </c>
      <c r="N577" s="19">
        <f>IF($A577="","",SUMIFS($E$2:$E$601,$A$2:$A$601,$A577))</f>
        <v/>
      </c>
      <c r="O577" s="12">
        <f>IF($A577="","",IFERROR(INDEX(CONTRATOS!$F$2:$F$601,MATCH($A577,CONTRATOS!$A$2:$A$601,0)),""))</f>
        <v/>
      </c>
      <c r="P577" s="12">
        <f>IF($A577="","",IFERROR(INDEX(CONTRATOS!$M$2:$M$601,MATCH($A577,CONTRATOS!$A$2:$A$601,0)),""))</f>
        <v/>
      </c>
      <c r="Q577" s="12">
        <f>IF($A577="","",IF(COUNTIF(CONTRATOS!$A$2:$A$601,$A577)=0,"El contrato no existe en CONTRATOS; ","")&amp;IF($B577="","Falta sujeto; ",IF(COUNTIF(SUJETOS!$A$2:$A$601,$B577)=0,"El sujeto no existe en SUJETOS; ",""))&amp;IF($E577="","Falta porcentaje; ","")&amp;IF(N577&gt;1.0001,"Los porcentajes del contrato suman más de 100 %; ","")&amp;IF(AND($C577="Individual",$E577&lt;&gt;"",$E577&lt;&gt;1),"Individual debe ser 100 %; ","")&amp;IF(AND($C577&lt;&gt;"Individual",$C577&lt;&gt;"",$E577=1),"Consorcio o UT con 100 %: revise; ","")&amp;IF(COUNTIFS($A$2:$A$601,$A577,$B$2:$B$601,$B577)&gt;1,"Participación repetida; ","")&amp;IF(AND(IFERROR(INDEX(SUJETOS!$B$2:$B$601,MATCH($B577,SUJETOS!$A$2:$A$601,0)),"")="Persona natural",$G577=""),"Persona natural sin cargo; ",""))</f>
        <v/>
      </c>
      <c r="R577" s="12">
        <f>IF($A577="","",IFERROR(IF(LEN(INDEX(SUJETOS!$F$2:$F$601,MATCH($B577,SUJETOS!$A$2:$A$601,0)))&gt;0,INDEX(SUJETOS!$F$2:$F$601,MATCH($B577,SUJETOS!$A$2:$A$601,0)),$B577),$B577))</f>
        <v/>
      </c>
    </row>
    <row r="578">
      <c r="E578" s="18" t="n"/>
      <c r="K578" s="13">
        <f>IF(OR($A578="",$E578=""),"",IFERROR(E578*INDEX(CONTRATOS!$P$2:$P$601,MATCH($A578,CONTRATOS!$A$2:$A$601,0)),""))</f>
        <v/>
      </c>
      <c r="L578" s="17">
        <f>IF(OR($A578="",$E578=""),"",IFERROR(E578*INDEX(CONTRATOS!$Z$2:$Z$601,MATCH($A578,CONTRATOS!$A$2:$A$601,0)),""))</f>
        <v/>
      </c>
      <c r="M578" s="13">
        <f>IF(OR($A578="",$E578=""),"",IFERROR(E578*INDEX(CONTRATOS!$AA$2:$AA$601,MATCH($A578,CONTRATOS!$A$2:$A$601,0)),""))</f>
        <v/>
      </c>
      <c r="N578" s="19">
        <f>IF($A578="","",SUMIFS($E$2:$E$601,$A$2:$A$601,$A578))</f>
        <v/>
      </c>
      <c r="O578" s="12">
        <f>IF($A578="","",IFERROR(INDEX(CONTRATOS!$F$2:$F$601,MATCH($A578,CONTRATOS!$A$2:$A$601,0)),""))</f>
        <v/>
      </c>
      <c r="P578" s="12">
        <f>IF($A578="","",IFERROR(INDEX(CONTRATOS!$M$2:$M$601,MATCH($A578,CONTRATOS!$A$2:$A$601,0)),""))</f>
        <v/>
      </c>
      <c r="Q578" s="12">
        <f>IF($A578="","",IF(COUNTIF(CONTRATOS!$A$2:$A$601,$A578)=0,"El contrato no existe en CONTRATOS; ","")&amp;IF($B578="","Falta sujeto; ",IF(COUNTIF(SUJETOS!$A$2:$A$601,$B578)=0,"El sujeto no existe en SUJETOS; ",""))&amp;IF($E578="","Falta porcentaje; ","")&amp;IF(N578&gt;1.0001,"Los porcentajes del contrato suman más de 100 %; ","")&amp;IF(AND($C578="Individual",$E578&lt;&gt;"",$E578&lt;&gt;1),"Individual debe ser 100 %; ","")&amp;IF(AND($C578&lt;&gt;"Individual",$C578&lt;&gt;"",$E578=1),"Consorcio o UT con 100 %: revise; ","")&amp;IF(COUNTIFS($A$2:$A$601,$A578,$B$2:$B$601,$B578)&gt;1,"Participación repetida; ","")&amp;IF(AND(IFERROR(INDEX(SUJETOS!$B$2:$B$601,MATCH($B578,SUJETOS!$A$2:$A$601,0)),"")="Persona natural",$G578=""),"Persona natural sin cargo; ",""))</f>
        <v/>
      </c>
      <c r="R578" s="12">
        <f>IF($A578="","",IFERROR(IF(LEN(INDEX(SUJETOS!$F$2:$F$601,MATCH($B578,SUJETOS!$A$2:$A$601,0)))&gt;0,INDEX(SUJETOS!$F$2:$F$601,MATCH($B578,SUJETOS!$A$2:$A$601,0)),$B578),$B578))</f>
        <v/>
      </c>
    </row>
    <row r="579">
      <c r="E579" s="18" t="n"/>
      <c r="K579" s="13">
        <f>IF(OR($A579="",$E579=""),"",IFERROR(E579*INDEX(CONTRATOS!$P$2:$P$601,MATCH($A579,CONTRATOS!$A$2:$A$601,0)),""))</f>
        <v/>
      </c>
      <c r="L579" s="17">
        <f>IF(OR($A579="",$E579=""),"",IFERROR(E579*INDEX(CONTRATOS!$Z$2:$Z$601,MATCH($A579,CONTRATOS!$A$2:$A$601,0)),""))</f>
        <v/>
      </c>
      <c r="M579" s="13">
        <f>IF(OR($A579="",$E579=""),"",IFERROR(E579*INDEX(CONTRATOS!$AA$2:$AA$601,MATCH($A579,CONTRATOS!$A$2:$A$601,0)),""))</f>
        <v/>
      </c>
      <c r="N579" s="19">
        <f>IF($A579="","",SUMIFS($E$2:$E$601,$A$2:$A$601,$A579))</f>
        <v/>
      </c>
      <c r="O579" s="12">
        <f>IF($A579="","",IFERROR(INDEX(CONTRATOS!$F$2:$F$601,MATCH($A579,CONTRATOS!$A$2:$A$601,0)),""))</f>
        <v/>
      </c>
      <c r="P579" s="12">
        <f>IF($A579="","",IFERROR(INDEX(CONTRATOS!$M$2:$M$601,MATCH($A579,CONTRATOS!$A$2:$A$601,0)),""))</f>
        <v/>
      </c>
      <c r="Q579" s="12">
        <f>IF($A579="","",IF(COUNTIF(CONTRATOS!$A$2:$A$601,$A579)=0,"El contrato no existe en CONTRATOS; ","")&amp;IF($B579="","Falta sujeto; ",IF(COUNTIF(SUJETOS!$A$2:$A$601,$B579)=0,"El sujeto no existe en SUJETOS; ",""))&amp;IF($E579="","Falta porcentaje; ","")&amp;IF(N579&gt;1.0001,"Los porcentajes del contrato suman más de 100 %; ","")&amp;IF(AND($C579="Individual",$E579&lt;&gt;"",$E579&lt;&gt;1),"Individual debe ser 100 %; ","")&amp;IF(AND($C579&lt;&gt;"Individual",$C579&lt;&gt;"",$E579=1),"Consorcio o UT con 100 %: revise; ","")&amp;IF(COUNTIFS($A$2:$A$601,$A579,$B$2:$B$601,$B579)&gt;1,"Participación repetida; ","")&amp;IF(AND(IFERROR(INDEX(SUJETOS!$B$2:$B$601,MATCH($B579,SUJETOS!$A$2:$A$601,0)),"")="Persona natural",$G579=""),"Persona natural sin cargo; ",""))</f>
        <v/>
      </c>
      <c r="R579" s="12">
        <f>IF($A579="","",IFERROR(IF(LEN(INDEX(SUJETOS!$F$2:$F$601,MATCH($B579,SUJETOS!$A$2:$A$601,0)))&gt;0,INDEX(SUJETOS!$F$2:$F$601,MATCH($B579,SUJETOS!$A$2:$A$601,0)),$B579),$B579))</f>
        <v/>
      </c>
    </row>
    <row r="580">
      <c r="E580" s="18" t="n"/>
      <c r="K580" s="13">
        <f>IF(OR($A580="",$E580=""),"",IFERROR(E580*INDEX(CONTRATOS!$P$2:$P$601,MATCH($A580,CONTRATOS!$A$2:$A$601,0)),""))</f>
        <v/>
      </c>
      <c r="L580" s="17">
        <f>IF(OR($A580="",$E580=""),"",IFERROR(E580*INDEX(CONTRATOS!$Z$2:$Z$601,MATCH($A580,CONTRATOS!$A$2:$A$601,0)),""))</f>
        <v/>
      </c>
      <c r="M580" s="13">
        <f>IF(OR($A580="",$E580=""),"",IFERROR(E580*INDEX(CONTRATOS!$AA$2:$AA$601,MATCH($A580,CONTRATOS!$A$2:$A$601,0)),""))</f>
        <v/>
      </c>
      <c r="N580" s="19">
        <f>IF($A580="","",SUMIFS($E$2:$E$601,$A$2:$A$601,$A580))</f>
        <v/>
      </c>
      <c r="O580" s="12">
        <f>IF($A580="","",IFERROR(INDEX(CONTRATOS!$F$2:$F$601,MATCH($A580,CONTRATOS!$A$2:$A$601,0)),""))</f>
        <v/>
      </c>
      <c r="P580" s="12">
        <f>IF($A580="","",IFERROR(INDEX(CONTRATOS!$M$2:$M$601,MATCH($A580,CONTRATOS!$A$2:$A$601,0)),""))</f>
        <v/>
      </c>
      <c r="Q580" s="12">
        <f>IF($A580="","",IF(COUNTIF(CONTRATOS!$A$2:$A$601,$A580)=0,"El contrato no existe en CONTRATOS; ","")&amp;IF($B580="","Falta sujeto; ",IF(COUNTIF(SUJETOS!$A$2:$A$601,$B580)=0,"El sujeto no existe en SUJETOS; ",""))&amp;IF($E580="","Falta porcentaje; ","")&amp;IF(N580&gt;1.0001,"Los porcentajes del contrato suman más de 100 %; ","")&amp;IF(AND($C580="Individual",$E580&lt;&gt;"",$E580&lt;&gt;1),"Individual debe ser 100 %; ","")&amp;IF(AND($C580&lt;&gt;"Individual",$C580&lt;&gt;"",$E580=1),"Consorcio o UT con 100 %: revise; ","")&amp;IF(COUNTIFS($A$2:$A$601,$A580,$B$2:$B$601,$B580)&gt;1,"Participación repetida; ","")&amp;IF(AND(IFERROR(INDEX(SUJETOS!$B$2:$B$601,MATCH($B580,SUJETOS!$A$2:$A$601,0)),"")="Persona natural",$G580=""),"Persona natural sin cargo; ",""))</f>
        <v/>
      </c>
      <c r="R580" s="12">
        <f>IF($A580="","",IFERROR(IF(LEN(INDEX(SUJETOS!$F$2:$F$601,MATCH($B580,SUJETOS!$A$2:$A$601,0)))&gt;0,INDEX(SUJETOS!$F$2:$F$601,MATCH($B580,SUJETOS!$A$2:$A$601,0)),$B580),$B580))</f>
        <v/>
      </c>
    </row>
    <row r="581">
      <c r="E581" s="18" t="n"/>
      <c r="K581" s="13">
        <f>IF(OR($A581="",$E581=""),"",IFERROR(E581*INDEX(CONTRATOS!$P$2:$P$601,MATCH($A581,CONTRATOS!$A$2:$A$601,0)),""))</f>
        <v/>
      </c>
      <c r="L581" s="17">
        <f>IF(OR($A581="",$E581=""),"",IFERROR(E581*INDEX(CONTRATOS!$Z$2:$Z$601,MATCH($A581,CONTRATOS!$A$2:$A$601,0)),""))</f>
        <v/>
      </c>
      <c r="M581" s="13">
        <f>IF(OR($A581="",$E581=""),"",IFERROR(E581*INDEX(CONTRATOS!$AA$2:$AA$601,MATCH($A581,CONTRATOS!$A$2:$A$601,0)),""))</f>
        <v/>
      </c>
      <c r="N581" s="19">
        <f>IF($A581="","",SUMIFS($E$2:$E$601,$A$2:$A$601,$A581))</f>
        <v/>
      </c>
      <c r="O581" s="12">
        <f>IF($A581="","",IFERROR(INDEX(CONTRATOS!$F$2:$F$601,MATCH($A581,CONTRATOS!$A$2:$A$601,0)),""))</f>
        <v/>
      </c>
      <c r="P581" s="12">
        <f>IF($A581="","",IFERROR(INDEX(CONTRATOS!$M$2:$M$601,MATCH($A581,CONTRATOS!$A$2:$A$601,0)),""))</f>
        <v/>
      </c>
      <c r="Q581" s="12">
        <f>IF($A581="","",IF(COUNTIF(CONTRATOS!$A$2:$A$601,$A581)=0,"El contrato no existe en CONTRATOS; ","")&amp;IF($B581="","Falta sujeto; ",IF(COUNTIF(SUJETOS!$A$2:$A$601,$B581)=0,"El sujeto no existe en SUJETOS; ",""))&amp;IF($E581="","Falta porcentaje; ","")&amp;IF(N581&gt;1.0001,"Los porcentajes del contrato suman más de 100 %; ","")&amp;IF(AND($C581="Individual",$E581&lt;&gt;"",$E581&lt;&gt;1),"Individual debe ser 100 %; ","")&amp;IF(AND($C581&lt;&gt;"Individual",$C581&lt;&gt;"",$E581=1),"Consorcio o UT con 100 %: revise; ","")&amp;IF(COUNTIFS($A$2:$A$601,$A581,$B$2:$B$601,$B581)&gt;1,"Participación repetida; ","")&amp;IF(AND(IFERROR(INDEX(SUJETOS!$B$2:$B$601,MATCH($B581,SUJETOS!$A$2:$A$601,0)),"")="Persona natural",$G581=""),"Persona natural sin cargo; ",""))</f>
        <v/>
      </c>
      <c r="R581" s="12">
        <f>IF($A581="","",IFERROR(IF(LEN(INDEX(SUJETOS!$F$2:$F$601,MATCH($B581,SUJETOS!$A$2:$A$601,0)))&gt;0,INDEX(SUJETOS!$F$2:$F$601,MATCH($B581,SUJETOS!$A$2:$A$601,0)),$B581),$B581))</f>
        <v/>
      </c>
    </row>
    <row r="582">
      <c r="E582" s="18" t="n"/>
      <c r="K582" s="13">
        <f>IF(OR($A582="",$E582=""),"",IFERROR(E582*INDEX(CONTRATOS!$P$2:$P$601,MATCH($A582,CONTRATOS!$A$2:$A$601,0)),""))</f>
        <v/>
      </c>
      <c r="L582" s="17">
        <f>IF(OR($A582="",$E582=""),"",IFERROR(E582*INDEX(CONTRATOS!$Z$2:$Z$601,MATCH($A582,CONTRATOS!$A$2:$A$601,0)),""))</f>
        <v/>
      </c>
      <c r="M582" s="13">
        <f>IF(OR($A582="",$E582=""),"",IFERROR(E582*INDEX(CONTRATOS!$AA$2:$AA$601,MATCH($A582,CONTRATOS!$A$2:$A$601,0)),""))</f>
        <v/>
      </c>
      <c r="N582" s="19">
        <f>IF($A582="","",SUMIFS($E$2:$E$601,$A$2:$A$601,$A582))</f>
        <v/>
      </c>
      <c r="O582" s="12">
        <f>IF($A582="","",IFERROR(INDEX(CONTRATOS!$F$2:$F$601,MATCH($A582,CONTRATOS!$A$2:$A$601,0)),""))</f>
        <v/>
      </c>
      <c r="P582" s="12">
        <f>IF($A582="","",IFERROR(INDEX(CONTRATOS!$M$2:$M$601,MATCH($A582,CONTRATOS!$A$2:$A$601,0)),""))</f>
        <v/>
      </c>
      <c r="Q582" s="12">
        <f>IF($A582="","",IF(COUNTIF(CONTRATOS!$A$2:$A$601,$A582)=0,"El contrato no existe en CONTRATOS; ","")&amp;IF($B582="","Falta sujeto; ",IF(COUNTIF(SUJETOS!$A$2:$A$601,$B582)=0,"El sujeto no existe en SUJETOS; ",""))&amp;IF($E582="","Falta porcentaje; ","")&amp;IF(N582&gt;1.0001,"Los porcentajes del contrato suman más de 100 %; ","")&amp;IF(AND($C582="Individual",$E582&lt;&gt;"",$E582&lt;&gt;1),"Individual debe ser 100 %; ","")&amp;IF(AND($C582&lt;&gt;"Individual",$C582&lt;&gt;"",$E582=1),"Consorcio o UT con 100 %: revise; ","")&amp;IF(COUNTIFS($A$2:$A$601,$A582,$B$2:$B$601,$B582)&gt;1,"Participación repetida; ","")&amp;IF(AND(IFERROR(INDEX(SUJETOS!$B$2:$B$601,MATCH($B582,SUJETOS!$A$2:$A$601,0)),"")="Persona natural",$G582=""),"Persona natural sin cargo; ",""))</f>
        <v/>
      </c>
      <c r="R582" s="12">
        <f>IF($A582="","",IFERROR(IF(LEN(INDEX(SUJETOS!$F$2:$F$601,MATCH($B582,SUJETOS!$A$2:$A$601,0)))&gt;0,INDEX(SUJETOS!$F$2:$F$601,MATCH($B582,SUJETOS!$A$2:$A$601,0)),$B582),$B582))</f>
        <v/>
      </c>
    </row>
    <row r="583">
      <c r="E583" s="18" t="n"/>
      <c r="K583" s="13">
        <f>IF(OR($A583="",$E583=""),"",IFERROR(E583*INDEX(CONTRATOS!$P$2:$P$601,MATCH($A583,CONTRATOS!$A$2:$A$601,0)),""))</f>
        <v/>
      </c>
      <c r="L583" s="17">
        <f>IF(OR($A583="",$E583=""),"",IFERROR(E583*INDEX(CONTRATOS!$Z$2:$Z$601,MATCH($A583,CONTRATOS!$A$2:$A$601,0)),""))</f>
        <v/>
      </c>
      <c r="M583" s="13">
        <f>IF(OR($A583="",$E583=""),"",IFERROR(E583*INDEX(CONTRATOS!$AA$2:$AA$601,MATCH($A583,CONTRATOS!$A$2:$A$601,0)),""))</f>
        <v/>
      </c>
      <c r="N583" s="19">
        <f>IF($A583="","",SUMIFS($E$2:$E$601,$A$2:$A$601,$A583))</f>
        <v/>
      </c>
      <c r="O583" s="12">
        <f>IF($A583="","",IFERROR(INDEX(CONTRATOS!$F$2:$F$601,MATCH($A583,CONTRATOS!$A$2:$A$601,0)),""))</f>
        <v/>
      </c>
      <c r="P583" s="12">
        <f>IF($A583="","",IFERROR(INDEX(CONTRATOS!$M$2:$M$601,MATCH($A583,CONTRATOS!$A$2:$A$601,0)),""))</f>
        <v/>
      </c>
      <c r="Q583" s="12">
        <f>IF($A583="","",IF(COUNTIF(CONTRATOS!$A$2:$A$601,$A583)=0,"El contrato no existe en CONTRATOS; ","")&amp;IF($B583="","Falta sujeto; ",IF(COUNTIF(SUJETOS!$A$2:$A$601,$B583)=0,"El sujeto no existe en SUJETOS; ",""))&amp;IF($E583="","Falta porcentaje; ","")&amp;IF(N583&gt;1.0001,"Los porcentajes del contrato suman más de 100 %; ","")&amp;IF(AND($C583="Individual",$E583&lt;&gt;"",$E583&lt;&gt;1),"Individual debe ser 100 %; ","")&amp;IF(AND($C583&lt;&gt;"Individual",$C583&lt;&gt;"",$E583=1),"Consorcio o UT con 100 %: revise; ","")&amp;IF(COUNTIFS($A$2:$A$601,$A583,$B$2:$B$601,$B583)&gt;1,"Participación repetida; ","")&amp;IF(AND(IFERROR(INDEX(SUJETOS!$B$2:$B$601,MATCH($B583,SUJETOS!$A$2:$A$601,0)),"")="Persona natural",$G583=""),"Persona natural sin cargo; ",""))</f>
        <v/>
      </c>
      <c r="R583" s="12">
        <f>IF($A583="","",IFERROR(IF(LEN(INDEX(SUJETOS!$F$2:$F$601,MATCH($B583,SUJETOS!$A$2:$A$601,0)))&gt;0,INDEX(SUJETOS!$F$2:$F$601,MATCH($B583,SUJETOS!$A$2:$A$601,0)),$B583),$B583))</f>
        <v/>
      </c>
    </row>
    <row r="584">
      <c r="E584" s="18" t="n"/>
      <c r="K584" s="13">
        <f>IF(OR($A584="",$E584=""),"",IFERROR(E584*INDEX(CONTRATOS!$P$2:$P$601,MATCH($A584,CONTRATOS!$A$2:$A$601,0)),""))</f>
        <v/>
      </c>
      <c r="L584" s="17">
        <f>IF(OR($A584="",$E584=""),"",IFERROR(E584*INDEX(CONTRATOS!$Z$2:$Z$601,MATCH($A584,CONTRATOS!$A$2:$A$601,0)),""))</f>
        <v/>
      </c>
      <c r="M584" s="13">
        <f>IF(OR($A584="",$E584=""),"",IFERROR(E584*INDEX(CONTRATOS!$AA$2:$AA$601,MATCH($A584,CONTRATOS!$A$2:$A$601,0)),""))</f>
        <v/>
      </c>
      <c r="N584" s="19">
        <f>IF($A584="","",SUMIFS($E$2:$E$601,$A$2:$A$601,$A584))</f>
        <v/>
      </c>
      <c r="O584" s="12">
        <f>IF($A584="","",IFERROR(INDEX(CONTRATOS!$F$2:$F$601,MATCH($A584,CONTRATOS!$A$2:$A$601,0)),""))</f>
        <v/>
      </c>
      <c r="P584" s="12">
        <f>IF($A584="","",IFERROR(INDEX(CONTRATOS!$M$2:$M$601,MATCH($A584,CONTRATOS!$A$2:$A$601,0)),""))</f>
        <v/>
      </c>
      <c r="Q584" s="12">
        <f>IF($A584="","",IF(COUNTIF(CONTRATOS!$A$2:$A$601,$A584)=0,"El contrato no existe en CONTRATOS; ","")&amp;IF($B584="","Falta sujeto; ",IF(COUNTIF(SUJETOS!$A$2:$A$601,$B584)=0,"El sujeto no existe en SUJETOS; ",""))&amp;IF($E584="","Falta porcentaje; ","")&amp;IF(N584&gt;1.0001,"Los porcentajes del contrato suman más de 100 %; ","")&amp;IF(AND($C584="Individual",$E584&lt;&gt;"",$E584&lt;&gt;1),"Individual debe ser 100 %; ","")&amp;IF(AND($C584&lt;&gt;"Individual",$C584&lt;&gt;"",$E584=1),"Consorcio o UT con 100 %: revise; ","")&amp;IF(COUNTIFS($A$2:$A$601,$A584,$B$2:$B$601,$B584)&gt;1,"Participación repetida; ","")&amp;IF(AND(IFERROR(INDEX(SUJETOS!$B$2:$B$601,MATCH($B584,SUJETOS!$A$2:$A$601,0)),"")="Persona natural",$G584=""),"Persona natural sin cargo; ",""))</f>
        <v/>
      </c>
      <c r="R584" s="12">
        <f>IF($A584="","",IFERROR(IF(LEN(INDEX(SUJETOS!$F$2:$F$601,MATCH($B584,SUJETOS!$A$2:$A$601,0)))&gt;0,INDEX(SUJETOS!$F$2:$F$601,MATCH($B584,SUJETOS!$A$2:$A$601,0)),$B584),$B584))</f>
        <v/>
      </c>
    </row>
    <row r="585">
      <c r="E585" s="18" t="n"/>
      <c r="K585" s="13">
        <f>IF(OR($A585="",$E585=""),"",IFERROR(E585*INDEX(CONTRATOS!$P$2:$P$601,MATCH($A585,CONTRATOS!$A$2:$A$601,0)),""))</f>
        <v/>
      </c>
      <c r="L585" s="17">
        <f>IF(OR($A585="",$E585=""),"",IFERROR(E585*INDEX(CONTRATOS!$Z$2:$Z$601,MATCH($A585,CONTRATOS!$A$2:$A$601,0)),""))</f>
        <v/>
      </c>
      <c r="M585" s="13">
        <f>IF(OR($A585="",$E585=""),"",IFERROR(E585*INDEX(CONTRATOS!$AA$2:$AA$601,MATCH($A585,CONTRATOS!$A$2:$A$601,0)),""))</f>
        <v/>
      </c>
      <c r="N585" s="19">
        <f>IF($A585="","",SUMIFS($E$2:$E$601,$A$2:$A$601,$A585))</f>
        <v/>
      </c>
      <c r="O585" s="12">
        <f>IF($A585="","",IFERROR(INDEX(CONTRATOS!$F$2:$F$601,MATCH($A585,CONTRATOS!$A$2:$A$601,0)),""))</f>
        <v/>
      </c>
      <c r="P585" s="12">
        <f>IF($A585="","",IFERROR(INDEX(CONTRATOS!$M$2:$M$601,MATCH($A585,CONTRATOS!$A$2:$A$601,0)),""))</f>
        <v/>
      </c>
      <c r="Q585" s="12">
        <f>IF($A585="","",IF(COUNTIF(CONTRATOS!$A$2:$A$601,$A585)=0,"El contrato no existe en CONTRATOS; ","")&amp;IF($B585="","Falta sujeto; ",IF(COUNTIF(SUJETOS!$A$2:$A$601,$B585)=0,"El sujeto no existe en SUJETOS; ",""))&amp;IF($E585="","Falta porcentaje; ","")&amp;IF(N585&gt;1.0001,"Los porcentajes del contrato suman más de 100 %; ","")&amp;IF(AND($C585="Individual",$E585&lt;&gt;"",$E585&lt;&gt;1),"Individual debe ser 100 %; ","")&amp;IF(AND($C585&lt;&gt;"Individual",$C585&lt;&gt;"",$E585=1),"Consorcio o UT con 100 %: revise; ","")&amp;IF(COUNTIFS($A$2:$A$601,$A585,$B$2:$B$601,$B585)&gt;1,"Participación repetida; ","")&amp;IF(AND(IFERROR(INDEX(SUJETOS!$B$2:$B$601,MATCH($B585,SUJETOS!$A$2:$A$601,0)),"")="Persona natural",$G585=""),"Persona natural sin cargo; ",""))</f>
        <v/>
      </c>
      <c r="R585" s="12">
        <f>IF($A585="","",IFERROR(IF(LEN(INDEX(SUJETOS!$F$2:$F$601,MATCH($B585,SUJETOS!$A$2:$A$601,0)))&gt;0,INDEX(SUJETOS!$F$2:$F$601,MATCH($B585,SUJETOS!$A$2:$A$601,0)),$B585),$B585))</f>
        <v/>
      </c>
    </row>
    <row r="586">
      <c r="E586" s="18" t="n"/>
      <c r="K586" s="13">
        <f>IF(OR($A586="",$E586=""),"",IFERROR(E586*INDEX(CONTRATOS!$P$2:$P$601,MATCH($A586,CONTRATOS!$A$2:$A$601,0)),""))</f>
        <v/>
      </c>
      <c r="L586" s="17">
        <f>IF(OR($A586="",$E586=""),"",IFERROR(E586*INDEX(CONTRATOS!$Z$2:$Z$601,MATCH($A586,CONTRATOS!$A$2:$A$601,0)),""))</f>
        <v/>
      </c>
      <c r="M586" s="13">
        <f>IF(OR($A586="",$E586=""),"",IFERROR(E586*INDEX(CONTRATOS!$AA$2:$AA$601,MATCH($A586,CONTRATOS!$A$2:$A$601,0)),""))</f>
        <v/>
      </c>
      <c r="N586" s="19">
        <f>IF($A586="","",SUMIFS($E$2:$E$601,$A$2:$A$601,$A586))</f>
        <v/>
      </c>
      <c r="O586" s="12">
        <f>IF($A586="","",IFERROR(INDEX(CONTRATOS!$F$2:$F$601,MATCH($A586,CONTRATOS!$A$2:$A$601,0)),""))</f>
        <v/>
      </c>
      <c r="P586" s="12">
        <f>IF($A586="","",IFERROR(INDEX(CONTRATOS!$M$2:$M$601,MATCH($A586,CONTRATOS!$A$2:$A$601,0)),""))</f>
        <v/>
      </c>
      <c r="Q586" s="12">
        <f>IF($A586="","",IF(COUNTIF(CONTRATOS!$A$2:$A$601,$A586)=0,"El contrato no existe en CONTRATOS; ","")&amp;IF($B586="","Falta sujeto; ",IF(COUNTIF(SUJETOS!$A$2:$A$601,$B586)=0,"El sujeto no existe en SUJETOS; ",""))&amp;IF($E586="","Falta porcentaje; ","")&amp;IF(N586&gt;1.0001,"Los porcentajes del contrato suman más de 100 %; ","")&amp;IF(AND($C586="Individual",$E586&lt;&gt;"",$E586&lt;&gt;1),"Individual debe ser 100 %; ","")&amp;IF(AND($C586&lt;&gt;"Individual",$C586&lt;&gt;"",$E586=1),"Consorcio o UT con 100 %: revise; ","")&amp;IF(COUNTIFS($A$2:$A$601,$A586,$B$2:$B$601,$B586)&gt;1,"Participación repetida; ","")&amp;IF(AND(IFERROR(INDEX(SUJETOS!$B$2:$B$601,MATCH($B586,SUJETOS!$A$2:$A$601,0)),"")="Persona natural",$G586=""),"Persona natural sin cargo; ",""))</f>
        <v/>
      </c>
      <c r="R586" s="12">
        <f>IF($A586="","",IFERROR(IF(LEN(INDEX(SUJETOS!$F$2:$F$601,MATCH($B586,SUJETOS!$A$2:$A$601,0)))&gt;0,INDEX(SUJETOS!$F$2:$F$601,MATCH($B586,SUJETOS!$A$2:$A$601,0)),$B586),$B586))</f>
        <v/>
      </c>
    </row>
    <row r="587">
      <c r="E587" s="18" t="n"/>
      <c r="K587" s="13">
        <f>IF(OR($A587="",$E587=""),"",IFERROR(E587*INDEX(CONTRATOS!$P$2:$P$601,MATCH($A587,CONTRATOS!$A$2:$A$601,0)),""))</f>
        <v/>
      </c>
      <c r="L587" s="17">
        <f>IF(OR($A587="",$E587=""),"",IFERROR(E587*INDEX(CONTRATOS!$Z$2:$Z$601,MATCH($A587,CONTRATOS!$A$2:$A$601,0)),""))</f>
        <v/>
      </c>
      <c r="M587" s="13">
        <f>IF(OR($A587="",$E587=""),"",IFERROR(E587*INDEX(CONTRATOS!$AA$2:$AA$601,MATCH($A587,CONTRATOS!$A$2:$A$601,0)),""))</f>
        <v/>
      </c>
      <c r="N587" s="19">
        <f>IF($A587="","",SUMIFS($E$2:$E$601,$A$2:$A$601,$A587))</f>
        <v/>
      </c>
      <c r="O587" s="12">
        <f>IF($A587="","",IFERROR(INDEX(CONTRATOS!$F$2:$F$601,MATCH($A587,CONTRATOS!$A$2:$A$601,0)),""))</f>
        <v/>
      </c>
      <c r="P587" s="12">
        <f>IF($A587="","",IFERROR(INDEX(CONTRATOS!$M$2:$M$601,MATCH($A587,CONTRATOS!$A$2:$A$601,0)),""))</f>
        <v/>
      </c>
      <c r="Q587" s="12">
        <f>IF($A587="","",IF(COUNTIF(CONTRATOS!$A$2:$A$601,$A587)=0,"El contrato no existe en CONTRATOS; ","")&amp;IF($B587="","Falta sujeto; ",IF(COUNTIF(SUJETOS!$A$2:$A$601,$B587)=0,"El sujeto no existe en SUJETOS; ",""))&amp;IF($E587="","Falta porcentaje; ","")&amp;IF(N587&gt;1.0001,"Los porcentajes del contrato suman más de 100 %; ","")&amp;IF(AND($C587="Individual",$E587&lt;&gt;"",$E587&lt;&gt;1),"Individual debe ser 100 %; ","")&amp;IF(AND($C587&lt;&gt;"Individual",$C587&lt;&gt;"",$E587=1),"Consorcio o UT con 100 %: revise; ","")&amp;IF(COUNTIFS($A$2:$A$601,$A587,$B$2:$B$601,$B587)&gt;1,"Participación repetida; ","")&amp;IF(AND(IFERROR(INDEX(SUJETOS!$B$2:$B$601,MATCH($B587,SUJETOS!$A$2:$A$601,0)),"")="Persona natural",$G587=""),"Persona natural sin cargo; ",""))</f>
        <v/>
      </c>
      <c r="R587" s="12">
        <f>IF($A587="","",IFERROR(IF(LEN(INDEX(SUJETOS!$F$2:$F$601,MATCH($B587,SUJETOS!$A$2:$A$601,0)))&gt;0,INDEX(SUJETOS!$F$2:$F$601,MATCH($B587,SUJETOS!$A$2:$A$601,0)),$B587),$B587))</f>
        <v/>
      </c>
    </row>
    <row r="588">
      <c r="E588" s="18" t="n"/>
      <c r="K588" s="13">
        <f>IF(OR($A588="",$E588=""),"",IFERROR(E588*INDEX(CONTRATOS!$P$2:$P$601,MATCH($A588,CONTRATOS!$A$2:$A$601,0)),""))</f>
        <v/>
      </c>
      <c r="L588" s="17">
        <f>IF(OR($A588="",$E588=""),"",IFERROR(E588*INDEX(CONTRATOS!$Z$2:$Z$601,MATCH($A588,CONTRATOS!$A$2:$A$601,0)),""))</f>
        <v/>
      </c>
      <c r="M588" s="13">
        <f>IF(OR($A588="",$E588=""),"",IFERROR(E588*INDEX(CONTRATOS!$AA$2:$AA$601,MATCH($A588,CONTRATOS!$A$2:$A$601,0)),""))</f>
        <v/>
      </c>
      <c r="N588" s="19">
        <f>IF($A588="","",SUMIFS($E$2:$E$601,$A$2:$A$601,$A588))</f>
        <v/>
      </c>
      <c r="O588" s="12">
        <f>IF($A588="","",IFERROR(INDEX(CONTRATOS!$F$2:$F$601,MATCH($A588,CONTRATOS!$A$2:$A$601,0)),""))</f>
        <v/>
      </c>
      <c r="P588" s="12">
        <f>IF($A588="","",IFERROR(INDEX(CONTRATOS!$M$2:$M$601,MATCH($A588,CONTRATOS!$A$2:$A$601,0)),""))</f>
        <v/>
      </c>
      <c r="Q588" s="12">
        <f>IF($A588="","",IF(COUNTIF(CONTRATOS!$A$2:$A$601,$A588)=0,"El contrato no existe en CONTRATOS; ","")&amp;IF($B588="","Falta sujeto; ",IF(COUNTIF(SUJETOS!$A$2:$A$601,$B588)=0,"El sujeto no existe en SUJETOS; ",""))&amp;IF($E588="","Falta porcentaje; ","")&amp;IF(N588&gt;1.0001,"Los porcentajes del contrato suman más de 100 %; ","")&amp;IF(AND($C588="Individual",$E588&lt;&gt;"",$E588&lt;&gt;1),"Individual debe ser 100 %; ","")&amp;IF(AND($C588&lt;&gt;"Individual",$C588&lt;&gt;"",$E588=1),"Consorcio o UT con 100 %: revise; ","")&amp;IF(COUNTIFS($A$2:$A$601,$A588,$B$2:$B$601,$B588)&gt;1,"Participación repetida; ","")&amp;IF(AND(IFERROR(INDEX(SUJETOS!$B$2:$B$601,MATCH($B588,SUJETOS!$A$2:$A$601,0)),"")="Persona natural",$G588=""),"Persona natural sin cargo; ",""))</f>
        <v/>
      </c>
      <c r="R588" s="12">
        <f>IF($A588="","",IFERROR(IF(LEN(INDEX(SUJETOS!$F$2:$F$601,MATCH($B588,SUJETOS!$A$2:$A$601,0)))&gt;0,INDEX(SUJETOS!$F$2:$F$601,MATCH($B588,SUJETOS!$A$2:$A$601,0)),$B588),$B588))</f>
        <v/>
      </c>
    </row>
    <row r="589">
      <c r="E589" s="18" t="n"/>
      <c r="K589" s="13">
        <f>IF(OR($A589="",$E589=""),"",IFERROR(E589*INDEX(CONTRATOS!$P$2:$P$601,MATCH($A589,CONTRATOS!$A$2:$A$601,0)),""))</f>
        <v/>
      </c>
      <c r="L589" s="17">
        <f>IF(OR($A589="",$E589=""),"",IFERROR(E589*INDEX(CONTRATOS!$Z$2:$Z$601,MATCH($A589,CONTRATOS!$A$2:$A$601,0)),""))</f>
        <v/>
      </c>
      <c r="M589" s="13">
        <f>IF(OR($A589="",$E589=""),"",IFERROR(E589*INDEX(CONTRATOS!$AA$2:$AA$601,MATCH($A589,CONTRATOS!$A$2:$A$601,0)),""))</f>
        <v/>
      </c>
      <c r="N589" s="19">
        <f>IF($A589="","",SUMIFS($E$2:$E$601,$A$2:$A$601,$A589))</f>
        <v/>
      </c>
      <c r="O589" s="12">
        <f>IF($A589="","",IFERROR(INDEX(CONTRATOS!$F$2:$F$601,MATCH($A589,CONTRATOS!$A$2:$A$601,0)),""))</f>
        <v/>
      </c>
      <c r="P589" s="12">
        <f>IF($A589="","",IFERROR(INDEX(CONTRATOS!$M$2:$M$601,MATCH($A589,CONTRATOS!$A$2:$A$601,0)),""))</f>
        <v/>
      </c>
      <c r="Q589" s="12">
        <f>IF($A589="","",IF(COUNTIF(CONTRATOS!$A$2:$A$601,$A589)=0,"El contrato no existe en CONTRATOS; ","")&amp;IF($B589="","Falta sujeto; ",IF(COUNTIF(SUJETOS!$A$2:$A$601,$B589)=0,"El sujeto no existe en SUJETOS; ",""))&amp;IF($E589="","Falta porcentaje; ","")&amp;IF(N589&gt;1.0001,"Los porcentajes del contrato suman más de 100 %; ","")&amp;IF(AND($C589="Individual",$E589&lt;&gt;"",$E589&lt;&gt;1),"Individual debe ser 100 %; ","")&amp;IF(AND($C589&lt;&gt;"Individual",$C589&lt;&gt;"",$E589=1),"Consorcio o UT con 100 %: revise; ","")&amp;IF(COUNTIFS($A$2:$A$601,$A589,$B$2:$B$601,$B589)&gt;1,"Participación repetida; ","")&amp;IF(AND(IFERROR(INDEX(SUJETOS!$B$2:$B$601,MATCH($B589,SUJETOS!$A$2:$A$601,0)),"")="Persona natural",$G589=""),"Persona natural sin cargo; ",""))</f>
        <v/>
      </c>
      <c r="R589" s="12">
        <f>IF($A589="","",IFERROR(IF(LEN(INDEX(SUJETOS!$F$2:$F$601,MATCH($B589,SUJETOS!$A$2:$A$601,0)))&gt;0,INDEX(SUJETOS!$F$2:$F$601,MATCH($B589,SUJETOS!$A$2:$A$601,0)),$B589),$B589))</f>
        <v/>
      </c>
    </row>
    <row r="590">
      <c r="E590" s="18" t="n"/>
      <c r="K590" s="13">
        <f>IF(OR($A590="",$E590=""),"",IFERROR(E590*INDEX(CONTRATOS!$P$2:$P$601,MATCH($A590,CONTRATOS!$A$2:$A$601,0)),""))</f>
        <v/>
      </c>
      <c r="L590" s="17">
        <f>IF(OR($A590="",$E590=""),"",IFERROR(E590*INDEX(CONTRATOS!$Z$2:$Z$601,MATCH($A590,CONTRATOS!$A$2:$A$601,0)),""))</f>
        <v/>
      </c>
      <c r="M590" s="13">
        <f>IF(OR($A590="",$E590=""),"",IFERROR(E590*INDEX(CONTRATOS!$AA$2:$AA$601,MATCH($A590,CONTRATOS!$A$2:$A$601,0)),""))</f>
        <v/>
      </c>
      <c r="N590" s="19">
        <f>IF($A590="","",SUMIFS($E$2:$E$601,$A$2:$A$601,$A590))</f>
        <v/>
      </c>
      <c r="O590" s="12">
        <f>IF($A590="","",IFERROR(INDEX(CONTRATOS!$F$2:$F$601,MATCH($A590,CONTRATOS!$A$2:$A$601,0)),""))</f>
        <v/>
      </c>
      <c r="P590" s="12">
        <f>IF($A590="","",IFERROR(INDEX(CONTRATOS!$M$2:$M$601,MATCH($A590,CONTRATOS!$A$2:$A$601,0)),""))</f>
        <v/>
      </c>
      <c r="Q590" s="12">
        <f>IF($A590="","",IF(COUNTIF(CONTRATOS!$A$2:$A$601,$A590)=0,"El contrato no existe en CONTRATOS; ","")&amp;IF($B590="","Falta sujeto; ",IF(COUNTIF(SUJETOS!$A$2:$A$601,$B590)=0,"El sujeto no existe en SUJETOS; ",""))&amp;IF($E590="","Falta porcentaje; ","")&amp;IF(N590&gt;1.0001,"Los porcentajes del contrato suman más de 100 %; ","")&amp;IF(AND($C590="Individual",$E590&lt;&gt;"",$E590&lt;&gt;1),"Individual debe ser 100 %; ","")&amp;IF(AND($C590&lt;&gt;"Individual",$C590&lt;&gt;"",$E590=1),"Consorcio o UT con 100 %: revise; ","")&amp;IF(COUNTIFS($A$2:$A$601,$A590,$B$2:$B$601,$B590)&gt;1,"Participación repetida; ","")&amp;IF(AND(IFERROR(INDEX(SUJETOS!$B$2:$B$601,MATCH($B590,SUJETOS!$A$2:$A$601,0)),"")="Persona natural",$G590=""),"Persona natural sin cargo; ",""))</f>
        <v/>
      </c>
      <c r="R590" s="12">
        <f>IF($A590="","",IFERROR(IF(LEN(INDEX(SUJETOS!$F$2:$F$601,MATCH($B590,SUJETOS!$A$2:$A$601,0)))&gt;0,INDEX(SUJETOS!$F$2:$F$601,MATCH($B590,SUJETOS!$A$2:$A$601,0)),$B590),$B590))</f>
        <v/>
      </c>
    </row>
    <row r="591">
      <c r="E591" s="18" t="n"/>
      <c r="K591" s="13">
        <f>IF(OR($A591="",$E591=""),"",IFERROR(E591*INDEX(CONTRATOS!$P$2:$P$601,MATCH($A591,CONTRATOS!$A$2:$A$601,0)),""))</f>
        <v/>
      </c>
      <c r="L591" s="17">
        <f>IF(OR($A591="",$E591=""),"",IFERROR(E591*INDEX(CONTRATOS!$Z$2:$Z$601,MATCH($A591,CONTRATOS!$A$2:$A$601,0)),""))</f>
        <v/>
      </c>
      <c r="M591" s="13">
        <f>IF(OR($A591="",$E591=""),"",IFERROR(E591*INDEX(CONTRATOS!$AA$2:$AA$601,MATCH($A591,CONTRATOS!$A$2:$A$601,0)),""))</f>
        <v/>
      </c>
      <c r="N591" s="19">
        <f>IF($A591="","",SUMIFS($E$2:$E$601,$A$2:$A$601,$A591))</f>
        <v/>
      </c>
      <c r="O591" s="12">
        <f>IF($A591="","",IFERROR(INDEX(CONTRATOS!$F$2:$F$601,MATCH($A591,CONTRATOS!$A$2:$A$601,0)),""))</f>
        <v/>
      </c>
      <c r="P591" s="12">
        <f>IF($A591="","",IFERROR(INDEX(CONTRATOS!$M$2:$M$601,MATCH($A591,CONTRATOS!$A$2:$A$601,0)),""))</f>
        <v/>
      </c>
      <c r="Q591" s="12">
        <f>IF($A591="","",IF(COUNTIF(CONTRATOS!$A$2:$A$601,$A591)=0,"El contrato no existe en CONTRATOS; ","")&amp;IF($B591="","Falta sujeto; ",IF(COUNTIF(SUJETOS!$A$2:$A$601,$B591)=0,"El sujeto no existe en SUJETOS; ",""))&amp;IF($E591="","Falta porcentaje; ","")&amp;IF(N591&gt;1.0001,"Los porcentajes del contrato suman más de 100 %; ","")&amp;IF(AND($C591="Individual",$E591&lt;&gt;"",$E591&lt;&gt;1),"Individual debe ser 100 %; ","")&amp;IF(AND($C591&lt;&gt;"Individual",$C591&lt;&gt;"",$E591=1),"Consorcio o UT con 100 %: revise; ","")&amp;IF(COUNTIFS($A$2:$A$601,$A591,$B$2:$B$601,$B591)&gt;1,"Participación repetida; ","")&amp;IF(AND(IFERROR(INDEX(SUJETOS!$B$2:$B$601,MATCH($B591,SUJETOS!$A$2:$A$601,0)),"")="Persona natural",$G591=""),"Persona natural sin cargo; ",""))</f>
        <v/>
      </c>
      <c r="R591" s="12">
        <f>IF($A591="","",IFERROR(IF(LEN(INDEX(SUJETOS!$F$2:$F$601,MATCH($B591,SUJETOS!$A$2:$A$601,0)))&gt;0,INDEX(SUJETOS!$F$2:$F$601,MATCH($B591,SUJETOS!$A$2:$A$601,0)),$B591),$B591))</f>
        <v/>
      </c>
    </row>
    <row r="592">
      <c r="E592" s="18" t="n"/>
      <c r="K592" s="13">
        <f>IF(OR($A592="",$E592=""),"",IFERROR(E592*INDEX(CONTRATOS!$P$2:$P$601,MATCH($A592,CONTRATOS!$A$2:$A$601,0)),""))</f>
        <v/>
      </c>
      <c r="L592" s="17">
        <f>IF(OR($A592="",$E592=""),"",IFERROR(E592*INDEX(CONTRATOS!$Z$2:$Z$601,MATCH($A592,CONTRATOS!$A$2:$A$601,0)),""))</f>
        <v/>
      </c>
      <c r="M592" s="13">
        <f>IF(OR($A592="",$E592=""),"",IFERROR(E592*INDEX(CONTRATOS!$AA$2:$AA$601,MATCH($A592,CONTRATOS!$A$2:$A$601,0)),""))</f>
        <v/>
      </c>
      <c r="N592" s="19">
        <f>IF($A592="","",SUMIFS($E$2:$E$601,$A$2:$A$601,$A592))</f>
        <v/>
      </c>
      <c r="O592" s="12">
        <f>IF($A592="","",IFERROR(INDEX(CONTRATOS!$F$2:$F$601,MATCH($A592,CONTRATOS!$A$2:$A$601,0)),""))</f>
        <v/>
      </c>
      <c r="P592" s="12">
        <f>IF($A592="","",IFERROR(INDEX(CONTRATOS!$M$2:$M$601,MATCH($A592,CONTRATOS!$A$2:$A$601,0)),""))</f>
        <v/>
      </c>
      <c r="Q592" s="12">
        <f>IF($A592="","",IF(COUNTIF(CONTRATOS!$A$2:$A$601,$A592)=0,"El contrato no existe en CONTRATOS; ","")&amp;IF($B592="","Falta sujeto; ",IF(COUNTIF(SUJETOS!$A$2:$A$601,$B592)=0,"El sujeto no existe en SUJETOS; ",""))&amp;IF($E592="","Falta porcentaje; ","")&amp;IF(N592&gt;1.0001,"Los porcentajes del contrato suman más de 100 %; ","")&amp;IF(AND($C592="Individual",$E592&lt;&gt;"",$E592&lt;&gt;1),"Individual debe ser 100 %; ","")&amp;IF(AND($C592&lt;&gt;"Individual",$C592&lt;&gt;"",$E592=1),"Consorcio o UT con 100 %: revise; ","")&amp;IF(COUNTIFS($A$2:$A$601,$A592,$B$2:$B$601,$B592)&gt;1,"Participación repetida; ","")&amp;IF(AND(IFERROR(INDEX(SUJETOS!$B$2:$B$601,MATCH($B592,SUJETOS!$A$2:$A$601,0)),"")="Persona natural",$G592=""),"Persona natural sin cargo; ",""))</f>
        <v/>
      </c>
      <c r="R592" s="12">
        <f>IF($A592="","",IFERROR(IF(LEN(INDEX(SUJETOS!$F$2:$F$601,MATCH($B592,SUJETOS!$A$2:$A$601,0)))&gt;0,INDEX(SUJETOS!$F$2:$F$601,MATCH($B592,SUJETOS!$A$2:$A$601,0)),$B592),$B592))</f>
        <v/>
      </c>
    </row>
    <row r="593">
      <c r="E593" s="18" t="n"/>
      <c r="K593" s="13">
        <f>IF(OR($A593="",$E593=""),"",IFERROR(E593*INDEX(CONTRATOS!$P$2:$P$601,MATCH($A593,CONTRATOS!$A$2:$A$601,0)),""))</f>
        <v/>
      </c>
      <c r="L593" s="17">
        <f>IF(OR($A593="",$E593=""),"",IFERROR(E593*INDEX(CONTRATOS!$Z$2:$Z$601,MATCH($A593,CONTRATOS!$A$2:$A$601,0)),""))</f>
        <v/>
      </c>
      <c r="M593" s="13">
        <f>IF(OR($A593="",$E593=""),"",IFERROR(E593*INDEX(CONTRATOS!$AA$2:$AA$601,MATCH($A593,CONTRATOS!$A$2:$A$601,0)),""))</f>
        <v/>
      </c>
      <c r="N593" s="19">
        <f>IF($A593="","",SUMIFS($E$2:$E$601,$A$2:$A$601,$A593))</f>
        <v/>
      </c>
      <c r="O593" s="12">
        <f>IF($A593="","",IFERROR(INDEX(CONTRATOS!$F$2:$F$601,MATCH($A593,CONTRATOS!$A$2:$A$601,0)),""))</f>
        <v/>
      </c>
      <c r="P593" s="12">
        <f>IF($A593="","",IFERROR(INDEX(CONTRATOS!$M$2:$M$601,MATCH($A593,CONTRATOS!$A$2:$A$601,0)),""))</f>
        <v/>
      </c>
      <c r="Q593" s="12">
        <f>IF($A593="","",IF(COUNTIF(CONTRATOS!$A$2:$A$601,$A593)=0,"El contrato no existe en CONTRATOS; ","")&amp;IF($B593="","Falta sujeto; ",IF(COUNTIF(SUJETOS!$A$2:$A$601,$B593)=0,"El sujeto no existe en SUJETOS; ",""))&amp;IF($E593="","Falta porcentaje; ","")&amp;IF(N593&gt;1.0001,"Los porcentajes del contrato suman más de 100 %; ","")&amp;IF(AND($C593="Individual",$E593&lt;&gt;"",$E593&lt;&gt;1),"Individual debe ser 100 %; ","")&amp;IF(AND($C593&lt;&gt;"Individual",$C593&lt;&gt;"",$E593=1),"Consorcio o UT con 100 %: revise; ","")&amp;IF(COUNTIFS($A$2:$A$601,$A593,$B$2:$B$601,$B593)&gt;1,"Participación repetida; ","")&amp;IF(AND(IFERROR(INDEX(SUJETOS!$B$2:$B$601,MATCH($B593,SUJETOS!$A$2:$A$601,0)),"")="Persona natural",$G593=""),"Persona natural sin cargo; ",""))</f>
        <v/>
      </c>
      <c r="R593" s="12">
        <f>IF($A593="","",IFERROR(IF(LEN(INDEX(SUJETOS!$F$2:$F$601,MATCH($B593,SUJETOS!$A$2:$A$601,0)))&gt;0,INDEX(SUJETOS!$F$2:$F$601,MATCH($B593,SUJETOS!$A$2:$A$601,0)),$B593),$B593))</f>
        <v/>
      </c>
    </row>
    <row r="594">
      <c r="E594" s="18" t="n"/>
      <c r="K594" s="13">
        <f>IF(OR($A594="",$E594=""),"",IFERROR(E594*INDEX(CONTRATOS!$P$2:$P$601,MATCH($A594,CONTRATOS!$A$2:$A$601,0)),""))</f>
        <v/>
      </c>
      <c r="L594" s="17">
        <f>IF(OR($A594="",$E594=""),"",IFERROR(E594*INDEX(CONTRATOS!$Z$2:$Z$601,MATCH($A594,CONTRATOS!$A$2:$A$601,0)),""))</f>
        <v/>
      </c>
      <c r="M594" s="13">
        <f>IF(OR($A594="",$E594=""),"",IFERROR(E594*INDEX(CONTRATOS!$AA$2:$AA$601,MATCH($A594,CONTRATOS!$A$2:$A$601,0)),""))</f>
        <v/>
      </c>
      <c r="N594" s="19">
        <f>IF($A594="","",SUMIFS($E$2:$E$601,$A$2:$A$601,$A594))</f>
        <v/>
      </c>
      <c r="O594" s="12">
        <f>IF($A594="","",IFERROR(INDEX(CONTRATOS!$F$2:$F$601,MATCH($A594,CONTRATOS!$A$2:$A$601,0)),""))</f>
        <v/>
      </c>
      <c r="P594" s="12">
        <f>IF($A594="","",IFERROR(INDEX(CONTRATOS!$M$2:$M$601,MATCH($A594,CONTRATOS!$A$2:$A$601,0)),""))</f>
        <v/>
      </c>
      <c r="Q594" s="12">
        <f>IF($A594="","",IF(COUNTIF(CONTRATOS!$A$2:$A$601,$A594)=0,"El contrato no existe en CONTRATOS; ","")&amp;IF($B594="","Falta sujeto; ",IF(COUNTIF(SUJETOS!$A$2:$A$601,$B594)=0,"El sujeto no existe en SUJETOS; ",""))&amp;IF($E594="","Falta porcentaje; ","")&amp;IF(N594&gt;1.0001,"Los porcentajes del contrato suman más de 100 %; ","")&amp;IF(AND($C594="Individual",$E594&lt;&gt;"",$E594&lt;&gt;1),"Individual debe ser 100 %; ","")&amp;IF(AND($C594&lt;&gt;"Individual",$C594&lt;&gt;"",$E594=1),"Consorcio o UT con 100 %: revise; ","")&amp;IF(COUNTIFS($A$2:$A$601,$A594,$B$2:$B$601,$B594)&gt;1,"Participación repetida; ","")&amp;IF(AND(IFERROR(INDEX(SUJETOS!$B$2:$B$601,MATCH($B594,SUJETOS!$A$2:$A$601,0)),"")="Persona natural",$G594=""),"Persona natural sin cargo; ",""))</f>
        <v/>
      </c>
      <c r="R594" s="12">
        <f>IF($A594="","",IFERROR(IF(LEN(INDEX(SUJETOS!$F$2:$F$601,MATCH($B594,SUJETOS!$A$2:$A$601,0)))&gt;0,INDEX(SUJETOS!$F$2:$F$601,MATCH($B594,SUJETOS!$A$2:$A$601,0)),$B594),$B594))</f>
        <v/>
      </c>
    </row>
    <row r="595">
      <c r="E595" s="18" t="n"/>
      <c r="K595" s="13">
        <f>IF(OR($A595="",$E595=""),"",IFERROR(E595*INDEX(CONTRATOS!$P$2:$P$601,MATCH($A595,CONTRATOS!$A$2:$A$601,0)),""))</f>
        <v/>
      </c>
      <c r="L595" s="17">
        <f>IF(OR($A595="",$E595=""),"",IFERROR(E595*INDEX(CONTRATOS!$Z$2:$Z$601,MATCH($A595,CONTRATOS!$A$2:$A$601,0)),""))</f>
        <v/>
      </c>
      <c r="M595" s="13">
        <f>IF(OR($A595="",$E595=""),"",IFERROR(E595*INDEX(CONTRATOS!$AA$2:$AA$601,MATCH($A595,CONTRATOS!$A$2:$A$601,0)),""))</f>
        <v/>
      </c>
      <c r="N595" s="19">
        <f>IF($A595="","",SUMIFS($E$2:$E$601,$A$2:$A$601,$A595))</f>
        <v/>
      </c>
      <c r="O595" s="12">
        <f>IF($A595="","",IFERROR(INDEX(CONTRATOS!$F$2:$F$601,MATCH($A595,CONTRATOS!$A$2:$A$601,0)),""))</f>
        <v/>
      </c>
      <c r="P595" s="12">
        <f>IF($A595="","",IFERROR(INDEX(CONTRATOS!$M$2:$M$601,MATCH($A595,CONTRATOS!$A$2:$A$601,0)),""))</f>
        <v/>
      </c>
      <c r="Q595" s="12">
        <f>IF($A595="","",IF(COUNTIF(CONTRATOS!$A$2:$A$601,$A595)=0,"El contrato no existe en CONTRATOS; ","")&amp;IF($B595="","Falta sujeto; ",IF(COUNTIF(SUJETOS!$A$2:$A$601,$B595)=0,"El sujeto no existe en SUJETOS; ",""))&amp;IF($E595="","Falta porcentaje; ","")&amp;IF(N595&gt;1.0001,"Los porcentajes del contrato suman más de 100 %; ","")&amp;IF(AND($C595="Individual",$E595&lt;&gt;"",$E595&lt;&gt;1),"Individual debe ser 100 %; ","")&amp;IF(AND($C595&lt;&gt;"Individual",$C595&lt;&gt;"",$E595=1),"Consorcio o UT con 100 %: revise; ","")&amp;IF(COUNTIFS($A$2:$A$601,$A595,$B$2:$B$601,$B595)&gt;1,"Participación repetida; ","")&amp;IF(AND(IFERROR(INDEX(SUJETOS!$B$2:$B$601,MATCH($B595,SUJETOS!$A$2:$A$601,0)),"")="Persona natural",$G595=""),"Persona natural sin cargo; ",""))</f>
        <v/>
      </c>
      <c r="R595" s="12">
        <f>IF($A595="","",IFERROR(IF(LEN(INDEX(SUJETOS!$F$2:$F$601,MATCH($B595,SUJETOS!$A$2:$A$601,0)))&gt;0,INDEX(SUJETOS!$F$2:$F$601,MATCH($B595,SUJETOS!$A$2:$A$601,0)),$B595),$B595))</f>
        <v/>
      </c>
    </row>
    <row r="596">
      <c r="E596" s="18" t="n"/>
      <c r="K596" s="13">
        <f>IF(OR($A596="",$E596=""),"",IFERROR(E596*INDEX(CONTRATOS!$P$2:$P$601,MATCH($A596,CONTRATOS!$A$2:$A$601,0)),""))</f>
        <v/>
      </c>
      <c r="L596" s="17">
        <f>IF(OR($A596="",$E596=""),"",IFERROR(E596*INDEX(CONTRATOS!$Z$2:$Z$601,MATCH($A596,CONTRATOS!$A$2:$A$601,0)),""))</f>
        <v/>
      </c>
      <c r="M596" s="13">
        <f>IF(OR($A596="",$E596=""),"",IFERROR(E596*INDEX(CONTRATOS!$AA$2:$AA$601,MATCH($A596,CONTRATOS!$A$2:$A$601,0)),""))</f>
        <v/>
      </c>
      <c r="N596" s="19">
        <f>IF($A596="","",SUMIFS($E$2:$E$601,$A$2:$A$601,$A596))</f>
        <v/>
      </c>
      <c r="O596" s="12">
        <f>IF($A596="","",IFERROR(INDEX(CONTRATOS!$F$2:$F$601,MATCH($A596,CONTRATOS!$A$2:$A$601,0)),""))</f>
        <v/>
      </c>
      <c r="P596" s="12">
        <f>IF($A596="","",IFERROR(INDEX(CONTRATOS!$M$2:$M$601,MATCH($A596,CONTRATOS!$A$2:$A$601,0)),""))</f>
        <v/>
      </c>
      <c r="Q596" s="12">
        <f>IF($A596="","",IF(COUNTIF(CONTRATOS!$A$2:$A$601,$A596)=0,"El contrato no existe en CONTRATOS; ","")&amp;IF($B596="","Falta sujeto; ",IF(COUNTIF(SUJETOS!$A$2:$A$601,$B596)=0,"El sujeto no existe en SUJETOS; ",""))&amp;IF($E596="","Falta porcentaje; ","")&amp;IF(N596&gt;1.0001,"Los porcentajes del contrato suman más de 100 %; ","")&amp;IF(AND($C596="Individual",$E596&lt;&gt;"",$E596&lt;&gt;1),"Individual debe ser 100 %; ","")&amp;IF(AND($C596&lt;&gt;"Individual",$C596&lt;&gt;"",$E596=1),"Consorcio o UT con 100 %: revise; ","")&amp;IF(COUNTIFS($A$2:$A$601,$A596,$B$2:$B$601,$B596)&gt;1,"Participación repetida; ","")&amp;IF(AND(IFERROR(INDEX(SUJETOS!$B$2:$B$601,MATCH($B596,SUJETOS!$A$2:$A$601,0)),"")="Persona natural",$G596=""),"Persona natural sin cargo; ",""))</f>
        <v/>
      </c>
      <c r="R596" s="12">
        <f>IF($A596="","",IFERROR(IF(LEN(INDEX(SUJETOS!$F$2:$F$601,MATCH($B596,SUJETOS!$A$2:$A$601,0)))&gt;0,INDEX(SUJETOS!$F$2:$F$601,MATCH($B596,SUJETOS!$A$2:$A$601,0)),$B596),$B596))</f>
        <v/>
      </c>
    </row>
    <row r="597">
      <c r="E597" s="18" t="n"/>
      <c r="K597" s="13">
        <f>IF(OR($A597="",$E597=""),"",IFERROR(E597*INDEX(CONTRATOS!$P$2:$P$601,MATCH($A597,CONTRATOS!$A$2:$A$601,0)),""))</f>
        <v/>
      </c>
      <c r="L597" s="17">
        <f>IF(OR($A597="",$E597=""),"",IFERROR(E597*INDEX(CONTRATOS!$Z$2:$Z$601,MATCH($A597,CONTRATOS!$A$2:$A$601,0)),""))</f>
        <v/>
      </c>
      <c r="M597" s="13">
        <f>IF(OR($A597="",$E597=""),"",IFERROR(E597*INDEX(CONTRATOS!$AA$2:$AA$601,MATCH($A597,CONTRATOS!$A$2:$A$601,0)),""))</f>
        <v/>
      </c>
      <c r="N597" s="19">
        <f>IF($A597="","",SUMIFS($E$2:$E$601,$A$2:$A$601,$A597))</f>
        <v/>
      </c>
      <c r="O597" s="12">
        <f>IF($A597="","",IFERROR(INDEX(CONTRATOS!$F$2:$F$601,MATCH($A597,CONTRATOS!$A$2:$A$601,0)),""))</f>
        <v/>
      </c>
      <c r="P597" s="12">
        <f>IF($A597="","",IFERROR(INDEX(CONTRATOS!$M$2:$M$601,MATCH($A597,CONTRATOS!$A$2:$A$601,0)),""))</f>
        <v/>
      </c>
      <c r="Q597" s="12">
        <f>IF($A597="","",IF(COUNTIF(CONTRATOS!$A$2:$A$601,$A597)=0,"El contrato no existe en CONTRATOS; ","")&amp;IF($B597="","Falta sujeto; ",IF(COUNTIF(SUJETOS!$A$2:$A$601,$B597)=0,"El sujeto no existe en SUJETOS; ",""))&amp;IF($E597="","Falta porcentaje; ","")&amp;IF(N597&gt;1.0001,"Los porcentajes del contrato suman más de 100 %; ","")&amp;IF(AND($C597="Individual",$E597&lt;&gt;"",$E597&lt;&gt;1),"Individual debe ser 100 %; ","")&amp;IF(AND($C597&lt;&gt;"Individual",$C597&lt;&gt;"",$E597=1),"Consorcio o UT con 100 %: revise; ","")&amp;IF(COUNTIFS($A$2:$A$601,$A597,$B$2:$B$601,$B597)&gt;1,"Participación repetida; ","")&amp;IF(AND(IFERROR(INDEX(SUJETOS!$B$2:$B$601,MATCH($B597,SUJETOS!$A$2:$A$601,0)),"")="Persona natural",$G597=""),"Persona natural sin cargo; ",""))</f>
        <v/>
      </c>
      <c r="R597" s="12">
        <f>IF($A597="","",IFERROR(IF(LEN(INDEX(SUJETOS!$F$2:$F$601,MATCH($B597,SUJETOS!$A$2:$A$601,0)))&gt;0,INDEX(SUJETOS!$F$2:$F$601,MATCH($B597,SUJETOS!$A$2:$A$601,0)),$B597),$B597))</f>
        <v/>
      </c>
    </row>
    <row r="598">
      <c r="E598" s="18" t="n"/>
      <c r="K598" s="13">
        <f>IF(OR($A598="",$E598=""),"",IFERROR(E598*INDEX(CONTRATOS!$P$2:$P$601,MATCH($A598,CONTRATOS!$A$2:$A$601,0)),""))</f>
        <v/>
      </c>
      <c r="L598" s="17">
        <f>IF(OR($A598="",$E598=""),"",IFERROR(E598*INDEX(CONTRATOS!$Z$2:$Z$601,MATCH($A598,CONTRATOS!$A$2:$A$601,0)),""))</f>
        <v/>
      </c>
      <c r="M598" s="13">
        <f>IF(OR($A598="",$E598=""),"",IFERROR(E598*INDEX(CONTRATOS!$AA$2:$AA$601,MATCH($A598,CONTRATOS!$A$2:$A$601,0)),""))</f>
        <v/>
      </c>
      <c r="N598" s="19">
        <f>IF($A598="","",SUMIFS($E$2:$E$601,$A$2:$A$601,$A598))</f>
        <v/>
      </c>
      <c r="O598" s="12">
        <f>IF($A598="","",IFERROR(INDEX(CONTRATOS!$F$2:$F$601,MATCH($A598,CONTRATOS!$A$2:$A$601,0)),""))</f>
        <v/>
      </c>
      <c r="P598" s="12">
        <f>IF($A598="","",IFERROR(INDEX(CONTRATOS!$M$2:$M$601,MATCH($A598,CONTRATOS!$A$2:$A$601,0)),""))</f>
        <v/>
      </c>
      <c r="Q598" s="12">
        <f>IF($A598="","",IF(COUNTIF(CONTRATOS!$A$2:$A$601,$A598)=0,"El contrato no existe en CONTRATOS; ","")&amp;IF($B598="","Falta sujeto; ",IF(COUNTIF(SUJETOS!$A$2:$A$601,$B598)=0,"El sujeto no existe en SUJETOS; ",""))&amp;IF($E598="","Falta porcentaje; ","")&amp;IF(N598&gt;1.0001,"Los porcentajes del contrato suman más de 100 %; ","")&amp;IF(AND($C598="Individual",$E598&lt;&gt;"",$E598&lt;&gt;1),"Individual debe ser 100 %; ","")&amp;IF(AND($C598&lt;&gt;"Individual",$C598&lt;&gt;"",$E598=1),"Consorcio o UT con 100 %: revise; ","")&amp;IF(COUNTIFS($A$2:$A$601,$A598,$B$2:$B$601,$B598)&gt;1,"Participación repetida; ","")&amp;IF(AND(IFERROR(INDEX(SUJETOS!$B$2:$B$601,MATCH($B598,SUJETOS!$A$2:$A$601,0)),"")="Persona natural",$G598=""),"Persona natural sin cargo; ",""))</f>
        <v/>
      </c>
      <c r="R598" s="12">
        <f>IF($A598="","",IFERROR(IF(LEN(INDEX(SUJETOS!$F$2:$F$601,MATCH($B598,SUJETOS!$A$2:$A$601,0)))&gt;0,INDEX(SUJETOS!$F$2:$F$601,MATCH($B598,SUJETOS!$A$2:$A$601,0)),$B598),$B598))</f>
        <v/>
      </c>
    </row>
    <row r="599">
      <c r="E599" s="18" t="n"/>
      <c r="K599" s="13">
        <f>IF(OR($A599="",$E599=""),"",IFERROR(E599*INDEX(CONTRATOS!$P$2:$P$601,MATCH($A599,CONTRATOS!$A$2:$A$601,0)),""))</f>
        <v/>
      </c>
      <c r="L599" s="17">
        <f>IF(OR($A599="",$E599=""),"",IFERROR(E599*INDEX(CONTRATOS!$Z$2:$Z$601,MATCH($A599,CONTRATOS!$A$2:$A$601,0)),""))</f>
        <v/>
      </c>
      <c r="M599" s="13">
        <f>IF(OR($A599="",$E599=""),"",IFERROR(E599*INDEX(CONTRATOS!$AA$2:$AA$601,MATCH($A599,CONTRATOS!$A$2:$A$601,0)),""))</f>
        <v/>
      </c>
      <c r="N599" s="19">
        <f>IF($A599="","",SUMIFS($E$2:$E$601,$A$2:$A$601,$A599))</f>
        <v/>
      </c>
      <c r="O599" s="12">
        <f>IF($A599="","",IFERROR(INDEX(CONTRATOS!$F$2:$F$601,MATCH($A599,CONTRATOS!$A$2:$A$601,0)),""))</f>
        <v/>
      </c>
      <c r="P599" s="12">
        <f>IF($A599="","",IFERROR(INDEX(CONTRATOS!$M$2:$M$601,MATCH($A599,CONTRATOS!$A$2:$A$601,0)),""))</f>
        <v/>
      </c>
      <c r="Q599" s="12">
        <f>IF($A599="","",IF(COUNTIF(CONTRATOS!$A$2:$A$601,$A599)=0,"El contrato no existe en CONTRATOS; ","")&amp;IF($B599="","Falta sujeto; ",IF(COUNTIF(SUJETOS!$A$2:$A$601,$B599)=0,"El sujeto no existe en SUJETOS; ",""))&amp;IF($E599="","Falta porcentaje; ","")&amp;IF(N599&gt;1.0001,"Los porcentajes del contrato suman más de 100 %; ","")&amp;IF(AND($C599="Individual",$E599&lt;&gt;"",$E599&lt;&gt;1),"Individual debe ser 100 %; ","")&amp;IF(AND($C599&lt;&gt;"Individual",$C599&lt;&gt;"",$E599=1),"Consorcio o UT con 100 %: revise; ","")&amp;IF(COUNTIFS($A$2:$A$601,$A599,$B$2:$B$601,$B599)&gt;1,"Participación repetida; ","")&amp;IF(AND(IFERROR(INDEX(SUJETOS!$B$2:$B$601,MATCH($B599,SUJETOS!$A$2:$A$601,0)),"")="Persona natural",$G599=""),"Persona natural sin cargo; ",""))</f>
        <v/>
      </c>
      <c r="R599" s="12">
        <f>IF($A599="","",IFERROR(IF(LEN(INDEX(SUJETOS!$F$2:$F$601,MATCH($B599,SUJETOS!$A$2:$A$601,0)))&gt;0,INDEX(SUJETOS!$F$2:$F$601,MATCH($B599,SUJETOS!$A$2:$A$601,0)),$B599),$B599))</f>
        <v/>
      </c>
    </row>
    <row r="600">
      <c r="E600" s="18" t="n"/>
      <c r="K600" s="13">
        <f>IF(OR($A600="",$E600=""),"",IFERROR(E600*INDEX(CONTRATOS!$P$2:$P$601,MATCH($A600,CONTRATOS!$A$2:$A$601,0)),""))</f>
        <v/>
      </c>
      <c r="L600" s="17">
        <f>IF(OR($A600="",$E600=""),"",IFERROR(E600*INDEX(CONTRATOS!$Z$2:$Z$601,MATCH($A600,CONTRATOS!$A$2:$A$601,0)),""))</f>
        <v/>
      </c>
      <c r="M600" s="13">
        <f>IF(OR($A600="",$E600=""),"",IFERROR(E600*INDEX(CONTRATOS!$AA$2:$AA$601,MATCH($A600,CONTRATOS!$A$2:$A$601,0)),""))</f>
        <v/>
      </c>
      <c r="N600" s="19">
        <f>IF($A600="","",SUMIFS($E$2:$E$601,$A$2:$A$601,$A600))</f>
        <v/>
      </c>
      <c r="O600" s="12">
        <f>IF($A600="","",IFERROR(INDEX(CONTRATOS!$F$2:$F$601,MATCH($A600,CONTRATOS!$A$2:$A$601,0)),""))</f>
        <v/>
      </c>
      <c r="P600" s="12">
        <f>IF($A600="","",IFERROR(INDEX(CONTRATOS!$M$2:$M$601,MATCH($A600,CONTRATOS!$A$2:$A$601,0)),""))</f>
        <v/>
      </c>
      <c r="Q600" s="12">
        <f>IF($A600="","",IF(COUNTIF(CONTRATOS!$A$2:$A$601,$A600)=0,"El contrato no existe en CONTRATOS; ","")&amp;IF($B600="","Falta sujeto; ",IF(COUNTIF(SUJETOS!$A$2:$A$601,$B600)=0,"El sujeto no existe en SUJETOS; ",""))&amp;IF($E600="","Falta porcentaje; ","")&amp;IF(N600&gt;1.0001,"Los porcentajes del contrato suman más de 100 %; ","")&amp;IF(AND($C600="Individual",$E600&lt;&gt;"",$E600&lt;&gt;1),"Individual debe ser 100 %; ","")&amp;IF(AND($C600&lt;&gt;"Individual",$C600&lt;&gt;"",$E600=1),"Consorcio o UT con 100 %: revise; ","")&amp;IF(COUNTIFS($A$2:$A$601,$A600,$B$2:$B$601,$B600)&gt;1,"Participación repetida; ","")&amp;IF(AND(IFERROR(INDEX(SUJETOS!$B$2:$B$601,MATCH($B600,SUJETOS!$A$2:$A$601,0)),"")="Persona natural",$G600=""),"Persona natural sin cargo; ",""))</f>
        <v/>
      </c>
      <c r="R600" s="12">
        <f>IF($A600="","",IFERROR(IF(LEN(INDEX(SUJETOS!$F$2:$F$601,MATCH($B600,SUJETOS!$A$2:$A$601,0)))&gt;0,INDEX(SUJETOS!$F$2:$F$601,MATCH($B600,SUJETOS!$A$2:$A$601,0)),$B600),$B600))</f>
        <v/>
      </c>
    </row>
    <row r="601">
      <c r="E601" s="18" t="n"/>
      <c r="K601" s="13">
        <f>IF(OR($A601="",$E601=""),"",IFERROR(E601*INDEX(CONTRATOS!$P$2:$P$601,MATCH($A601,CONTRATOS!$A$2:$A$601,0)),""))</f>
        <v/>
      </c>
      <c r="L601" s="17">
        <f>IF(OR($A601="",$E601=""),"",IFERROR(E601*INDEX(CONTRATOS!$Z$2:$Z$601,MATCH($A601,CONTRATOS!$A$2:$A$601,0)),""))</f>
        <v/>
      </c>
      <c r="M601" s="13">
        <f>IF(OR($A601="",$E601=""),"",IFERROR(E601*INDEX(CONTRATOS!$AA$2:$AA$601,MATCH($A601,CONTRATOS!$A$2:$A$601,0)),""))</f>
        <v/>
      </c>
      <c r="N601" s="19">
        <f>IF($A601="","",SUMIFS($E$2:$E$601,$A$2:$A$601,$A601))</f>
        <v/>
      </c>
      <c r="O601" s="12">
        <f>IF($A601="","",IFERROR(INDEX(CONTRATOS!$F$2:$F$601,MATCH($A601,CONTRATOS!$A$2:$A$601,0)),""))</f>
        <v/>
      </c>
      <c r="P601" s="12">
        <f>IF($A601="","",IFERROR(INDEX(CONTRATOS!$M$2:$M$601,MATCH($A601,CONTRATOS!$A$2:$A$601,0)),""))</f>
        <v/>
      </c>
      <c r="Q601" s="12">
        <f>IF($A601="","",IF(COUNTIF(CONTRATOS!$A$2:$A$601,$A601)=0,"El contrato no existe en CONTRATOS; ","")&amp;IF($B601="","Falta sujeto; ",IF(COUNTIF(SUJETOS!$A$2:$A$601,$B601)=0,"El sujeto no existe en SUJETOS; ",""))&amp;IF($E601="","Falta porcentaje; ","")&amp;IF(N601&gt;1.0001,"Los porcentajes del contrato suman más de 100 %; ","")&amp;IF(AND($C601="Individual",$E601&lt;&gt;"",$E601&lt;&gt;1),"Individual debe ser 100 %; ","")&amp;IF(AND($C601&lt;&gt;"Individual",$C601&lt;&gt;"",$E601=1),"Consorcio o UT con 100 %: revise; ","")&amp;IF(COUNTIFS($A$2:$A$601,$A601,$B$2:$B$601,$B601)&gt;1,"Participación repetida; ","")&amp;IF(AND(IFERROR(INDEX(SUJETOS!$B$2:$B$601,MATCH($B601,SUJETOS!$A$2:$A$601,0)),"")="Persona natural",$G601=""),"Persona natural sin cargo; ",""))</f>
        <v/>
      </c>
      <c r="R601" s="12">
        <f>IF($A601="","",IFERROR(IF(LEN(INDEX(SUJETOS!$F$2:$F$601,MATCH($B601,SUJETOS!$A$2:$A$601,0)))&gt;0,INDEX(SUJETOS!$F$2:$F$601,MATCH($B601,SUJETOS!$A$2:$A$601,0)),$B601),$B601))</f>
        <v/>
      </c>
    </row>
  </sheetData>
  <conditionalFormatting sqref="Q2:Q601">
    <cfRule type="expression" priority="1" dxfId="0">
      <formula>LEN($Q2)&gt;0</formula>
    </cfRule>
  </conditionalFormatting>
  <conditionalFormatting sqref="A2:A601">
    <cfRule type="expression" priority="2" dxfId="0">
      <formula>AND(COUNTA($A2:$E2)&gt;0,A2="")</formula>
    </cfRule>
  </conditionalFormatting>
  <conditionalFormatting sqref="B2:B601">
    <cfRule type="expression" priority="3" dxfId="0">
      <formula>AND(COUNTA($A2:$E2)&gt;0,B2="")</formula>
    </cfRule>
  </conditionalFormatting>
  <conditionalFormatting sqref="C2:C601">
    <cfRule type="expression" priority="4" dxfId="0">
      <formula>AND(COUNTA($A2:$E2)&gt;0,C2="")</formula>
    </cfRule>
  </conditionalFormatting>
  <conditionalFormatting sqref="E2:E601">
    <cfRule type="expression" priority="5" dxfId="0">
      <formula>AND(COUNTA($A2:$E2)&gt;0,E2="")</formula>
    </cfRule>
  </conditionalFormatting>
  <dataValidations count="8">
    <dataValidation sqref="A2:A601" showDropDown="0" showInputMessage="0" showErrorMessage="1" allowBlank="1" errorTitle="Contrato" error="Ese ID no está en la hoja CONTRATOS." type="list" errorStyle="warning">
      <formula1>=CONTRATOS!$A$2:$A$601</formula1>
    </dataValidation>
    <dataValidation sqref="B2:B601" showDropDown="0" showInputMessage="0" showErrorMessage="1" allowBlank="1" errorTitle="Sujeto" error="Ese ID no está en la hoja SUJETOS." type="list" errorStyle="warning">
      <formula1>=SUJETOS!$A$2:$A$601</formula1>
    </dataValidation>
    <dataValidation sqref="C2:C601" showDropDown="0" showInputMessage="0" showErrorMessage="1" allowBlank="1" errorTitle="Lista" error="Elija un valor de la lista." type="list">
      <formula1>=L_FORMA</formula1>
    </dataValidation>
    <dataValidation sqref="F2:F601" showDropDown="0" showInputMessage="0" showErrorMessage="1" allowBlank="1" errorTitle="Lista" error="Elija un valor de la lista." type="list">
      <formula1>=L_ROL</formula1>
    </dataValidation>
    <dataValidation sqref="G2:G601" showDropDown="0" showInputMessage="0" showErrorMessage="1" allowBlank="1" errorTitle="Lista" error="Elija un valor de la lista." type="list">
      <formula1>=L_CARGO</formula1>
    </dataValidation>
    <dataValidation sqref="H2:H601" showDropDown="0" showInputMessage="0" showErrorMessage="1" allowBlank="1" errorTitle="Lista" error="Elija un valor de la lista." type="list">
      <formula1>=L_CERT</formula1>
    </dataValidation>
    <dataValidation sqref="I2:I601" showDropDown="0" showInputMessage="0" showErrorMessage="1" allowBlank="1" errorTitle="Lista" error="Elija un valor de la lista." type="list">
      <formula1>=L_SINO</formula1>
    </dataValidation>
    <dataValidation sqref="E2:E601" showDropDown="0" showInputMessage="0" showErrorMessage="1" allowBlank="1" errorTitle="Porcentaje" error="Escriba un porcentaje entre 0 % y 100 % (ej. 45%)." type="decimal" operator="between">
      <formula1>0.0001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E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10" customWidth="1" min="4" max="4"/>
    <col width="10" customWidth="1" min="5" max="5"/>
  </cols>
  <sheetData>
    <row r="1" ht="42" customHeight="1">
      <c r="A1" s="9" t="inlineStr">
        <is>
          <t>ID_CONTRATO</t>
        </is>
      </c>
      <c r="B1" s="9" t="inlineStr">
        <is>
          <t>CODIGO_UNSPSC</t>
        </is>
      </c>
      <c r="C1" s="10" t="inlineStr">
        <is>
          <t>DESCRIPCION</t>
        </is>
      </c>
      <c r="D1" s="11" t="inlineStr">
        <is>
          <t>SEGMENTO</t>
        </is>
      </c>
      <c r="E1" s="11" t="inlineStr">
        <is>
          <t>FAMILIA</t>
        </is>
      </c>
    </row>
    <row r="2">
      <c r="A2" t="inlineStr">
        <is>
          <t>C-0001</t>
        </is>
      </c>
      <c r="B2" s="20" t="inlineStr">
        <is>
          <t>72141100</t>
        </is>
      </c>
      <c r="C2" t="inlineStr">
        <is>
          <t>Servicios de construcción de edificios institucionales</t>
        </is>
      </c>
      <c r="D2" s="12">
        <f>IF(B2="","",LEFT(B2,2))</f>
        <v/>
      </c>
      <c r="E2" s="12">
        <f>IF(B2="","",LEFT(B2,4))</f>
        <v/>
      </c>
    </row>
    <row r="3">
      <c r="A3" t="inlineStr">
        <is>
          <t>C-0002</t>
        </is>
      </c>
      <c r="B3" s="20" t="inlineStr">
        <is>
          <t>72141000</t>
        </is>
      </c>
      <c r="C3" t="inlineStr">
        <is>
          <t>(ejemplo) Servicios de construcción de carreteras</t>
        </is>
      </c>
      <c r="D3" s="12">
        <f>IF(B3="","",LEFT(B3,2))</f>
        <v/>
      </c>
      <c r="E3" s="12">
        <f>IF(B3="","",LEFT(B3,4))</f>
        <v/>
      </c>
    </row>
    <row r="4">
      <c r="B4" s="20" t="n"/>
      <c r="D4" s="12">
        <f>IF(B4="","",LEFT(B4,2))</f>
        <v/>
      </c>
      <c r="E4" s="12">
        <f>IF(B4="","",LEFT(B4,4))</f>
        <v/>
      </c>
    </row>
    <row r="5">
      <c r="B5" s="20" t="n"/>
      <c r="D5" s="12">
        <f>IF(B5="","",LEFT(B5,2))</f>
        <v/>
      </c>
      <c r="E5" s="12">
        <f>IF(B5="","",LEFT(B5,4))</f>
        <v/>
      </c>
    </row>
    <row r="6">
      <c r="B6" s="20" t="n"/>
      <c r="D6" s="12">
        <f>IF(B6="","",LEFT(B6,2))</f>
        <v/>
      </c>
      <c r="E6" s="12">
        <f>IF(B6="","",LEFT(B6,4))</f>
        <v/>
      </c>
    </row>
    <row r="7">
      <c r="B7" s="20" t="n"/>
      <c r="D7" s="12">
        <f>IF(B7="","",LEFT(B7,2))</f>
        <v/>
      </c>
      <c r="E7" s="12">
        <f>IF(B7="","",LEFT(B7,4))</f>
        <v/>
      </c>
    </row>
    <row r="8">
      <c r="B8" s="20" t="n"/>
      <c r="D8" s="12">
        <f>IF(B8="","",LEFT(B8,2))</f>
        <v/>
      </c>
      <c r="E8" s="12">
        <f>IF(B8="","",LEFT(B8,4))</f>
        <v/>
      </c>
    </row>
    <row r="9">
      <c r="B9" s="20" t="n"/>
      <c r="D9" s="12">
        <f>IF(B9="","",LEFT(B9,2))</f>
        <v/>
      </c>
      <c r="E9" s="12">
        <f>IF(B9="","",LEFT(B9,4))</f>
        <v/>
      </c>
    </row>
    <row r="10">
      <c r="B10" s="20" t="n"/>
      <c r="D10" s="12">
        <f>IF(B10="","",LEFT(B10,2))</f>
        <v/>
      </c>
      <c r="E10" s="12">
        <f>IF(B10="","",LEFT(B10,4))</f>
        <v/>
      </c>
    </row>
    <row r="11">
      <c r="B11" s="20" t="n"/>
      <c r="D11" s="12">
        <f>IF(B11="","",LEFT(B11,2))</f>
        <v/>
      </c>
      <c r="E11" s="12">
        <f>IF(B11="","",LEFT(B11,4))</f>
        <v/>
      </c>
    </row>
    <row r="12">
      <c r="B12" s="20" t="n"/>
      <c r="D12" s="12">
        <f>IF(B12="","",LEFT(B12,2))</f>
        <v/>
      </c>
      <c r="E12" s="12">
        <f>IF(B12="","",LEFT(B12,4))</f>
        <v/>
      </c>
    </row>
    <row r="13">
      <c r="B13" s="20" t="n"/>
      <c r="D13" s="12">
        <f>IF(B13="","",LEFT(B13,2))</f>
        <v/>
      </c>
      <c r="E13" s="12">
        <f>IF(B13="","",LEFT(B13,4))</f>
        <v/>
      </c>
    </row>
    <row r="14">
      <c r="B14" s="20" t="n"/>
      <c r="D14" s="12">
        <f>IF(B14="","",LEFT(B14,2))</f>
        <v/>
      </c>
      <c r="E14" s="12">
        <f>IF(B14="","",LEFT(B14,4))</f>
        <v/>
      </c>
    </row>
    <row r="15">
      <c r="B15" s="20" t="n"/>
      <c r="D15" s="12">
        <f>IF(B15="","",LEFT(B15,2))</f>
        <v/>
      </c>
      <c r="E15" s="12">
        <f>IF(B15="","",LEFT(B15,4))</f>
        <v/>
      </c>
    </row>
    <row r="16">
      <c r="B16" s="20" t="n"/>
      <c r="D16" s="12">
        <f>IF(B16="","",LEFT(B16,2))</f>
        <v/>
      </c>
      <c r="E16" s="12">
        <f>IF(B16="","",LEFT(B16,4))</f>
        <v/>
      </c>
    </row>
    <row r="17">
      <c r="B17" s="20" t="n"/>
      <c r="D17" s="12">
        <f>IF(B17="","",LEFT(B17,2))</f>
        <v/>
      </c>
      <c r="E17" s="12">
        <f>IF(B17="","",LEFT(B17,4))</f>
        <v/>
      </c>
    </row>
    <row r="18">
      <c r="B18" s="20" t="n"/>
      <c r="D18" s="12">
        <f>IF(B18="","",LEFT(B18,2))</f>
        <v/>
      </c>
      <c r="E18" s="12">
        <f>IF(B18="","",LEFT(B18,4))</f>
        <v/>
      </c>
    </row>
    <row r="19">
      <c r="B19" s="20" t="n"/>
      <c r="D19" s="12">
        <f>IF(B19="","",LEFT(B19,2))</f>
        <v/>
      </c>
      <c r="E19" s="12">
        <f>IF(B19="","",LEFT(B19,4))</f>
        <v/>
      </c>
    </row>
    <row r="20">
      <c r="B20" s="20" t="n"/>
      <c r="D20" s="12">
        <f>IF(B20="","",LEFT(B20,2))</f>
        <v/>
      </c>
      <c r="E20" s="12">
        <f>IF(B20="","",LEFT(B20,4))</f>
        <v/>
      </c>
    </row>
    <row r="21">
      <c r="B21" s="20" t="n"/>
      <c r="D21" s="12">
        <f>IF(B21="","",LEFT(B21,2))</f>
        <v/>
      </c>
      <c r="E21" s="12">
        <f>IF(B21="","",LEFT(B21,4))</f>
        <v/>
      </c>
    </row>
    <row r="22">
      <c r="B22" s="20" t="n"/>
      <c r="D22" s="12">
        <f>IF(B22="","",LEFT(B22,2))</f>
        <v/>
      </c>
      <c r="E22" s="12">
        <f>IF(B22="","",LEFT(B22,4))</f>
        <v/>
      </c>
    </row>
    <row r="23">
      <c r="B23" s="20" t="n"/>
      <c r="D23" s="12">
        <f>IF(B23="","",LEFT(B23,2))</f>
        <v/>
      </c>
      <c r="E23" s="12">
        <f>IF(B23="","",LEFT(B23,4))</f>
        <v/>
      </c>
    </row>
    <row r="24">
      <c r="B24" s="20" t="n"/>
      <c r="D24" s="12">
        <f>IF(B24="","",LEFT(B24,2))</f>
        <v/>
      </c>
      <c r="E24" s="12">
        <f>IF(B24="","",LEFT(B24,4))</f>
        <v/>
      </c>
    </row>
    <row r="25">
      <c r="B25" s="20" t="n"/>
      <c r="D25" s="12">
        <f>IF(B25="","",LEFT(B25,2))</f>
        <v/>
      </c>
      <c r="E25" s="12">
        <f>IF(B25="","",LEFT(B25,4))</f>
        <v/>
      </c>
    </row>
    <row r="26">
      <c r="B26" s="20" t="n"/>
      <c r="D26" s="12">
        <f>IF(B26="","",LEFT(B26,2))</f>
        <v/>
      </c>
      <c r="E26" s="12">
        <f>IF(B26="","",LEFT(B26,4))</f>
        <v/>
      </c>
    </row>
    <row r="27">
      <c r="B27" s="20" t="n"/>
      <c r="D27" s="12">
        <f>IF(B27="","",LEFT(B27,2))</f>
        <v/>
      </c>
      <c r="E27" s="12">
        <f>IF(B27="","",LEFT(B27,4))</f>
        <v/>
      </c>
    </row>
    <row r="28">
      <c r="B28" s="20" t="n"/>
      <c r="D28" s="12">
        <f>IF(B28="","",LEFT(B28,2))</f>
        <v/>
      </c>
      <c r="E28" s="12">
        <f>IF(B28="","",LEFT(B28,4))</f>
        <v/>
      </c>
    </row>
    <row r="29">
      <c r="B29" s="20" t="n"/>
      <c r="D29" s="12">
        <f>IF(B29="","",LEFT(B29,2))</f>
        <v/>
      </c>
      <c r="E29" s="12">
        <f>IF(B29="","",LEFT(B29,4))</f>
        <v/>
      </c>
    </row>
    <row r="30">
      <c r="B30" s="20" t="n"/>
      <c r="D30" s="12">
        <f>IF(B30="","",LEFT(B30,2))</f>
        <v/>
      </c>
      <c r="E30" s="12">
        <f>IF(B30="","",LEFT(B30,4))</f>
        <v/>
      </c>
    </row>
    <row r="31">
      <c r="B31" s="20" t="n"/>
      <c r="D31" s="12">
        <f>IF(B31="","",LEFT(B31,2))</f>
        <v/>
      </c>
      <c r="E31" s="12">
        <f>IF(B31="","",LEFT(B31,4))</f>
        <v/>
      </c>
    </row>
    <row r="32">
      <c r="B32" s="20" t="n"/>
      <c r="D32" s="12">
        <f>IF(B32="","",LEFT(B32,2))</f>
        <v/>
      </c>
      <c r="E32" s="12">
        <f>IF(B32="","",LEFT(B32,4))</f>
        <v/>
      </c>
    </row>
    <row r="33">
      <c r="B33" s="20" t="n"/>
      <c r="D33" s="12">
        <f>IF(B33="","",LEFT(B33,2))</f>
        <v/>
      </c>
      <c r="E33" s="12">
        <f>IF(B33="","",LEFT(B33,4))</f>
        <v/>
      </c>
    </row>
    <row r="34">
      <c r="B34" s="20" t="n"/>
      <c r="D34" s="12">
        <f>IF(B34="","",LEFT(B34,2))</f>
        <v/>
      </c>
      <c r="E34" s="12">
        <f>IF(B34="","",LEFT(B34,4))</f>
        <v/>
      </c>
    </row>
    <row r="35">
      <c r="B35" s="20" t="n"/>
      <c r="D35" s="12">
        <f>IF(B35="","",LEFT(B35,2))</f>
        <v/>
      </c>
      <c r="E35" s="12">
        <f>IF(B35="","",LEFT(B35,4))</f>
        <v/>
      </c>
    </row>
    <row r="36">
      <c r="B36" s="20" t="n"/>
      <c r="D36" s="12">
        <f>IF(B36="","",LEFT(B36,2))</f>
        <v/>
      </c>
      <c r="E36" s="12">
        <f>IF(B36="","",LEFT(B36,4))</f>
        <v/>
      </c>
    </row>
    <row r="37">
      <c r="B37" s="20" t="n"/>
      <c r="D37" s="12">
        <f>IF(B37="","",LEFT(B37,2))</f>
        <v/>
      </c>
      <c r="E37" s="12">
        <f>IF(B37="","",LEFT(B37,4))</f>
        <v/>
      </c>
    </row>
    <row r="38">
      <c r="B38" s="20" t="n"/>
      <c r="D38" s="12">
        <f>IF(B38="","",LEFT(B38,2))</f>
        <v/>
      </c>
      <c r="E38" s="12">
        <f>IF(B38="","",LEFT(B38,4))</f>
        <v/>
      </c>
    </row>
    <row r="39">
      <c r="B39" s="20" t="n"/>
      <c r="D39" s="12">
        <f>IF(B39="","",LEFT(B39,2))</f>
        <v/>
      </c>
      <c r="E39" s="12">
        <f>IF(B39="","",LEFT(B39,4))</f>
        <v/>
      </c>
    </row>
    <row r="40">
      <c r="B40" s="20" t="n"/>
      <c r="D40" s="12">
        <f>IF(B40="","",LEFT(B40,2))</f>
        <v/>
      </c>
      <c r="E40" s="12">
        <f>IF(B40="","",LEFT(B40,4))</f>
        <v/>
      </c>
    </row>
    <row r="41">
      <c r="B41" s="20" t="n"/>
      <c r="D41" s="12">
        <f>IF(B41="","",LEFT(B41,2))</f>
        <v/>
      </c>
      <c r="E41" s="12">
        <f>IF(B41="","",LEFT(B41,4))</f>
        <v/>
      </c>
    </row>
    <row r="42">
      <c r="B42" s="20" t="n"/>
      <c r="D42" s="12">
        <f>IF(B42="","",LEFT(B42,2))</f>
        <v/>
      </c>
      <c r="E42" s="12">
        <f>IF(B42="","",LEFT(B42,4))</f>
        <v/>
      </c>
    </row>
    <row r="43">
      <c r="B43" s="20" t="n"/>
      <c r="D43" s="12">
        <f>IF(B43="","",LEFT(B43,2))</f>
        <v/>
      </c>
      <c r="E43" s="12">
        <f>IF(B43="","",LEFT(B43,4))</f>
        <v/>
      </c>
    </row>
    <row r="44">
      <c r="B44" s="20" t="n"/>
      <c r="D44" s="12">
        <f>IF(B44="","",LEFT(B44,2))</f>
        <v/>
      </c>
      <c r="E44" s="12">
        <f>IF(B44="","",LEFT(B44,4))</f>
        <v/>
      </c>
    </row>
    <row r="45">
      <c r="B45" s="20" t="n"/>
      <c r="D45" s="12">
        <f>IF(B45="","",LEFT(B45,2))</f>
        <v/>
      </c>
      <c r="E45" s="12">
        <f>IF(B45="","",LEFT(B45,4))</f>
        <v/>
      </c>
    </row>
    <row r="46">
      <c r="B46" s="20" t="n"/>
      <c r="D46" s="12">
        <f>IF(B46="","",LEFT(B46,2))</f>
        <v/>
      </c>
      <c r="E46" s="12">
        <f>IF(B46="","",LEFT(B46,4))</f>
        <v/>
      </c>
    </row>
    <row r="47">
      <c r="B47" s="20" t="n"/>
      <c r="D47" s="12">
        <f>IF(B47="","",LEFT(B47,2))</f>
        <v/>
      </c>
      <c r="E47" s="12">
        <f>IF(B47="","",LEFT(B47,4))</f>
        <v/>
      </c>
    </row>
    <row r="48">
      <c r="B48" s="20" t="n"/>
      <c r="D48" s="12">
        <f>IF(B48="","",LEFT(B48,2))</f>
        <v/>
      </c>
      <c r="E48" s="12">
        <f>IF(B48="","",LEFT(B48,4))</f>
        <v/>
      </c>
    </row>
    <row r="49">
      <c r="B49" s="20" t="n"/>
      <c r="D49" s="12">
        <f>IF(B49="","",LEFT(B49,2))</f>
        <v/>
      </c>
      <c r="E49" s="12">
        <f>IF(B49="","",LEFT(B49,4))</f>
        <v/>
      </c>
    </row>
    <row r="50">
      <c r="B50" s="20" t="n"/>
      <c r="D50" s="12">
        <f>IF(B50="","",LEFT(B50,2))</f>
        <v/>
      </c>
      <c r="E50" s="12">
        <f>IF(B50="","",LEFT(B50,4))</f>
        <v/>
      </c>
    </row>
    <row r="51">
      <c r="B51" s="20" t="n"/>
      <c r="D51" s="12">
        <f>IF(B51="","",LEFT(B51,2))</f>
        <v/>
      </c>
      <c r="E51" s="12">
        <f>IF(B51="","",LEFT(B51,4))</f>
        <v/>
      </c>
    </row>
    <row r="52">
      <c r="B52" s="20" t="n"/>
      <c r="D52" s="12">
        <f>IF(B52="","",LEFT(B52,2))</f>
        <v/>
      </c>
      <c r="E52" s="12">
        <f>IF(B52="","",LEFT(B52,4))</f>
        <v/>
      </c>
    </row>
    <row r="53">
      <c r="B53" s="20" t="n"/>
      <c r="D53" s="12">
        <f>IF(B53="","",LEFT(B53,2))</f>
        <v/>
      </c>
      <c r="E53" s="12">
        <f>IF(B53="","",LEFT(B53,4))</f>
        <v/>
      </c>
    </row>
    <row r="54">
      <c r="B54" s="20" t="n"/>
      <c r="D54" s="12">
        <f>IF(B54="","",LEFT(B54,2))</f>
        <v/>
      </c>
      <c r="E54" s="12">
        <f>IF(B54="","",LEFT(B54,4))</f>
        <v/>
      </c>
    </row>
    <row r="55">
      <c r="B55" s="20" t="n"/>
      <c r="D55" s="12">
        <f>IF(B55="","",LEFT(B55,2))</f>
        <v/>
      </c>
      <c r="E55" s="12">
        <f>IF(B55="","",LEFT(B55,4))</f>
        <v/>
      </c>
    </row>
    <row r="56">
      <c r="B56" s="20" t="n"/>
      <c r="D56" s="12">
        <f>IF(B56="","",LEFT(B56,2))</f>
        <v/>
      </c>
      <c r="E56" s="12">
        <f>IF(B56="","",LEFT(B56,4))</f>
        <v/>
      </c>
    </row>
    <row r="57">
      <c r="B57" s="20" t="n"/>
      <c r="D57" s="12">
        <f>IF(B57="","",LEFT(B57,2))</f>
        <v/>
      </c>
      <c r="E57" s="12">
        <f>IF(B57="","",LEFT(B57,4))</f>
        <v/>
      </c>
    </row>
    <row r="58">
      <c r="B58" s="20" t="n"/>
      <c r="D58" s="12">
        <f>IF(B58="","",LEFT(B58,2))</f>
        <v/>
      </c>
      <c r="E58" s="12">
        <f>IF(B58="","",LEFT(B58,4))</f>
        <v/>
      </c>
    </row>
    <row r="59">
      <c r="B59" s="20" t="n"/>
      <c r="D59" s="12">
        <f>IF(B59="","",LEFT(B59,2))</f>
        <v/>
      </c>
      <c r="E59" s="12">
        <f>IF(B59="","",LEFT(B59,4))</f>
        <v/>
      </c>
    </row>
    <row r="60">
      <c r="B60" s="20" t="n"/>
      <c r="D60" s="12">
        <f>IF(B60="","",LEFT(B60,2))</f>
        <v/>
      </c>
      <c r="E60" s="12">
        <f>IF(B60="","",LEFT(B60,4))</f>
        <v/>
      </c>
    </row>
    <row r="61">
      <c r="B61" s="20" t="n"/>
      <c r="D61" s="12">
        <f>IF(B61="","",LEFT(B61,2))</f>
        <v/>
      </c>
      <c r="E61" s="12">
        <f>IF(B61="","",LEFT(B61,4))</f>
        <v/>
      </c>
    </row>
    <row r="62">
      <c r="B62" s="20" t="n"/>
      <c r="D62" s="12">
        <f>IF(B62="","",LEFT(B62,2))</f>
        <v/>
      </c>
      <c r="E62" s="12">
        <f>IF(B62="","",LEFT(B62,4))</f>
        <v/>
      </c>
    </row>
    <row r="63">
      <c r="B63" s="20" t="n"/>
      <c r="D63" s="12">
        <f>IF(B63="","",LEFT(B63,2))</f>
        <v/>
      </c>
      <c r="E63" s="12">
        <f>IF(B63="","",LEFT(B63,4))</f>
        <v/>
      </c>
    </row>
    <row r="64">
      <c r="B64" s="20" t="n"/>
      <c r="D64" s="12">
        <f>IF(B64="","",LEFT(B64,2))</f>
        <v/>
      </c>
      <c r="E64" s="12">
        <f>IF(B64="","",LEFT(B64,4))</f>
        <v/>
      </c>
    </row>
    <row r="65">
      <c r="B65" s="20" t="n"/>
      <c r="D65" s="12">
        <f>IF(B65="","",LEFT(B65,2))</f>
        <v/>
      </c>
      <c r="E65" s="12">
        <f>IF(B65="","",LEFT(B65,4))</f>
        <v/>
      </c>
    </row>
    <row r="66">
      <c r="B66" s="20" t="n"/>
      <c r="D66" s="12">
        <f>IF(B66="","",LEFT(B66,2))</f>
        <v/>
      </c>
      <c r="E66" s="12">
        <f>IF(B66="","",LEFT(B66,4))</f>
        <v/>
      </c>
    </row>
    <row r="67">
      <c r="B67" s="20" t="n"/>
      <c r="D67" s="12">
        <f>IF(B67="","",LEFT(B67,2))</f>
        <v/>
      </c>
      <c r="E67" s="12">
        <f>IF(B67="","",LEFT(B67,4))</f>
        <v/>
      </c>
    </row>
    <row r="68">
      <c r="B68" s="20" t="n"/>
      <c r="D68" s="12">
        <f>IF(B68="","",LEFT(B68,2))</f>
        <v/>
      </c>
      <c r="E68" s="12">
        <f>IF(B68="","",LEFT(B68,4))</f>
        <v/>
      </c>
    </row>
    <row r="69">
      <c r="B69" s="20" t="n"/>
      <c r="D69" s="12">
        <f>IF(B69="","",LEFT(B69,2))</f>
        <v/>
      </c>
      <c r="E69" s="12">
        <f>IF(B69="","",LEFT(B69,4))</f>
        <v/>
      </c>
    </row>
    <row r="70">
      <c r="B70" s="20" t="n"/>
      <c r="D70" s="12">
        <f>IF(B70="","",LEFT(B70,2))</f>
        <v/>
      </c>
      <c r="E70" s="12">
        <f>IF(B70="","",LEFT(B70,4))</f>
        <v/>
      </c>
    </row>
    <row r="71">
      <c r="B71" s="20" t="n"/>
      <c r="D71" s="12">
        <f>IF(B71="","",LEFT(B71,2))</f>
        <v/>
      </c>
      <c r="E71" s="12">
        <f>IF(B71="","",LEFT(B71,4))</f>
        <v/>
      </c>
    </row>
    <row r="72">
      <c r="B72" s="20" t="n"/>
      <c r="D72" s="12">
        <f>IF(B72="","",LEFT(B72,2))</f>
        <v/>
      </c>
      <c r="E72" s="12">
        <f>IF(B72="","",LEFT(B72,4))</f>
        <v/>
      </c>
    </row>
    <row r="73">
      <c r="B73" s="20" t="n"/>
      <c r="D73" s="12">
        <f>IF(B73="","",LEFT(B73,2))</f>
        <v/>
      </c>
      <c r="E73" s="12">
        <f>IF(B73="","",LEFT(B73,4))</f>
        <v/>
      </c>
    </row>
    <row r="74">
      <c r="B74" s="20" t="n"/>
      <c r="D74" s="12">
        <f>IF(B74="","",LEFT(B74,2))</f>
        <v/>
      </c>
      <c r="E74" s="12">
        <f>IF(B74="","",LEFT(B74,4))</f>
        <v/>
      </c>
    </row>
    <row r="75">
      <c r="B75" s="20" t="n"/>
      <c r="D75" s="12">
        <f>IF(B75="","",LEFT(B75,2))</f>
        <v/>
      </c>
      <c r="E75" s="12">
        <f>IF(B75="","",LEFT(B75,4))</f>
        <v/>
      </c>
    </row>
    <row r="76">
      <c r="B76" s="20" t="n"/>
      <c r="D76" s="12">
        <f>IF(B76="","",LEFT(B76,2))</f>
        <v/>
      </c>
      <c r="E76" s="12">
        <f>IF(B76="","",LEFT(B76,4))</f>
        <v/>
      </c>
    </row>
    <row r="77">
      <c r="B77" s="20" t="n"/>
      <c r="D77" s="12">
        <f>IF(B77="","",LEFT(B77,2))</f>
        <v/>
      </c>
      <c r="E77" s="12">
        <f>IF(B77="","",LEFT(B77,4))</f>
        <v/>
      </c>
    </row>
    <row r="78">
      <c r="B78" s="20" t="n"/>
      <c r="D78" s="12">
        <f>IF(B78="","",LEFT(B78,2))</f>
        <v/>
      </c>
      <c r="E78" s="12">
        <f>IF(B78="","",LEFT(B78,4))</f>
        <v/>
      </c>
    </row>
    <row r="79">
      <c r="B79" s="20" t="n"/>
      <c r="D79" s="12">
        <f>IF(B79="","",LEFT(B79,2))</f>
        <v/>
      </c>
      <c r="E79" s="12">
        <f>IF(B79="","",LEFT(B79,4))</f>
        <v/>
      </c>
    </row>
    <row r="80">
      <c r="B80" s="20" t="n"/>
      <c r="D80" s="12">
        <f>IF(B80="","",LEFT(B80,2))</f>
        <v/>
      </c>
      <c r="E80" s="12">
        <f>IF(B80="","",LEFT(B80,4))</f>
        <v/>
      </c>
    </row>
    <row r="81">
      <c r="B81" s="20" t="n"/>
      <c r="D81" s="12">
        <f>IF(B81="","",LEFT(B81,2))</f>
        <v/>
      </c>
      <c r="E81" s="12">
        <f>IF(B81="","",LEFT(B81,4))</f>
        <v/>
      </c>
    </row>
    <row r="82">
      <c r="B82" s="20" t="n"/>
      <c r="D82" s="12">
        <f>IF(B82="","",LEFT(B82,2))</f>
        <v/>
      </c>
      <c r="E82" s="12">
        <f>IF(B82="","",LEFT(B82,4))</f>
        <v/>
      </c>
    </row>
    <row r="83">
      <c r="B83" s="20" t="n"/>
      <c r="D83" s="12">
        <f>IF(B83="","",LEFT(B83,2))</f>
        <v/>
      </c>
      <c r="E83" s="12">
        <f>IF(B83="","",LEFT(B83,4))</f>
        <v/>
      </c>
    </row>
    <row r="84">
      <c r="B84" s="20" t="n"/>
      <c r="D84" s="12">
        <f>IF(B84="","",LEFT(B84,2))</f>
        <v/>
      </c>
      <c r="E84" s="12">
        <f>IF(B84="","",LEFT(B84,4))</f>
        <v/>
      </c>
    </row>
    <row r="85">
      <c r="B85" s="20" t="n"/>
      <c r="D85" s="12">
        <f>IF(B85="","",LEFT(B85,2))</f>
        <v/>
      </c>
      <c r="E85" s="12">
        <f>IF(B85="","",LEFT(B85,4))</f>
        <v/>
      </c>
    </row>
    <row r="86">
      <c r="B86" s="20" t="n"/>
      <c r="D86" s="12">
        <f>IF(B86="","",LEFT(B86,2))</f>
        <v/>
      </c>
      <c r="E86" s="12">
        <f>IF(B86="","",LEFT(B86,4))</f>
        <v/>
      </c>
    </row>
    <row r="87">
      <c r="B87" s="20" t="n"/>
      <c r="D87" s="12">
        <f>IF(B87="","",LEFT(B87,2))</f>
        <v/>
      </c>
      <c r="E87" s="12">
        <f>IF(B87="","",LEFT(B87,4))</f>
        <v/>
      </c>
    </row>
    <row r="88">
      <c r="B88" s="20" t="n"/>
      <c r="D88" s="12">
        <f>IF(B88="","",LEFT(B88,2))</f>
        <v/>
      </c>
      <c r="E88" s="12">
        <f>IF(B88="","",LEFT(B88,4))</f>
        <v/>
      </c>
    </row>
    <row r="89">
      <c r="B89" s="20" t="n"/>
      <c r="D89" s="12">
        <f>IF(B89="","",LEFT(B89,2))</f>
        <v/>
      </c>
      <c r="E89" s="12">
        <f>IF(B89="","",LEFT(B89,4))</f>
        <v/>
      </c>
    </row>
    <row r="90">
      <c r="B90" s="20" t="n"/>
      <c r="D90" s="12">
        <f>IF(B90="","",LEFT(B90,2))</f>
        <v/>
      </c>
      <c r="E90" s="12">
        <f>IF(B90="","",LEFT(B90,4))</f>
        <v/>
      </c>
    </row>
    <row r="91">
      <c r="B91" s="20" t="n"/>
      <c r="D91" s="12">
        <f>IF(B91="","",LEFT(B91,2))</f>
        <v/>
      </c>
      <c r="E91" s="12">
        <f>IF(B91="","",LEFT(B91,4))</f>
        <v/>
      </c>
    </row>
    <row r="92">
      <c r="B92" s="20" t="n"/>
      <c r="D92" s="12">
        <f>IF(B92="","",LEFT(B92,2))</f>
        <v/>
      </c>
      <c r="E92" s="12">
        <f>IF(B92="","",LEFT(B92,4))</f>
        <v/>
      </c>
    </row>
    <row r="93">
      <c r="B93" s="20" t="n"/>
      <c r="D93" s="12">
        <f>IF(B93="","",LEFT(B93,2))</f>
        <v/>
      </c>
      <c r="E93" s="12">
        <f>IF(B93="","",LEFT(B93,4))</f>
        <v/>
      </c>
    </row>
    <row r="94">
      <c r="B94" s="20" t="n"/>
      <c r="D94" s="12">
        <f>IF(B94="","",LEFT(B94,2))</f>
        <v/>
      </c>
      <c r="E94" s="12">
        <f>IF(B94="","",LEFT(B94,4))</f>
        <v/>
      </c>
    </row>
    <row r="95">
      <c r="B95" s="20" t="n"/>
      <c r="D95" s="12">
        <f>IF(B95="","",LEFT(B95,2))</f>
        <v/>
      </c>
      <c r="E95" s="12">
        <f>IF(B95="","",LEFT(B95,4))</f>
        <v/>
      </c>
    </row>
    <row r="96">
      <c r="B96" s="20" t="n"/>
      <c r="D96" s="12">
        <f>IF(B96="","",LEFT(B96,2))</f>
        <v/>
      </c>
      <c r="E96" s="12">
        <f>IF(B96="","",LEFT(B96,4))</f>
        <v/>
      </c>
    </row>
    <row r="97">
      <c r="B97" s="20" t="n"/>
      <c r="D97" s="12">
        <f>IF(B97="","",LEFT(B97,2))</f>
        <v/>
      </c>
      <c r="E97" s="12">
        <f>IF(B97="","",LEFT(B97,4))</f>
        <v/>
      </c>
    </row>
    <row r="98">
      <c r="B98" s="20" t="n"/>
      <c r="D98" s="12">
        <f>IF(B98="","",LEFT(B98,2))</f>
        <v/>
      </c>
      <c r="E98" s="12">
        <f>IF(B98="","",LEFT(B98,4))</f>
        <v/>
      </c>
    </row>
    <row r="99">
      <c r="B99" s="20" t="n"/>
      <c r="D99" s="12">
        <f>IF(B99="","",LEFT(B99,2))</f>
        <v/>
      </c>
      <c r="E99" s="12">
        <f>IF(B99="","",LEFT(B99,4))</f>
        <v/>
      </c>
    </row>
    <row r="100">
      <c r="B100" s="20" t="n"/>
      <c r="D100" s="12">
        <f>IF(B100="","",LEFT(B100,2))</f>
        <v/>
      </c>
      <c r="E100" s="12">
        <f>IF(B100="","",LEFT(B100,4))</f>
        <v/>
      </c>
    </row>
    <row r="101">
      <c r="B101" s="20" t="n"/>
      <c r="D101" s="12">
        <f>IF(B101="","",LEFT(B101,2))</f>
        <v/>
      </c>
      <c r="E101" s="12">
        <f>IF(B101="","",LEFT(B101,4))</f>
        <v/>
      </c>
    </row>
    <row r="102">
      <c r="B102" s="20" t="n"/>
      <c r="D102" s="12">
        <f>IF(B102="","",LEFT(B102,2))</f>
        <v/>
      </c>
      <c r="E102" s="12">
        <f>IF(B102="","",LEFT(B102,4))</f>
        <v/>
      </c>
    </row>
    <row r="103">
      <c r="B103" s="20" t="n"/>
      <c r="D103" s="12">
        <f>IF(B103="","",LEFT(B103,2))</f>
        <v/>
      </c>
      <c r="E103" s="12">
        <f>IF(B103="","",LEFT(B103,4))</f>
        <v/>
      </c>
    </row>
    <row r="104">
      <c r="B104" s="20" t="n"/>
      <c r="D104" s="12">
        <f>IF(B104="","",LEFT(B104,2))</f>
        <v/>
      </c>
      <c r="E104" s="12">
        <f>IF(B104="","",LEFT(B104,4))</f>
        <v/>
      </c>
    </row>
    <row r="105">
      <c r="B105" s="20" t="n"/>
      <c r="D105" s="12">
        <f>IF(B105="","",LEFT(B105,2))</f>
        <v/>
      </c>
      <c r="E105" s="12">
        <f>IF(B105="","",LEFT(B105,4))</f>
        <v/>
      </c>
    </row>
    <row r="106">
      <c r="B106" s="20" t="n"/>
      <c r="D106" s="12">
        <f>IF(B106="","",LEFT(B106,2))</f>
        <v/>
      </c>
      <c r="E106" s="12">
        <f>IF(B106="","",LEFT(B106,4))</f>
        <v/>
      </c>
    </row>
    <row r="107">
      <c r="B107" s="20" t="n"/>
      <c r="D107" s="12">
        <f>IF(B107="","",LEFT(B107,2))</f>
        <v/>
      </c>
      <c r="E107" s="12">
        <f>IF(B107="","",LEFT(B107,4))</f>
        <v/>
      </c>
    </row>
    <row r="108">
      <c r="B108" s="20" t="n"/>
      <c r="D108" s="12">
        <f>IF(B108="","",LEFT(B108,2))</f>
        <v/>
      </c>
      <c r="E108" s="12">
        <f>IF(B108="","",LEFT(B108,4))</f>
        <v/>
      </c>
    </row>
    <row r="109">
      <c r="B109" s="20" t="n"/>
      <c r="D109" s="12">
        <f>IF(B109="","",LEFT(B109,2))</f>
        <v/>
      </c>
      <c r="E109" s="12">
        <f>IF(B109="","",LEFT(B109,4))</f>
        <v/>
      </c>
    </row>
    <row r="110">
      <c r="B110" s="20" t="n"/>
      <c r="D110" s="12">
        <f>IF(B110="","",LEFT(B110,2))</f>
        <v/>
      </c>
      <c r="E110" s="12">
        <f>IF(B110="","",LEFT(B110,4))</f>
        <v/>
      </c>
    </row>
    <row r="111">
      <c r="B111" s="20" t="n"/>
      <c r="D111" s="12">
        <f>IF(B111="","",LEFT(B111,2))</f>
        <v/>
      </c>
      <c r="E111" s="12">
        <f>IF(B111="","",LEFT(B111,4))</f>
        <v/>
      </c>
    </row>
    <row r="112">
      <c r="B112" s="20" t="n"/>
      <c r="D112" s="12">
        <f>IF(B112="","",LEFT(B112,2))</f>
        <v/>
      </c>
      <c r="E112" s="12">
        <f>IF(B112="","",LEFT(B112,4))</f>
        <v/>
      </c>
    </row>
    <row r="113">
      <c r="B113" s="20" t="n"/>
      <c r="D113" s="12">
        <f>IF(B113="","",LEFT(B113,2))</f>
        <v/>
      </c>
      <c r="E113" s="12">
        <f>IF(B113="","",LEFT(B113,4))</f>
        <v/>
      </c>
    </row>
    <row r="114">
      <c r="B114" s="20" t="n"/>
      <c r="D114" s="12">
        <f>IF(B114="","",LEFT(B114,2))</f>
        <v/>
      </c>
      <c r="E114" s="12">
        <f>IF(B114="","",LEFT(B114,4))</f>
        <v/>
      </c>
    </row>
    <row r="115">
      <c r="B115" s="20" t="n"/>
      <c r="D115" s="12">
        <f>IF(B115="","",LEFT(B115,2))</f>
        <v/>
      </c>
      <c r="E115" s="12">
        <f>IF(B115="","",LEFT(B115,4))</f>
        <v/>
      </c>
    </row>
    <row r="116">
      <c r="B116" s="20" t="n"/>
      <c r="D116" s="12">
        <f>IF(B116="","",LEFT(B116,2))</f>
        <v/>
      </c>
      <c r="E116" s="12">
        <f>IF(B116="","",LEFT(B116,4))</f>
        <v/>
      </c>
    </row>
    <row r="117">
      <c r="B117" s="20" t="n"/>
      <c r="D117" s="12">
        <f>IF(B117="","",LEFT(B117,2))</f>
        <v/>
      </c>
      <c r="E117" s="12">
        <f>IF(B117="","",LEFT(B117,4))</f>
        <v/>
      </c>
    </row>
    <row r="118">
      <c r="B118" s="20" t="n"/>
      <c r="D118" s="12">
        <f>IF(B118="","",LEFT(B118,2))</f>
        <v/>
      </c>
      <c r="E118" s="12">
        <f>IF(B118="","",LEFT(B118,4))</f>
        <v/>
      </c>
    </row>
    <row r="119">
      <c r="B119" s="20" t="n"/>
      <c r="D119" s="12">
        <f>IF(B119="","",LEFT(B119,2))</f>
        <v/>
      </c>
      <c r="E119" s="12">
        <f>IF(B119="","",LEFT(B119,4))</f>
        <v/>
      </c>
    </row>
    <row r="120">
      <c r="B120" s="20" t="n"/>
      <c r="D120" s="12">
        <f>IF(B120="","",LEFT(B120,2))</f>
        <v/>
      </c>
      <c r="E120" s="12">
        <f>IF(B120="","",LEFT(B120,4))</f>
        <v/>
      </c>
    </row>
    <row r="121">
      <c r="B121" s="20" t="n"/>
      <c r="D121" s="12">
        <f>IF(B121="","",LEFT(B121,2))</f>
        <v/>
      </c>
      <c r="E121" s="12">
        <f>IF(B121="","",LEFT(B121,4))</f>
        <v/>
      </c>
    </row>
    <row r="122">
      <c r="B122" s="20" t="n"/>
      <c r="D122" s="12">
        <f>IF(B122="","",LEFT(B122,2))</f>
        <v/>
      </c>
      <c r="E122" s="12">
        <f>IF(B122="","",LEFT(B122,4))</f>
        <v/>
      </c>
    </row>
    <row r="123">
      <c r="B123" s="20" t="n"/>
      <c r="D123" s="12">
        <f>IF(B123="","",LEFT(B123,2))</f>
        <v/>
      </c>
      <c r="E123" s="12">
        <f>IF(B123="","",LEFT(B123,4))</f>
        <v/>
      </c>
    </row>
    <row r="124">
      <c r="B124" s="20" t="n"/>
      <c r="D124" s="12">
        <f>IF(B124="","",LEFT(B124,2))</f>
        <v/>
      </c>
      <c r="E124" s="12">
        <f>IF(B124="","",LEFT(B124,4))</f>
        <v/>
      </c>
    </row>
    <row r="125">
      <c r="B125" s="20" t="n"/>
      <c r="D125" s="12">
        <f>IF(B125="","",LEFT(B125,2))</f>
        <v/>
      </c>
      <c r="E125" s="12">
        <f>IF(B125="","",LEFT(B125,4))</f>
        <v/>
      </c>
    </row>
    <row r="126">
      <c r="B126" s="20" t="n"/>
      <c r="D126" s="12">
        <f>IF(B126="","",LEFT(B126,2))</f>
        <v/>
      </c>
      <c r="E126" s="12">
        <f>IF(B126="","",LEFT(B126,4))</f>
        <v/>
      </c>
    </row>
    <row r="127">
      <c r="B127" s="20" t="n"/>
      <c r="D127" s="12">
        <f>IF(B127="","",LEFT(B127,2))</f>
        <v/>
      </c>
      <c r="E127" s="12">
        <f>IF(B127="","",LEFT(B127,4))</f>
        <v/>
      </c>
    </row>
    <row r="128">
      <c r="B128" s="20" t="n"/>
      <c r="D128" s="12">
        <f>IF(B128="","",LEFT(B128,2))</f>
        <v/>
      </c>
      <c r="E128" s="12">
        <f>IF(B128="","",LEFT(B128,4))</f>
        <v/>
      </c>
    </row>
    <row r="129">
      <c r="B129" s="20" t="n"/>
      <c r="D129" s="12">
        <f>IF(B129="","",LEFT(B129,2))</f>
        <v/>
      </c>
      <c r="E129" s="12">
        <f>IF(B129="","",LEFT(B129,4))</f>
        <v/>
      </c>
    </row>
    <row r="130">
      <c r="B130" s="20" t="n"/>
      <c r="D130" s="12">
        <f>IF(B130="","",LEFT(B130,2))</f>
        <v/>
      </c>
      <c r="E130" s="12">
        <f>IF(B130="","",LEFT(B130,4))</f>
        <v/>
      </c>
    </row>
    <row r="131">
      <c r="B131" s="20" t="n"/>
      <c r="D131" s="12">
        <f>IF(B131="","",LEFT(B131,2))</f>
        <v/>
      </c>
      <c r="E131" s="12">
        <f>IF(B131="","",LEFT(B131,4))</f>
        <v/>
      </c>
    </row>
    <row r="132">
      <c r="B132" s="20" t="n"/>
      <c r="D132" s="12">
        <f>IF(B132="","",LEFT(B132,2))</f>
        <v/>
      </c>
      <c r="E132" s="12">
        <f>IF(B132="","",LEFT(B132,4))</f>
        <v/>
      </c>
    </row>
    <row r="133">
      <c r="B133" s="20" t="n"/>
      <c r="D133" s="12">
        <f>IF(B133="","",LEFT(B133,2))</f>
        <v/>
      </c>
      <c r="E133" s="12">
        <f>IF(B133="","",LEFT(B133,4))</f>
        <v/>
      </c>
    </row>
    <row r="134">
      <c r="B134" s="20" t="n"/>
      <c r="D134" s="12">
        <f>IF(B134="","",LEFT(B134,2))</f>
        <v/>
      </c>
      <c r="E134" s="12">
        <f>IF(B134="","",LEFT(B134,4))</f>
        <v/>
      </c>
    </row>
    <row r="135">
      <c r="B135" s="20" t="n"/>
      <c r="D135" s="12">
        <f>IF(B135="","",LEFT(B135,2))</f>
        <v/>
      </c>
      <c r="E135" s="12">
        <f>IF(B135="","",LEFT(B135,4))</f>
        <v/>
      </c>
    </row>
    <row r="136">
      <c r="B136" s="20" t="n"/>
      <c r="D136" s="12">
        <f>IF(B136="","",LEFT(B136,2))</f>
        <v/>
      </c>
      <c r="E136" s="12">
        <f>IF(B136="","",LEFT(B136,4))</f>
        <v/>
      </c>
    </row>
    <row r="137">
      <c r="B137" s="20" t="n"/>
      <c r="D137" s="12">
        <f>IF(B137="","",LEFT(B137,2))</f>
        <v/>
      </c>
      <c r="E137" s="12">
        <f>IF(B137="","",LEFT(B137,4))</f>
        <v/>
      </c>
    </row>
    <row r="138">
      <c r="B138" s="20" t="n"/>
      <c r="D138" s="12">
        <f>IF(B138="","",LEFT(B138,2))</f>
        <v/>
      </c>
      <c r="E138" s="12">
        <f>IF(B138="","",LEFT(B138,4))</f>
        <v/>
      </c>
    </row>
    <row r="139">
      <c r="B139" s="20" t="n"/>
      <c r="D139" s="12">
        <f>IF(B139="","",LEFT(B139,2))</f>
        <v/>
      </c>
      <c r="E139" s="12">
        <f>IF(B139="","",LEFT(B139,4))</f>
        <v/>
      </c>
    </row>
    <row r="140">
      <c r="B140" s="20" t="n"/>
      <c r="D140" s="12">
        <f>IF(B140="","",LEFT(B140,2))</f>
        <v/>
      </c>
      <c r="E140" s="12">
        <f>IF(B140="","",LEFT(B140,4))</f>
        <v/>
      </c>
    </row>
    <row r="141">
      <c r="B141" s="20" t="n"/>
      <c r="D141" s="12">
        <f>IF(B141="","",LEFT(B141,2))</f>
        <v/>
      </c>
      <c r="E141" s="12">
        <f>IF(B141="","",LEFT(B141,4))</f>
        <v/>
      </c>
    </row>
    <row r="142">
      <c r="B142" s="20" t="n"/>
      <c r="D142" s="12">
        <f>IF(B142="","",LEFT(B142,2))</f>
        <v/>
      </c>
      <c r="E142" s="12">
        <f>IF(B142="","",LEFT(B142,4))</f>
        <v/>
      </c>
    </row>
    <row r="143">
      <c r="B143" s="20" t="n"/>
      <c r="D143" s="12">
        <f>IF(B143="","",LEFT(B143,2))</f>
        <v/>
      </c>
      <c r="E143" s="12">
        <f>IF(B143="","",LEFT(B143,4))</f>
        <v/>
      </c>
    </row>
    <row r="144">
      <c r="B144" s="20" t="n"/>
      <c r="D144" s="12">
        <f>IF(B144="","",LEFT(B144,2))</f>
        <v/>
      </c>
      <c r="E144" s="12">
        <f>IF(B144="","",LEFT(B144,4))</f>
        <v/>
      </c>
    </row>
    <row r="145">
      <c r="B145" s="20" t="n"/>
      <c r="D145" s="12">
        <f>IF(B145="","",LEFT(B145,2))</f>
        <v/>
      </c>
      <c r="E145" s="12">
        <f>IF(B145="","",LEFT(B145,4))</f>
        <v/>
      </c>
    </row>
    <row r="146">
      <c r="B146" s="20" t="n"/>
      <c r="D146" s="12">
        <f>IF(B146="","",LEFT(B146,2))</f>
        <v/>
      </c>
      <c r="E146" s="12">
        <f>IF(B146="","",LEFT(B146,4))</f>
        <v/>
      </c>
    </row>
    <row r="147">
      <c r="B147" s="20" t="n"/>
      <c r="D147" s="12">
        <f>IF(B147="","",LEFT(B147,2))</f>
        <v/>
      </c>
      <c r="E147" s="12">
        <f>IF(B147="","",LEFT(B147,4))</f>
        <v/>
      </c>
    </row>
    <row r="148">
      <c r="B148" s="20" t="n"/>
      <c r="D148" s="12">
        <f>IF(B148="","",LEFT(B148,2))</f>
        <v/>
      </c>
      <c r="E148" s="12">
        <f>IF(B148="","",LEFT(B148,4))</f>
        <v/>
      </c>
    </row>
    <row r="149">
      <c r="B149" s="20" t="n"/>
      <c r="D149" s="12">
        <f>IF(B149="","",LEFT(B149,2))</f>
        <v/>
      </c>
      <c r="E149" s="12">
        <f>IF(B149="","",LEFT(B149,4))</f>
        <v/>
      </c>
    </row>
    <row r="150">
      <c r="B150" s="20" t="n"/>
      <c r="D150" s="12">
        <f>IF(B150="","",LEFT(B150,2))</f>
        <v/>
      </c>
      <c r="E150" s="12">
        <f>IF(B150="","",LEFT(B150,4))</f>
        <v/>
      </c>
    </row>
    <row r="151">
      <c r="B151" s="20" t="n"/>
      <c r="D151" s="12">
        <f>IF(B151="","",LEFT(B151,2))</f>
        <v/>
      </c>
      <c r="E151" s="12">
        <f>IF(B151="","",LEFT(B151,4))</f>
        <v/>
      </c>
    </row>
    <row r="152">
      <c r="B152" s="20" t="n"/>
      <c r="D152" s="12">
        <f>IF(B152="","",LEFT(B152,2))</f>
        <v/>
      </c>
      <c r="E152" s="12">
        <f>IF(B152="","",LEFT(B152,4))</f>
        <v/>
      </c>
    </row>
    <row r="153">
      <c r="B153" s="20" t="n"/>
      <c r="D153" s="12">
        <f>IF(B153="","",LEFT(B153,2))</f>
        <v/>
      </c>
      <c r="E153" s="12">
        <f>IF(B153="","",LEFT(B153,4))</f>
        <v/>
      </c>
    </row>
    <row r="154">
      <c r="B154" s="20" t="n"/>
      <c r="D154" s="12">
        <f>IF(B154="","",LEFT(B154,2))</f>
        <v/>
      </c>
      <c r="E154" s="12">
        <f>IF(B154="","",LEFT(B154,4))</f>
        <v/>
      </c>
    </row>
    <row r="155">
      <c r="B155" s="20" t="n"/>
      <c r="D155" s="12">
        <f>IF(B155="","",LEFT(B155,2))</f>
        <v/>
      </c>
      <c r="E155" s="12">
        <f>IF(B155="","",LEFT(B155,4))</f>
        <v/>
      </c>
    </row>
    <row r="156">
      <c r="B156" s="20" t="n"/>
      <c r="D156" s="12">
        <f>IF(B156="","",LEFT(B156,2))</f>
        <v/>
      </c>
      <c r="E156" s="12">
        <f>IF(B156="","",LEFT(B156,4))</f>
        <v/>
      </c>
    </row>
    <row r="157">
      <c r="B157" s="20" t="n"/>
      <c r="D157" s="12">
        <f>IF(B157="","",LEFT(B157,2))</f>
        <v/>
      </c>
      <c r="E157" s="12">
        <f>IF(B157="","",LEFT(B157,4))</f>
        <v/>
      </c>
    </row>
    <row r="158">
      <c r="B158" s="20" t="n"/>
      <c r="D158" s="12">
        <f>IF(B158="","",LEFT(B158,2))</f>
        <v/>
      </c>
      <c r="E158" s="12">
        <f>IF(B158="","",LEFT(B158,4))</f>
        <v/>
      </c>
    </row>
    <row r="159">
      <c r="B159" s="20" t="n"/>
      <c r="D159" s="12">
        <f>IF(B159="","",LEFT(B159,2))</f>
        <v/>
      </c>
      <c r="E159" s="12">
        <f>IF(B159="","",LEFT(B159,4))</f>
        <v/>
      </c>
    </row>
    <row r="160">
      <c r="B160" s="20" t="n"/>
      <c r="D160" s="12">
        <f>IF(B160="","",LEFT(B160,2))</f>
        <v/>
      </c>
      <c r="E160" s="12">
        <f>IF(B160="","",LEFT(B160,4))</f>
        <v/>
      </c>
    </row>
    <row r="161">
      <c r="B161" s="20" t="n"/>
      <c r="D161" s="12">
        <f>IF(B161="","",LEFT(B161,2))</f>
        <v/>
      </c>
      <c r="E161" s="12">
        <f>IF(B161="","",LEFT(B161,4))</f>
        <v/>
      </c>
    </row>
    <row r="162">
      <c r="B162" s="20" t="n"/>
      <c r="D162" s="12">
        <f>IF(B162="","",LEFT(B162,2))</f>
        <v/>
      </c>
      <c r="E162" s="12">
        <f>IF(B162="","",LEFT(B162,4))</f>
        <v/>
      </c>
    </row>
    <row r="163">
      <c r="B163" s="20" t="n"/>
      <c r="D163" s="12">
        <f>IF(B163="","",LEFT(B163,2))</f>
        <v/>
      </c>
      <c r="E163" s="12">
        <f>IF(B163="","",LEFT(B163,4))</f>
        <v/>
      </c>
    </row>
    <row r="164">
      <c r="B164" s="20" t="n"/>
      <c r="D164" s="12">
        <f>IF(B164="","",LEFT(B164,2))</f>
        <v/>
      </c>
      <c r="E164" s="12">
        <f>IF(B164="","",LEFT(B164,4))</f>
        <v/>
      </c>
    </row>
    <row r="165">
      <c r="B165" s="20" t="n"/>
      <c r="D165" s="12">
        <f>IF(B165="","",LEFT(B165,2))</f>
        <v/>
      </c>
      <c r="E165" s="12">
        <f>IF(B165="","",LEFT(B165,4))</f>
        <v/>
      </c>
    </row>
    <row r="166">
      <c r="B166" s="20" t="n"/>
      <c r="D166" s="12">
        <f>IF(B166="","",LEFT(B166,2))</f>
        <v/>
      </c>
      <c r="E166" s="12">
        <f>IF(B166="","",LEFT(B166,4))</f>
        <v/>
      </c>
    </row>
    <row r="167">
      <c r="B167" s="20" t="n"/>
      <c r="D167" s="12">
        <f>IF(B167="","",LEFT(B167,2))</f>
        <v/>
      </c>
      <c r="E167" s="12">
        <f>IF(B167="","",LEFT(B167,4))</f>
        <v/>
      </c>
    </row>
    <row r="168">
      <c r="B168" s="20" t="n"/>
      <c r="D168" s="12">
        <f>IF(B168="","",LEFT(B168,2))</f>
        <v/>
      </c>
      <c r="E168" s="12">
        <f>IF(B168="","",LEFT(B168,4))</f>
        <v/>
      </c>
    </row>
    <row r="169">
      <c r="B169" s="20" t="n"/>
      <c r="D169" s="12">
        <f>IF(B169="","",LEFT(B169,2))</f>
        <v/>
      </c>
      <c r="E169" s="12">
        <f>IF(B169="","",LEFT(B169,4))</f>
        <v/>
      </c>
    </row>
    <row r="170">
      <c r="B170" s="20" t="n"/>
      <c r="D170" s="12">
        <f>IF(B170="","",LEFT(B170,2))</f>
        <v/>
      </c>
      <c r="E170" s="12">
        <f>IF(B170="","",LEFT(B170,4))</f>
        <v/>
      </c>
    </row>
    <row r="171">
      <c r="B171" s="20" t="n"/>
      <c r="D171" s="12">
        <f>IF(B171="","",LEFT(B171,2))</f>
        <v/>
      </c>
      <c r="E171" s="12">
        <f>IF(B171="","",LEFT(B171,4))</f>
        <v/>
      </c>
    </row>
    <row r="172">
      <c r="B172" s="20" t="n"/>
      <c r="D172" s="12">
        <f>IF(B172="","",LEFT(B172,2))</f>
        <v/>
      </c>
      <c r="E172" s="12">
        <f>IF(B172="","",LEFT(B172,4))</f>
        <v/>
      </c>
    </row>
    <row r="173">
      <c r="B173" s="20" t="n"/>
      <c r="D173" s="12">
        <f>IF(B173="","",LEFT(B173,2))</f>
        <v/>
      </c>
      <c r="E173" s="12">
        <f>IF(B173="","",LEFT(B173,4))</f>
        <v/>
      </c>
    </row>
    <row r="174">
      <c r="B174" s="20" t="n"/>
      <c r="D174" s="12">
        <f>IF(B174="","",LEFT(B174,2))</f>
        <v/>
      </c>
      <c r="E174" s="12">
        <f>IF(B174="","",LEFT(B174,4))</f>
        <v/>
      </c>
    </row>
    <row r="175">
      <c r="B175" s="20" t="n"/>
      <c r="D175" s="12">
        <f>IF(B175="","",LEFT(B175,2))</f>
        <v/>
      </c>
      <c r="E175" s="12">
        <f>IF(B175="","",LEFT(B175,4))</f>
        <v/>
      </c>
    </row>
    <row r="176">
      <c r="B176" s="20" t="n"/>
      <c r="D176" s="12">
        <f>IF(B176="","",LEFT(B176,2))</f>
        <v/>
      </c>
      <c r="E176" s="12">
        <f>IF(B176="","",LEFT(B176,4))</f>
        <v/>
      </c>
    </row>
    <row r="177">
      <c r="B177" s="20" t="n"/>
      <c r="D177" s="12">
        <f>IF(B177="","",LEFT(B177,2))</f>
        <v/>
      </c>
      <c r="E177" s="12">
        <f>IF(B177="","",LEFT(B177,4))</f>
        <v/>
      </c>
    </row>
    <row r="178">
      <c r="B178" s="20" t="n"/>
      <c r="D178" s="12">
        <f>IF(B178="","",LEFT(B178,2))</f>
        <v/>
      </c>
      <c r="E178" s="12">
        <f>IF(B178="","",LEFT(B178,4))</f>
        <v/>
      </c>
    </row>
    <row r="179">
      <c r="B179" s="20" t="n"/>
      <c r="D179" s="12">
        <f>IF(B179="","",LEFT(B179,2))</f>
        <v/>
      </c>
      <c r="E179" s="12">
        <f>IF(B179="","",LEFT(B179,4))</f>
        <v/>
      </c>
    </row>
    <row r="180">
      <c r="B180" s="20" t="n"/>
      <c r="D180" s="12">
        <f>IF(B180="","",LEFT(B180,2))</f>
        <v/>
      </c>
      <c r="E180" s="12">
        <f>IF(B180="","",LEFT(B180,4))</f>
        <v/>
      </c>
    </row>
    <row r="181">
      <c r="B181" s="20" t="n"/>
      <c r="D181" s="12">
        <f>IF(B181="","",LEFT(B181,2))</f>
        <v/>
      </c>
      <c r="E181" s="12">
        <f>IF(B181="","",LEFT(B181,4))</f>
        <v/>
      </c>
    </row>
    <row r="182">
      <c r="B182" s="20" t="n"/>
      <c r="D182" s="12">
        <f>IF(B182="","",LEFT(B182,2))</f>
        <v/>
      </c>
      <c r="E182" s="12">
        <f>IF(B182="","",LEFT(B182,4))</f>
        <v/>
      </c>
    </row>
    <row r="183">
      <c r="B183" s="20" t="n"/>
      <c r="D183" s="12">
        <f>IF(B183="","",LEFT(B183,2))</f>
        <v/>
      </c>
      <c r="E183" s="12">
        <f>IF(B183="","",LEFT(B183,4))</f>
        <v/>
      </c>
    </row>
    <row r="184">
      <c r="B184" s="20" t="n"/>
      <c r="D184" s="12">
        <f>IF(B184="","",LEFT(B184,2))</f>
        <v/>
      </c>
      <c r="E184" s="12">
        <f>IF(B184="","",LEFT(B184,4))</f>
        <v/>
      </c>
    </row>
    <row r="185">
      <c r="B185" s="20" t="n"/>
      <c r="D185" s="12">
        <f>IF(B185="","",LEFT(B185,2))</f>
        <v/>
      </c>
      <c r="E185" s="12">
        <f>IF(B185="","",LEFT(B185,4))</f>
        <v/>
      </c>
    </row>
    <row r="186">
      <c r="B186" s="20" t="n"/>
      <c r="D186" s="12">
        <f>IF(B186="","",LEFT(B186,2))</f>
        <v/>
      </c>
      <c r="E186" s="12">
        <f>IF(B186="","",LEFT(B186,4))</f>
        <v/>
      </c>
    </row>
    <row r="187">
      <c r="B187" s="20" t="n"/>
      <c r="D187" s="12">
        <f>IF(B187="","",LEFT(B187,2))</f>
        <v/>
      </c>
      <c r="E187" s="12">
        <f>IF(B187="","",LEFT(B187,4))</f>
        <v/>
      </c>
    </row>
    <row r="188">
      <c r="B188" s="20" t="n"/>
      <c r="D188" s="12">
        <f>IF(B188="","",LEFT(B188,2))</f>
        <v/>
      </c>
      <c r="E188" s="12">
        <f>IF(B188="","",LEFT(B188,4))</f>
        <v/>
      </c>
    </row>
    <row r="189">
      <c r="B189" s="20" t="n"/>
      <c r="D189" s="12">
        <f>IF(B189="","",LEFT(B189,2))</f>
        <v/>
      </c>
      <c r="E189" s="12">
        <f>IF(B189="","",LEFT(B189,4))</f>
        <v/>
      </c>
    </row>
    <row r="190">
      <c r="B190" s="20" t="n"/>
      <c r="D190" s="12">
        <f>IF(B190="","",LEFT(B190,2))</f>
        <v/>
      </c>
      <c r="E190" s="12">
        <f>IF(B190="","",LEFT(B190,4))</f>
        <v/>
      </c>
    </row>
    <row r="191">
      <c r="B191" s="20" t="n"/>
      <c r="D191" s="12">
        <f>IF(B191="","",LEFT(B191,2))</f>
        <v/>
      </c>
      <c r="E191" s="12">
        <f>IF(B191="","",LEFT(B191,4))</f>
        <v/>
      </c>
    </row>
    <row r="192">
      <c r="B192" s="20" t="n"/>
      <c r="D192" s="12">
        <f>IF(B192="","",LEFT(B192,2))</f>
        <v/>
      </c>
      <c r="E192" s="12">
        <f>IF(B192="","",LEFT(B192,4))</f>
        <v/>
      </c>
    </row>
    <row r="193">
      <c r="B193" s="20" t="n"/>
      <c r="D193" s="12">
        <f>IF(B193="","",LEFT(B193,2))</f>
        <v/>
      </c>
      <c r="E193" s="12">
        <f>IF(B193="","",LEFT(B193,4))</f>
        <v/>
      </c>
    </row>
    <row r="194">
      <c r="B194" s="20" t="n"/>
      <c r="D194" s="12">
        <f>IF(B194="","",LEFT(B194,2))</f>
        <v/>
      </c>
      <c r="E194" s="12">
        <f>IF(B194="","",LEFT(B194,4))</f>
        <v/>
      </c>
    </row>
    <row r="195">
      <c r="B195" s="20" t="n"/>
      <c r="D195" s="12">
        <f>IF(B195="","",LEFT(B195,2))</f>
        <v/>
      </c>
      <c r="E195" s="12">
        <f>IF(B195="","",LEFT(B195,4))</f>
        <v/>
      </c>
    </row>
    <row r="196">
      <c r="B196" s="20" t="n"/>
      <c r="D196" s="12">
        <f>IF(B196="","",LEFT(B196,2))</f>
        <v/>
      </c>
      <c r="E196" s="12">
        <f>IF(B196="","",LEFT(B196,4))</f>
        <v/>
      </c>
    </row>
    <row r="197">
      <c r="B197" s="20" t="n"/>
      <c r="D197" s="12">
        <f>IF(B197="","",LEFT(B197,2))</f>
        <v/>
      </c>
      <c r="E197" s="12">
        <f>IF(B197="","",LEFT(B197,4))</f>
        <v/>
      </c>
    </row>
    <row r="198">
      <c r="B198" s="20" t="n"/>
      <c r="D198" s="12">
        <f>IF(B198="","",LEFT(B198,2))</f>
        <v/>
      </c>
      <c r="E198" s="12">
        <f>IF(B198="","",LEFT(B198,4))</f>
        <v/>
      </c>
    </row>
    <row r="199">
      <c r="B199" s="20" t="n"/>
      <c r="D199" s="12">
        <f>IF(B199="","",LEFT(B199,2))</f>
        <v/>
      </c>
      <c r="E199" s="12">
        <f>IF(B199="","",LEFT(B199,4))</f>
        <v/>
      </c>
    </row>
    <row r="200">
      <c r="B200" s="20" t="n"/>
      <c r="D200" s="12">
        <f>IF(B200="","",LEFT(B200,2))</f>
        <v/>
      </c>
      <c r="E200" s="12">
        <f>IF(B200="","",LEFT(B200,4))</f>
        <v/>
      </c>
    </row>
    <row r="201">
      <c r="B201" s="20" t="n"/>
      <c r="D201" s="12">
        <f>IF(B201="","",LEFT(B201,2))</f>
        <v/>
      </c>
      <c r="E201" s="12">
        <f>IF(B201="","",LEFT(B201,4))</f>
        <v/>
      </c>
    </row>
    <row r="202">
      <c r="B202" s="20" t="n"/>
      <c r="D202" s="12">
        <f>IF(B202="","",LEFT(B202,2))</f>
        <v/>
      </c>
      <c r="E202" s="12">
        <f>IF(B202="","",LEFT(B202,4))</f>
        <v/>
      </c>
    </row>
    <row r="203">
      <c r="B203" s="20" t="n"/>
      <c r="D203" s="12">
        <f>IF(B203="","",LEFT(B203,2))</f>
        <v/>
      </c>
      <c r="E203" s="12">
        <f>IF(B203="","",LEFT(B203,4))</f>
        <v/>
      </c>
    </row>
    <row r="204">
      <c r="B204" s="20" t="n"/>
      <c r="D204" s="12">
        <f>IF(B204="","",LEFT(B204,2))</f>
        <v/>
      </c>
      <c r="E204" s="12">
        <f>IF(B204="","",LEFT(B204,4))</f>
        <v/>
      </c>
    </row>
    <row r="205">
      <c r="B205" s="20" t="n"/>
      <c r="D205" s="12">
        <f>IF(B205="","",LEFT(B205,2))</f>
        <v/>
      </c>
      <c r="E205" s="12">
        <f>IF(B205="","",LEFT(B205,4))</f>
        <v/>
      </c>
    </row>
    <row r="206">
      <c r="B206" s="20" t="n"/>
      <c r="D206" s="12">
        <f>IF(B206="","",LEFT(B206,2))</f>
        <v/>
      </c>
      <c r="E206" s="12">
        <f>IF(B206="","",LEFT(B206,4))</f>
        <v/>
      </c>
    </row>
    <row r="207">
      <c r="B207" s="20" t="n"/>
      <c r="D207" s="12">
        <f>IF(B207="","",LEFT(B207,2))</f>
        <v/>
      </c>
      <c r="E207" s="12">
        <f>IF(B207="","",LEFT(B207,4))</f>
        <v/>
      </c>
    </row>
    <row r="208">
      <c r="B208" s="20" t="n"/>
      <c r="D208" s="12">
        <f>IF(B208="","",LEFT(B208,2))</f>
        <v/>
      </c>
      <c r="E208" s="12">
        <f>IF(B208="","",LEFT(B208,4))</f>
        <v/>
      </c>
    </row>
    <row r="209">
      <c r="B209" s="20" t="n"/>
      <c r="D209" s="12">
        <f>IF(B209="","",LEFT(B209,2))</f>
        <v/>
      </c>
      <c r="E209" s="12">
        <f>IF(B209="","",LEFT(B209,4))</f>
        <v/>
      </c>
    </row>
    <row r="210">
      <c r="B210" s="20" t="n"/>
      <c r="D210" s="12">
        <f>IF(B210="","",LEFT(B210,2))</f>
        <v/>
      </c>
      <c r="E210" s="12">
        <f>IF(B210="","",LEFT(B210,4))</f>
        <v/>
      </c>
    </row>
    <row r="211">
      <c r="B211" s="20" t="n"/>
      <c r="D211" s="12">
        <f>IF(B211="","",LEFT(B211,2))</f>
        <v/>
      </c>
      <c r="E211" s="12">
        <f>IF(B211="","",LEFT(B211,4))</f>
        <v/>
      </c>
    </row>
    <row r="212">
      <c r="B212" s="20" t="n"/>
      <c r="D212" s="12">
        <f>IF(B212="","",LEFT(B212,2))</f>
        <v/>
      </c>
      <c r="E212" s="12">
        <f>IF(B212="","",LEFT(B212,4))</f>
        <v/>
      </c>
    </row>
    <row r="213">
      <c r="B213" s="20" t="n"/>
      <c r="D213" s="12">
        <f>IF(B213="","",LEFT(B213,2))</f>
        <v/>
      </c>
      <c r="E213" s="12">
        <f>IF(B213="","",LEFT(B213,4))</f>
        <v/>
      </c>
    </row>
    <row r="214">
      <c r="B214" s="20" t="n"/>
      <c r="D214" s="12">
        <f>IF(B214="","",LEFT(B214,2))</f>
        <v/>
      </c>
      <c r="E214" s="12">
        <f>IF(B214="","",LEFT(B214,4))</f>
        <v/>
      </c>
    </row>
    <row r="215">
      <c r="B215" s="20" t="n"/>
      <c r="D215" s="12">
        <f>IF(B215="","",LEFT(B215,2))</f>
        <v/>
      </c>
      <c r="E215" s="12">
        <f>IF(B215="","",LEFT(B215,4))</f>
        <v/>
      </c>
    </row>
    <row r="216">
      <c r="B216" s="20" t="n"/>
      <c r="D216" s="12">
        <f>IF(B216="","",LEFT(B216,2))</f>
        <v/>
      </c>
      <c r="E216" s="12">
        <f>IF(B216="","",LEFT(B216,4))</f>
        <v/>
      </c>
    </row>
    <row r="217">
      <c r="B217" s="20" t="n"/>
      <c r="D217" s="12">
        <f>IF(B217="","",LEFT(B217,2))</f>
        <v/>
      </c>
      <c r="E217" s="12">
        <f>IF(B217="","",LEFT(B217,4))</f>
        <v/>
      </c>
    </row>
    <row r="218">
      <c r="B218" s="20" t="n"/>
      <c r="D218" s="12">
        <f>IF(B218="","",LEFT(B218,2))</f>
        <v/>
      </c>
      <c r="E218" s="12">
        <f>IF(B218="","",LEFT(B218,4))</f>
        <v/>
      </c>
    </row>
    <row r="219">
      <c r="B219" s="20" t="n"/>
      <c r="D219" s="12">
        <f>IF(B219="","",LEFT(B219,2))</f>
        <v/>
      </c>
      <c r="E219" s="12">
        <f>IF(B219="","",LEFT(B219,4))</f>
        <v/>
      </c>
    </row>
    <row r="220">
      <c r="B220" s="20" t="n"/>
      <c r="D220" s="12">
        <f>IF(B220="","",LEFT(B220,2))</f>
        <v/>
      </c>
      <c r="E220" s="12">
        <f>IF(B220="","",LEFT(B220,4))</f>
        <v/>
      </c>
    </row>
    <row r="221">
      <c r="B221" s="20" t="n"/>
      <c r="D221" s="12">
        <f>IF(B221="","",LEFT(B221,2))</f>
        <v/>
      </c>
      <c r="E221" s="12">
        <f>IF(B221="","",LEFT(B221,4))</f>
        <v/>
      </c>
    </row>
    <row r="222">
      <c r="B222" s="20" t="n"/>
      <c r="D222" s="12">
        <f>IF(B222="","",LEFT(B222,2))</f>
        <v/>
      </c>
      <c r="E222" s="12">
        <f>IF(B222="","",LEFT(B222,4))</f>
        <v/>
      </c>
    </row>
    <row r="223">
      <c r="B223" s="20" t="n"/>
      <c r="D223" s="12">
        <f>IF(B223="","",LEFT(B223,2))</f>
        <v/>
      </c>
      <c r="E223" s="12">
        <f>IF(B223="","",LEFT(B223,4))</f>
        <v/>
      </c>
    </row>
    <row r="224">
      <c r="B224" s="20" t="n"/>
      <c r="D224" s="12">
        <f>IF(B224="","",LEFT(B224,2))</f>
        <v/>
      </c>
      <c r="E224" s="12">
        <f>IF(B224="","",LEFT(B224,4))</f>
        <v/>
      </c>
    </row>
    <row r="225">
      <c r="B225" s="20" t="n"/>
      <c r="D225" s="12">
        <f>IF(B225="","",LEFT(B225,2))</f>
        <v/>
      </c>
      <c r="E225" s="12">
        <f>IF(B225="","",LEFT(B225,4))</f>
        <v/>
      </c>
    </row>
    <row r="226">
      <c r="B226" s="20" t="n"/>
      <c r="D226" s="12">
        <f>IF(B226="","",LEFT(B226,2))</f>
        <v/>
      </c>
      <c r="E226" s="12">
        <f>IF(B226="","",LEFT(B226,4))</f>
        <v/>
      </c>
    </row>
    <row r="227">
      <c r="B227" s="20" t="n"/>
      <c r="D227" s="12">
        <f>IF(B227="","",LEFT(B227,2))</f>
        <v/>
      </c>
      <c r="E227" s="12">
        <f>IF(B227="","",LEFT(B227,4))</f>
        <v/>
      </c>
    </row>
    <row r="228">
      <c r="B228" s="20" t="n"/>
      <c r="D228" s="12">
        <f>IF(B228="","",LEFT(B228,2))</f>
        <v/>
      </c>
      <c r="E228" s="12">
        <f>IF(B228="","",LEFT(B228,4))</f>
        <v/>
      </c>
    </row>
    <row r="229">
      <c r="B229" s="20" t="n"/>
      <c r="D229" s="12">
        <f>IF(B229="","",LEFT(B229,2))</f>
        <v/>
      </c>
      <c r="E229" s="12">
        <f>IF(B229="","",LEFT(B229,4))</f>
        <v/>
      </c>
    </row>
    <row r="230">
      <c r="B230" s="20" t="n"/>
      <c r="D230" s="12">
        <f>IF(B230="","",LEFT(B230,2))</f>
        <v/>
      </c>
      <c r="E230" s="12">
        <f>IF(B230="","",LEFT(B230,4))</f>
        <v/>
      </c>
    </row>
    <row r="231">
      <c r="B231" s="20" t="n"/>
      <c r="D231" s="12">
        <f>IF(B231="","",LEFT(B231,2))</f>
        <v/>
      </c>
      <c r="E231" s="12">
        <f>IF(B231="","",LEFT(B231,4))</f>
        <v/>
      </c>
    </row>
    <row r="232">
      <c r="B232" s="20" t="n"/>
      <c r="D232" s="12">
        <f>IF(B232="","",LEFT(B232,2))</f>
        <v/>
      </c>
      <c r="E232" s="12">
        <f>IF(B232="","",LEFT(B232,4))</f>
        <v/>
      </c>
    </row>
    <row r="233">
      <c r="B233" s="20" t="n"/>
      <c r="D233" s="12">
        <f>IF(B233="","",LEFT(B233,2))</f>
        <v/>
      </c>
      <c r="E233" s="12">
        <f>IF(B233="","",LEFT(B233,4))</f>
        <v/>
      </c>
    </row>
    <row r="234">
      <c r="B234" s="20" t="n"/>
      <c r="D234" s="12">
        <f>IF(B234="","",LEFT(B234,2))</f>
        <v/>
      </c>
      <c r="E234" s="12">
        <f>IF(B234="","",LEFT(B234,4))</f>
        <v/>
      </c>
    </row>
    <row r="235">
      <c r="B235" s="20" t="n"/>
      <c r="D235" s="12">
        <f>IF(B235="","",LEFT(B235,2))</f>
        <v/>
      </c>
      <c r="E235" s="12">
        <f>IF(B235="","",LEFT(B235,4))</f>
        <v/>
      </c>
    </row>
    <row r="236">
      <c r="B236" s="20" t="n"/>
      <c r="D236" s="12">
        <f>IF(B236="","",LEFT(B236,2))</f>
        <v/>
      </c>
      <c r="E236" s="12">
        <f>IF(B236="","",LEFT(B236,4))</f>
        <v/>
      </c>
    </row>
    <row r="237">
      <c r="B237" s="20" t="n"/>
      <c r="D237" s="12">
        <f>IF(B237="","",LEFT(B237,2))</f>
        <v/>
      </c>
      <c r="E237" s="12">
        <f>IF(B237="","",LEFT(B237,4))</f>
        <v/>
      </c>
    </row>
    <row r="238">
      <c r="B238" s="20" t="n"/>
      <c r="D238" s="12">
        <f>IF(B238="","",LEFT(B238,2))</f>
        <v/>
      </c>
      <c r="E238" s="12">
        <f>IF(B238="","",LEFT(B238,4))</f>
        <v/>
      </c>
    </row>
    <row r="239">
      <c r="B239" s="20" t="n"/>
      <c r="D239" s="12">
        <f>IF(B239="","",LEFT(B239,2))</f>
        <v/>
      </c>
      <c r="E239" s="12">
        <f>IF(B239="","",LEFT(B239,4))</f>
        <v/>
      </c>
    </row>
    <row r="240">
      <c r="B240" s="20" t="n"/>
      <c r="D240" s="12">
        <f>IF(B240="","",LEFT(B240,2))</f>
        <v/>
      </c>
      <c r="E240" s="12">
        <f>IF(B240="","",LEFT(B240,4))</f>
        <v/>
      </c>
    </row>
    <row r="241">
      <c r="B241" s="20" t="n"/>
      <c r="D241" s="12">
        <f>IF(B241="","",LEFT(B241,2))</f>
        <v/>
      </c>
      <c r="E241" s="12">
        <f>IF(B241="","",LEFT(B241,4))</f>
        <v/>
      </c>
    </row>
    <row r="242">
      <c r="B242" s="20" t="n"/>
      <c r="D242" s="12">
        <f>IF(B242="","",LEFT(B242,2))</f>
        <v/>
      </c>
      <c r="E242" s="12">
        <f>IF(B242="","",LEFT(B242,4))</f>
        <v/>
      </c>
    </row>
    <row r="243">
      <c r="B243" s="20" t="n"/>
      <c r="D243" s="12">
        <f>IF(B243="","",LEFT(B243,2))</f>
        <v/>
      </c>
      <c r="E243" s="12">
        <f>IF(B243="","",LEFT(B243,4))</f>
        <v/>
      </c>
    </row>
    <row r="244">
      <c r="B244" s="20" t="n"/>
      <c r="D244" s="12">
        <f>IF(B244="","",LEFT(B244,2))</f>
        <v/>
      </c>
      <c r="E244" s="12">
        <f>IF(B244="","",LEFT(B244,4))</f>
        <v/>
      </c>
    </row>
    <row r="245">
      <c r="B245" s="20" t="n"/>
      <c r="D245" s="12">
        <f>IF(B245="","",LEFT(B245,2))</f>
        <v/>
      </c>
      <c r="E245" s="12">
        <f>IF(B245="","",LEFT(B245,4))</f>
        <v/>
      </c>
    </row>
    <row r="246">
      <c r="B246" s="20" t="n"/>
      <c r="D246" s="12">
        <f>IF(B246="","",LEFT(B246,2))</f>
        <v/>
      </c>
      <c r="E246" s="12">
        <f>IF(B246="","",LEFT(B246,4))</f>
        <v/>
      </c>
    </row>
    <row r="247">
      <c r="B247" s="20" t="n"/>
      <c r="D247" s="12">
        <f>IF(B247="","",LEFT(B247,2))</f>
        <v/>
      </c>
      <c r="E247" s="12">
        <f>IF(B247="","",LEFT(B247,4))</f>
        <v/>
      </c>
    </row>
    <row r="248">
      <c r="B248" s="20" t="n"/>
      <c r="D248" s="12">
        <f>IF(B248="","",LEFT(B248,2))</f>
        <v/>
      </c>
      <c r="E248" s="12">
        <f>IF(B248="","",LEFT(B248,4))</f>
        <v/>
      </c>
    </row>
    <row r="249">
      <c r="B249" s="20" t="n"/>
      <c r="D249" s="12">
        <f>IF(B249="","",LEFT(B249,2))</f>
        <v/>
      </c>
      <c r="E249" s="12">
        <f>IF(B249="","",LEFT(B249,4))</f>
        <v/>
      </c>
    </row>
    <row r="250">
      <c r="B250" s="20" t="n"/>
      <c r="D250" s="12">
        <f>IF(B250="","",LEFT(B250,2))</f>
        <v/>
      </c>
      <c r="E250" s="12">
        <f>IF(B250="","",LEFT(B250,4))</f>
        <v/>
      </c>
    </row>
    <row r="251">
      <c r="B251" s="20" t="n"/>
      <c r="D251" s="12">
        <f>IF(B251="","",LEFT(B251,2))</f>
        <v/>
      </c>
      <c r="E251" s="12">
        <f>IF(B251="","",LEFT(B251,4))</f>
        <v/>
      </c>
    </row>
    <row r="252">
      <c r="B252" s="20" t="n"/>
      <c r="D252" s="12">
        <f>IF(B252="","",LEFT(B252,2))</f>
        <v/>
      </c>
      <c r="E252" s="12">
        <f>IF(B252="","",LEFT(B252,4))</f>
        <v/>
      </c>
    </row>
    <row r="253">
      <c r="B253" s="20" t="n"/>
      <c r="D253" s="12">
        <f>IF(B253="","",LEFT(B253,2))</f>
        <v/>
      </c>
      <c r="E253" s="12">
        <f>IF(B253="","",LEFT(B253,4))</f>
        <v/>
      </c>
    </row>
    <row r="254">
      <c r="B254" s="20" t="n"/>
      <c r="D254" s="12">
        <f>IF(B254="","",LEFT(B254,2))</f>
        <v/>
      </c>
      <c r="E254" s="12">
        <f>IF(B254="","",LEFT(B254,4))</f>
        <v/>
      </c>
    </row>
    <row r="255">
      <c r="B255" s="20" t="n"/>
      <c r="D255" s="12">
        <f>IF(B255="","",LEFT(B255,2))</f>
        <v/>
      </c>
      <c r="E255" s="12">
        <f>IF(B255="","",LEFT(B255,4))</f>
        <v/>
      </c>
    </row>
    <row r="256">
      <c r="B256" s="20" t="n"/>
      <c r="D256" s="12">
        <f>IF(B256="","",LEFT(B256,2))</f>
        <v/>
      </c>
      <c r="E256" s="12">
        <f>IF(B256="","",LEFT(B256,4))</f>
        <v/>
      </c>
    </row>
    <row r="257">
      <c r="B257" s="20" t="n"/>
      <c r="D257" s="12">
        <f>IF(B257="","",LEFT(B257,2))</f>
        <v/>
      </c>
      <c r="E257" s="12">
        <f>IF(B257="","",LEFT(B257,4))</f>
        <v/>
      </c>
    </row>
    <row r="258">
      <c r="B258" s="20" t="n"/>
      <c r="D258" s="12">
        <f>IF(B258="","",LEFT(B258,2))</f>
        <v/>
      </c>
      <c r="E258" s="12">
        <f>IF(B258="","",LEFT(B258,4))</f>
        <v/>
      </c>
    </row>
    <row r="259">
      <c r="B259" s="20" t="n"/>
      <c r="D259" s="12">
        <f>IF(B259="","",LEFT(B259,2))</f>
        <v/>
      </c>
      <c r="E259" s="12">
        <f>IF(B259="","",LEFT(B259,4))</f>
        <v/>
      </c>
    </row>
    <row r="260">
      <c r="B260" s="20" t="n"/>
      <c r="D260" s="12">
        <f>IF(B260="","",LEFT(B260,2))</f>
        <v/>
      </c>
      <c r="E260" s="12">
        <f>IF(B260="","",LEFT(B260,4))</f>
        <v/>
      </c>
    </row>
    <row r="261">
      <c r="B261" s="20" t="n"/>
      <c r="D261" s="12">
        <f>IF(B261="","",LEFT(B261,2))</f>
        <v/>
      </c>
      <c r="E261" s="12">
        <f>IF(B261="","",LEFT(B261,4))</f>
        <v/>
      </c>
    </row>
    <row r="262">
      <c r="B262" s="20" t="n"/>
      <c r="D262" s="12">
        <f>IF(B262="","",LEFT(B262,2))</f>
        <v/>
      </c>
      <c r="E262" s="12">
        <f>IF(B262="","",LEFT(B262,4))</f>
        <v/>
      </c>
    </row>
    <row r="263">
      <c r="B263" s="20" t="n"/>
      <c r="D263" s="12">
        <f>IF(B263="","",LEFT(B263,2))</f>
        <v/>
      </c>
      <c r="E263" s="12">
        <f>IF(B263="","",LEFT(B263,4))</f>
        <v/>
      </c>
    </row>
    <row r="264">
      <c r="B264" s="20" t="n"/>
      <c r="D264" s="12">
        <f>IF(B264="","",LEFT(B264,2))</f>
        <v/>
      </c>
      <c r="E264" s="12">
        <f>IF(B264="","",LEFT(B264,4))</f>
        <v/>
      </c>
    </row>
    <row r="265">
      <c r="B265" s="20" t="n"/>
      <c r="D265" s="12">
        <f>IF(B265="","",LEFT(B265,2))</f>
        <v/>
      </c>
      <c r="E265" s="12">
        <f>IF(B265="","",LEFT(B265,4))</f>
        <v/>
      </c>
    </row>
    <row r="266">
      <c r="B266" s="20" t="n"/>
      <c r="D266" s="12">
        <f>IF(B266="","",LEFT(B266,2))</f>
        <v/>
      </c>
      <c r="E266" s="12">
        <f>IF(B266="","",LEFT(B266,4))</f>
        <v/>
      </c>
    </row>
    <row r="267">
      <c r="B267" s="20" t="n"/>
      <c r="D267" s="12">
        <f>IF(B267="","",LEFT(B267,2))</f>
        <v/>
      </c>
      <c r="E267" s="12">
        <f>IF(B267="","",LEFT(B267,4))</f>
        <v/>
      </c>
    </row>
    <row r="268">
      <c r="B268" s="20" t="n"/>
      <c r="D268" s="12">
        <f>IF(B268="","",LEFT(B268,2))</f>
        <v/>
      </c>
      <c r="E268" s="12">
        <f>IF(B268="","",LEFT(B268,4))</f>
        <v/>
      </c>
    </row>
    <row r="269">
      <c r="B269" s="20" t="n"/>
      <c r="D269" s="12">
        <f>IF(B269="","",LEFT(B269,2))</f>
        <v/>
      </c>
      <c r="E269" s="12">
        <f>IF(B269="","",LEFT(B269,4))</f>
        <v/>
      </c>
    </row>
    <row r="270">
      <c r="B270" s="20" t="n"/>
      <c r="D270" s="12">
        <f>IF(B270="","",LEFT(B270,2))</f>
        <v/>
      </c>
      <c r="E270" s="12">
        <f>IF(B270="","",LEFT(B270,4))</f>
        <v/>
      </c>
    </row>
    <row r="271">
      <c r="B271" s="20" t="n"/>
      <c r="D271" s="12">
        <f>IF(B271="","",LEFT(B271,2))</f>
        <v/>
      </c>
      <c r="E271" s="12">
        <f>IF(B271="","",LEFT(B271,4))</f>
        <v/>
      </c>
    </row>
    <row r="272">
      <c r="B272" s="20" t="n"/>
      <c r="D272" s="12">
        <f>IF(B272="","",LEFT(B272,2))</f>
        <v/>
      </c>
      <c r="E272" s="12">
        <f>IF(B272="","",LEFT(B272,4))</f>
        <v/>
      </c>
    </row>
    <row r="273">
      <c r="B273" s="20" t="n"/>
      <c r="D273" s="12">
        <f>IF(B273="","",LEFT(B273,2))</f>
        <v/>
      </c>
      <c r="E273" s="12">
        <f>IF(B273="","",LEFT(B273,4))</f>
        <v/>
      </c>
    </row>
    <row r="274">
      <c r="B274" s="20" t="n"/>
      <c r="D274" s="12">
        <f>IF(B274="","",LEFT(B274,2))</f>
        <v/>
      </c>
      <c r="E274" s="12">
        <f>IF(B274="","",LEFT(B274,4))</f>
        <v/>
      </c>
    </row>
    <row r="275">
      <c r="B275" s="20" t="n"/>
      <c r="D275" s="12">
        <f>IF(B275="","",LEFT(B275,2))</f>
        <v/>
      </c>
      <c r="E275" s="12">
        <f>IF(B275="","",LEFT(B275,4))</f>
        <v/>
      </c>
    </row>
    <row r="276">
      <c r="B276" s="20" t="n"/>
      <c r="D276" s="12">
        <f>IF(B276="","",LEFT(B276,2))</f>
        <v/>
      </c>
      <c r="E276" s="12">
        <f>IF(B276="","",LEFT(B276,4))</f>
        <v/>
      </c>
    </row>
    <row r="277">
      <c r="B277" s="20" t="n"/>
      <c r="D277" s="12">
        <f>IF(B277="","",LEFT(B277,2))</f>
        <v/>
      </c>
      <c r="E277" s="12">
        <f>IF(B277="","",LEFT(B277,4))</f>
        <v/>
      </c>
    </row>
    <row r="278">
      <c r="B278" s="20" t="n"/>
      <c r="D278" s="12">
        <f>IF(B278="","",LEFT(B278,2))</f>
        <v/>
      </c>
      <c r="E278" s="12">
        <f>IF(B278="","",LEFT(B278,4))</f>
        <v/>
      </c>
    </row>
    <row r="279">
      <c r="B279" s="20" t="n"/>
      <c r="D279" s="12">
        <f>IF(B279="","",LEFT(B279,2))</f>
        <v/>
      </c>
      <c r="E279" s="12">
        <f>IF(B279="","",LEFT(B279,4))</f>
        <v/>
      </c>
    </row>
    <row r="280">
      <c r="B280" s="20" t="n"/>
      <c r="D280" s="12">
        <f>IF(B280="","",LEFT(B280,2))</f>
        <v/>
      </c>
      <c r="E280" s="12">
        <f>IF(B280="","",LEFT(B280,4))</f>
        <v/>
      </c>
    </row>
    <row r="281">
      <c r="B281" s="20" t="n"/>
      <c r="D281" s="12">
        <f>IF(B281="","",LEFT(B281,2))</f>
        <v/>
      </c>
      <c r="E281" s="12">
        <f>IF(B281="","",LEFT(B281,4))</f>
        <v/>
      </c>
    </row>
    <row r="282">
      <c r="B282" s="20" t="n"/>
      <c r="D282" s="12">
        <f>IF(B282="","",LEFT(B282,2))</f>
        <v/>
      </c>
      <c r="E282" s="12">
        <f>IF(B282="","",LEFT(B282,4))</f>
        <v/>
      </c>
    </row>
    <row r="283">
      <c r="B283" s="20" t="n"/>
      <c r="D283" s="12">
        <f>IF(B283="","",LEFT(B283,2))</f>
        <v/>
      </c>
      <c r="E283" s="12">
        <f>IF(B283="","",LEFT(B283,4))</f>
        <v/>
      </c>
    </row>
    <row r="284">
      <c r="B284" s="20" t="n"/>
      <c r="D284" s="12">
        <f>IF(B284="","",LEFT(B284,2))</f>
        <v/>
      </c>
      <c r="E284" s="12">
        <f>IF(B284="","",LEFT(B284,4))</f>
        <v/>
      </c>
    </row>
    <row r="285">
      <c r="B285" s="20" t="n"/>
      <c r="D285" s="12">
        <f>IF(B285="","",LEFT(B285,2))</f>
        <v/>
      </c>
      <c r="E285" s="12">
        <f>IF(B285="","",LEFT(B285,4))</f>
        <v/>
      </c>
    </row>
    <row r="286">
      <c r="B286" s="20" t="n"/>
      <c r="D286" s="12">
        <f>IF(B286="","",LEFT(B286,2))</f>
        <v/>
      </c>
      <c r="E286" s="12">
        <f>IF(B286="","",LEFT(B286,4))</f>
        <v/>
      </c>
    </row>
    <row r="287">
      <c r="B287" s="20" t="n"/>
      <c r="D287" s="12">
        <f>IF(B287="","",LEFT(B287,2))</f>
        <v/>
      </c>
      <c r="E287" s="12">
        <f>IF(B287="","",LEFT(B287,4))</f>
        <v/>
      </c>
    </row>
    <row r="288">
      <c r="B288" s="20" t="n"/>
      <c r="D288" s="12">
        <f>IF(B288="","",LEFT(B288,2))</f>
        <v/>
      </c>
      <c r="E288" s="12">
        <f>IF(B288="","",LEFT(B288,4))</f>
        <v/>
      </c>
    </row>
    <row r="289">
      <c r="B289" s="20" t="n"/>
      <c r="D289" s="12">
        <f>IF(B289="","",LEFT(B289,2))</f>
        <v/>
      </c>
      <c r="E289" s="12">
        <f>IF(B289="","",LEFT(B289,4))</f>
        <v/>
      </c>
    </row>
    <row r="290">
      <c r="B290" s="20" t="n"/>
      <c r="D290" s="12">
        <f>IF(B290="","",LEFT(B290,2))</f>
        <v/>
      </c>
      <c r="E290" s="12">
        <f>IF(B290="","",LEFT(B290,4))</f>
        <v/>
      </c>
    </row>
    <row r="291">
      <c r="B291" s="20" t="n"/>
      <c r="D291" s="12">
        <f>IF(B291="","",LEFT(B291,2))</f>
        <v/>
      </c>
      <c r="E291" s="12">
        <f>IF(B291="","",LEFT(B291,4))</f>
        <v/>
      </c>
    </row>
    <row r="292">
      <c r="B292" s="20" t="n"/>
      <c r="D292" s="12">
        <f>IF(B292="","",LEFT(B292,2))</f>
        <v/>
      </c>
      <c r="E292" s="12">
        <f>IF(B292="","",LEFT(B292,4))</f>
        <v/>
      </c>
    </row>
    <row r="293">
      <c r="B293" s="20" t="n"/>
      <c r="D293" s="12">
        <f>IF(B293="","",LEFT(B293,2))</f>
        <v/>
      </c>
      <c r="E293" s="12">
        <f>IF(B293="","",LEFT(B293,4))</f>
        <v/>
      </c>
    </row>
    <row r="294">
      <c r="B294" s="20" t="n"/>
      <c r="D294" s="12">
        <f>IF(B294="","",LEFT(B294,2))</f>
        <v/>
      </c>
      <c r="E294" s="12">
        <f>IF(B294="","",LEFT(B294,4))</f>
        <v/>
      </c>
    </row>
    <row r="295">
      <c r="B295" s="20" t="n"/>
      <c r="D295" s="12">
        <f>IF(B295="","",LEFT(B295,2))</f>
        <v/>
      </c>
      <c r="E295" s="12">
        <f>IF(B295="","",LEFT(B295,4))</f>
        <v/>
      </c>
    </row>
    <row r="296">
      <c r="B296" s="20" t="n"/>
      <c r="D296" s="12">
        <f>IF(B296="","",LEFT(B296,2))</f>
        <v/>
      </c>
      <c r="E296" s="12">
        <f>IF(B296="","",LEFT(B296,4))</f>
        <v/>
      </c>
    </row>
    <row r="297">
      <c r="B297" s="20" t="n"/>
      <c r="D297" s="12">
        <f>IF(B297="","",LEFT(B297,2))</f>
        <v/>
      </c>
      <c r="E297" s="12">
        <f>IF(B297="","",LEFT(B297,4))</f>
        <v/>
      </c>
    </row>
    <row r="298">
      <c r="B298" s="20" t="n"/>
      <c r="D298" s="12">
        <f>IF(B298="","",LEFT(B298,2))</f>
        <v/>
      </c>
      <c r="E298" s="12">
        <f>IF(B298="","",LEFT(B298,4))</f>
        <v/>
      </c>
    </row>
    <row r="299">
      <c r="B299" s="20" t="n"/>
      <c r="D299" s="12">
        <f>IF(B299="","",LEFT(B299,2))</f>
        <v/>
      </c>
      <c r="E299" s="12">
        <f>IF(B299="","",LEFT(B299,4))</f>
        <v/>
      </c>
    </row>
    <row r="300">
      <c r="B300" s="20" t="n"/>
      <c r="D300" s="12">
        <f>IF(B300="","",LEFT(B300,2))</f>
        <v/>
      </c>
      <c r="E300" s="12">
        <f>IF(B300="","",LEFT(B300,4))</f>
        <v/>
      </c>
    </row>
    <row r="301">
      <c r="B301" s="20" t="n"/>
      <c r="D301" s="12">
        <f>IF(B301="","",LEFT(B301,2))</f>
        <v/>
      </c>
      <c r="E301" s="12">
        <f>IF(B301="","",LEFT(B301,4))</f>
        <v/>
      </c>
    </row>
    <row r="302">
      <c r="B302" s="20" t="n"/>
      <c r="D302" s="12">
        <f>IF(B302="","",LEFT(B302,2))</f>
        <v/>
      </c>
      <c r="E302" s="12">
        <f>IF(B302="","",LEFT(B302,4))</f>
        <v/>
      </c>
    </row>
    <row r="303">
      <c r="B303" s="20" t="n"/>
      <c r="D303" s="12">
        <f>IF(B303="","",LEFT(B303,2))</f>
        <v/>
      </c>
      <c r="E303" s="12">
        <f>IF(B303="","",LEFT(B303,4))</f>
        <v/>
      </c>
    </row>
    <row r="304">
      <c r="B304" s="20" t="n"/>
      <c r="D304" s="12">
        <f>IF(B304="","",LEFT(B304,2))</f>
        <v/>
      </c>
      <c r="E304" s="12">
        <f>IF(B304="","",LEFT(B304,4))</f>
        <v/>
      </c>
    </row>
    <row r="305">
      <c r="B305" s="20" t="n"/>
      <c r="D305" s="12">
        <f>IF(B305="","",LEFT(B305,2))</f>
        <v/>
      </c>
      <c r="E305" s="12">
        <f>IF(B305="","",LEFT(B305,4))</f>
        <v/>
      </c>
    </row>
    <row r="306">
      <c r="B306" s="20" t="n"/>
      <c r="D306" s="12">
        <f>IF(B306="","",LEFT(B306,2))</f>
        <v/>
      </c>
      <c r="E306" s="12">
        <f>IF(B306="","",LEFT(B306,4))</f>
        <v/>
      </c>
    </row>
    <row r="307">
      <c r="B307" s="20" t="n"/>
      <c r="D307" s="12">
        <f>IF(B307="","",LEFT(B307,2))</f>
        <v/>
      </c>
      <c r="E307" s="12">
        <f>IF(B307="","",LEFT(B307,4))</f>
        <v/>
      </c>
    </row>
    <row r="308">
      <c r="B308" s="20" t="n"/>
      <c r="D308" s="12">
        <f>IF(B308="","",LEFT(B308,2))</f>
        <v/>
      </c>
      <c r="E308" s="12">
        <f>IF(B308="","",LEFT(B308,4))</f>
        <v/>
      </c>
    </row>
    <row r="309">
      <c r="B309" s="20" t="n"/>
      <c r="D309" s="12">
        <f>IF(B309="","",LEFT(B309,2))</f>
        <v/>
      </c>
      <c r="E309" s="12">
        <f>IF(B309="","",LEFT(B309,4))</f>
        <v/>
      </c>
    </row>
    <row r="310">
      <c r="B310" s="20" t="n"/>
      <c r="D310" s="12">
        <f>IF(B310="","",LEFT(B310,2))</f>
        <v/>
      </c>
      <c r="E310" s="12">
        <f>IF(B310="","",LEFT(B310,4))</f>
        <v/>
      </c>
    </row>
    <row r="311">
      <c r="B311" s="20" t="n"/>
      <c r="D311" s="12">
        <f>IF(B311="","",LEFT(B311,2))</f>
        <v/>
      </c>
      <c r="E311" s="12">
        <f>IF(B311="","",LEFT(B311,4))</f>
        <v/>
      </c>
    </row>
    <row r="312">
      <c r="B312" s="20" t="n"/>
      <c r="D312" s="12">
        <f>IF(B312="","",LEFT(B312,2))</f>
        <v/>
      </c>
      <c r="E312" s="12">
        <f>IF(B312="","",LEFT(B312,4))</f>
        <v/>
      </c>
    </row>
    <row r="313">
      <c r="B313" s="20" t="n"/>
      <c r="D313" s="12">
        <f>IF(B313="","",LEFT(B313,2))</f>
        <v/>
      </c>
      <c r="E313" s="12">
        <f>IF(B313="","",LEFT(B313,4))</f>
        <v/>
      </c>
    </row>
    <row r="314">
      <c r="B314" s="20" t="n"/>
      <c r="D314" s="12">
        <f>IF(B314="","",LEFT(B314,2))</f>
        <v/>
      </c>
      <c r="E314" s="12">
        <f>IF(B314="","",LEFT(B314,4))</f>
        <v/>
      </c>
    </row>
    <row r="315">
      <c r="B315" s="20" t="n"/>
      <c r="D315" s="12">
        <f>IF(B315="","",LEFT(B315,2))</f>
        <v/>
      </c>
      <c r="E315" s="12">
        <f>IF(B315="","",LEFT(B315,4))</f>
        <v/>
      </c>
    </row>
    <row r="316">
      <c r="B316" s="20" t="n"/>
      <c r="D316" s="12">
        <f>IF(B316="","",LEFT(B316,2))</f>
        <v/>
      </c>
      <c r="E316" s="12">
        <f>IF(B316="","",LEFT(B316,4))</f>
        <v/>
      </c>
    </row>
    <row r="317">
      <c r="B317" s="20" t="n"/>
      <c r="D317" s="12">
        <f>IF(B317="","",LEFT(B317,2))</f>
        <v/>
      </c>
      <c r="E317" s="12">
        <f>IF(B317="","",LEFT(B317,4))</f>
        <v/>
      </c>
    </row>
    <row r="318">
      <c r="B318" s="20" t="n"/>
      <c r="D318" s="12">
        <f>IF(B318="","",LEFT(B318,2))</f>
        <v/>
      </c>
      <c r="E318" s="12">
        <f>IF(B318="","",LEFT(B318,4))</f>
        <v/>
      </c>
    </row>
    <row r="319">
      <c r="B319" s="20" t="n"/>
      <c r="D319" s="12">
        <f>IF(B319="","",LEFT(B319,2))</f>
        <v/>
      </c>
      <c r="E319" s="12">
        <f>IF(B319="","",LEFT(B319,4))</f>
        <v/>
      </c>
    </row>
    <row r="320">
      <c r="B320" s="20" t="n"/>
      <c r="D320" s="12">
        <f>IF(B320="","",LEFT(B320,2))</f>
        <v/>
      </c>
      <c r="E320" s="12">
        <f>IF(B320="","",LEFT(B320,4))</f>
        <v/>
      </c>
    </row>
    <row r="321">
      <c r="B321" s="20" t="n"/>
      <c r="D321" s="12">
        <f>IF(B321="","",LEFT(B321,2))</f>
        <v/>
      </c>
      <c r="E321" s="12">
        <f>IF(B321="","",LEFT(B321,4))</f>
        <v/>
      </c>
    </row>
    <row r="322">
      <c r="B322" s="20" t="n"/>
      <c r="D322" s="12">
        <f>IF(B322="","",LEFT(B322,2))</f>
        <v/>
      </c>
      <c r="E322" s="12">
        <f>IF(B322="","",LEFT(B322,4))</f>
        <v/>
      </c>
    </row>
    <row r="323">
      <c r="B323" s="20" t="n"/>
      <c r="D323" s="12">
        <f>IF(B323="","",LEFT(B323,2))</f>
        <v/>
      </c>
      <c r="E323" s="12">
        <f>IF(B323="","",LEFT(B323,4))</f>
        <v/>
      </c>
    </row>
    <row r="324">
      <c r="B324" s="20" t="n"/>
      <c r="D324" s="12">
        <f>IF(B324="","",LEFT(B324,2))</f>
        <v/>
      </c>
      <c r="E324" s="12">
        <f>IF(B324="","",LEFT(B324,4))</f>
        <v/>
      </c>
    </row>
    <row r="325">
      <c r="B325" s="20" t="n"/>
      <c r="D325" s="12">
        <f>IF(B325="","",LEFT(B325,2))</f>
        <v/>
      </c>
      <c r="E325" s="12">
        <f>IF(B325="","",LEFT(B325,4))</f>
        <v/>
      </c>
    </row>
    <row r="326">
      <c r="B326" s="20" t="n"/>
      <c r="D326" s="12">
        <f>IF(B326="","",LEFT(B326,2))</f>
        <v/>
      </c>
      <c r="E326" s="12">
        <f>IF(B326="","",LEFT(B326,4))</f>
        <v/>
      </c>
    </row>
    <row r="327">
      <c r="B327" s="20" t="n"/>
      <c r="D327" s="12">
        <f>IF(B327="","",LEFT(B327,2))</f>
        <v/>
      </c>
      <c r="E327" s="12">
        <f>IF(B327="","",LEFT(B327,4))</f>
        <v/>
      </c>
    </row>
    <row r="328">
      <c r="B328" s="20" t="n"/>
      <c r="D328" s="12">
        <f>IF(B328="","",LEFT(B328,2))</f>
        <v/>
      </c>
      <c r="E328" s="12">
        <f>IF(B328="","",LEFT(B328,4))</f>
        <v/>
      </c>
    </row>
    <row r="329">
      <c r="B329" s="20" t="n"/>
      <c r="D329" s="12">
        <f>IF(B329="","",LEFT(B329,2))</f>
        <v/>
      </c>
      <c r="E329" s="12">
        <f>IF(B329="","",LEFT(B329,4))</f>
        <v/>
      </c>
    </row>
    <row r="330">
      <c r="B330" s="20" t="n"/>
      <c r="D330" s="12">
        <f>IF(B330="","",LEFT(B330,2))</f>
        <v/>
      </c>
      <c r="E330" s="12">
        <f>IF(B330="","",LEFT(B330,4))</f>
        <v/>
      </c>
    </row>
    <row r="331">
      <c r="B331" s="20" t="n"/>
      <c r="D331" s="12">
        <f>IF(B331="","",LEFT(B331,2))</f>
        <v/>
      </c>
      <c r="E331" s="12">
        <f>IF(B331="","",LEFT(B331,4))</f>
        <v/>
      </c>
    </row>
    <row r="332">
      <c r="B332" s="20" t="n"/>
      <c r="D332" s="12">
        <f>IF(B332="","",LEFT(B332,2))</f>
        <v/>
      </c>
      <c r="E332" s="12">
        <f>IF(B332="","",LEFT(B332,4))</f>
        <v/>
      </c>
    </row>
    <row r="333">
      <c r="B333" s="20" t="n"/>
      <c r="D333" s="12">
        <f>IF(B333="","",LEFT(B333,2))</f>
        <v/>
      </c>
      <c r="E333" s="12">
        <f>IF(B333="","",LEFT(B333,4))</f>
        <v/>
      </c>
    </row>
    <row r="334">
      <c r="B334" s="20" t="n"/>
      <c r="D334" s="12">
        <f>IF(B334="","",LEFT(B334,2))</f>
        <v/>
      </c>
      <c r="E334" s="12">
        <f>IF(B334="","",LEFT(B334,4))</f>
        <v/>
      </c>
    </row>
    <row r="335">
      <c r="B335" s="20" t="n"/>
      <c r="D335" s="12">
        <f>IF(B335="","",LEFT(B335,2))</f>
        <v/>
      </c>
      <c r="E335" s="12">
        <f>IF(B335="","",LEFT(B335,4))</f>
        <v/>
      </c>
    </row>
    <row r="336">
      <c r="B336" s="20" t="n"/>
      <c r="D336" s="12">
        <f>IF(B336="","",LEFT(B336,2))</f>
        <v/>
      </c>
      <c r="E336" s="12">
        <f>IF(B336="","",LEFT(B336,4))</f>
        <v/>
      </c>
    </row>
    <row r="337">
      <c r="B337" s="20" t="n"/>
      <c r="D337" s="12">
        <f>IF(B337="","",LEFT(B337,2))</f>
        <v/>
      </c>
      <c r="E337" s="12">
        <f>IF(B337="","",LEFT(B337,4))</f>
        <v/>
      </c>
    </row>
    <row r="338">
      <c r="B338" s="20" t="n"/>
      <c r="D338" s="12">
        <f>IF(B338="","",LEFT(B338,2))</f>
        <v/>
      </c>
      <c r="E338" s="12">
        <f>IF(B338="","",LEFT(B338,4))</f>
        <v/>
      </c>
    </row>
    <row r="339">
      <c r="B339" s="20" t="n"/>
      <c r="D339" s="12">
        <f>IF(B339="","",LEFT(B339,2))</f>
        <v/>
      </c>
      <c r="E339" s="12">
        <f>IF(B339="","",LEFT(B339,4))</f>
        <v/>
      </c>
    </row>
    <row r="340">
      <c r="B340" s="20" t="n"/>
      <c r="D340" s="12">
        <f>IF(B340="","",LEFT(B340,2))</f>
        <v/>
      </c>
      <c r="E340" s="12">
        <f>IF(B340="","",LEFT(B340,4))</f>
        <v/>
      </c>
    </row>
    <row r="341">
      <c r="B341" s="20" t="n"/>
      <c r="D341" s="12">
        <f>IF(B341="","",LEFT(B341,2))</f>
        <v/>
      </c>
      <c r="E341" s="12">
        <f>IF(B341="","",LEFT(B341,4))</f>
        <v/>
      </c>
    </row>
    <row r="342">
      <c r="B342" s="20" t="n"/>
      <c r="D342" s="12">
        <f>IF(B342="","",LEFT(B342,2))</f>
        <v/>
      </c>
      <c r="E342" s="12">
        <f>IF(B342="","",LEFT(B342,4))</f>
        <v/>
      </c>
    </row>
    <row r="343">
      <c r="B343" s="20" t="n"/>
      <c r="D343" s="12">
        <f>IF(B343="","",LEFT(B343,2))</f>
        <v/>
      </c>
      <c r="E343" s="12">
        <f>IF(B343="","",LEFT(B343,4))</f>
        <v/>
      </c>
    </row>
    <row r="344">
      <c r="B344" s="20" t="n"/>
      <c r="D344" s="12">
        <f>IF(B344="","",LEFT(B344,2))</f>
        <v/>
      </c>
      <c r="E344" s="12">
        <f>IF(B344="","",LEFT(B344,4))</f>
        <v/>
      </c>
    </row>
    <row r="345">
      <c r="B345" s="20" t="n"/>
      <c r="D345" s="12">
        <f>IF(B345="","",LEFT(B345,2))</f>
        <v/>
      </c>
      <c r="E345" s="12">
        <f>IF(B345="","",LEFT(B345,4))</f>
        <v/>
      </c>
    </row>
    <row r="346">
      <c r="B346" s="20" t="n"/>
      <c r="D346" s="12">
        <f>IF(B346="","",LEFT(B346,2))</f>
        <v/>
      </c>
      <c r="E346" s="12">
        <f>IF(B346="","",LEFT(B346,4))</f>
        <v/>
      </c>
    </row>
    <row r="347">
      <c r="B347" s="20" t="n"/>
      <c r="D347" s="12">
        <f>IF(B347="","",LEFT(B347,2))</f>
        <v/>
      </c>
      <c r="E347" s="12">
        <f>IF(B347="","",LEFT(B347,4))</f>
        <v/>
      </c>
    </row>
    <row r="348">
      <c r="B348" s="20" t="n"/>
      <c r="D348" s="12">
        <f>IF(B348="","",LEFT(B348,2))</f>
        <v/>
      </c>
      <c r="E348" s="12">
        <f>IF(B348="","",LEFT(B348,4))</f>
        <v/>
      </c>
    </row>
    <row r="349">
      <c r="B349" s="20" t="n"/>
      <c r="D349" s="12">
        <f>IF(B349="","",LEFT(B349,2))</f>
        <v/>
      </c>
      <c r="E349" s="12">
        <f>IF(B349="","",LEFT(B349,4))</f>
        <v/>
      </c>
    </row>
    <row r="350">
      <c r="B350" s="20" t="n"/>
      <c r="D350" s="12">
        <f>IF(B350="","",LEFT(B350,2))</f>
        <v/>
      </c>
      <c r="E350" s="12">
        <f>IF(B350="","",LEFT(B350,4))</f>
        <v/>
      </c>
    </row>
    <row r="351">
      <c r="B351" s="20" t="n"/>
      <c r="D351" s="12">
        <f>IF(B351="","",LEFT(B351,2))</f>
        <v/>
      </c>
      <c r="E351" s="12">
        <f>IF(B351="","",LEFT(B351,4))</f>
        <v/>
      </c>
    </row>
    <row r="352">
      <c r="B352" s="20" t="n"/>
      <c r="D352" s="12">
        <f>IF(B352="","",LEFT(B352,2))</f>
        <v/>
      </c>
      <c r="E352" s="12">
        <f>IF(B352="","",LEFT(B352,4))</f>
        <v/>
      </c>
    </row>
    <row r="353">
      <c r="B353" s="20" t="n"/>
      <c r="D353" s="12">
        <f>IF(B353="","",LEFT(B353,2))</f>
        <v/>
      </c>
      <c r="E353" s="12">
        <f>IF(B353="","",LEFT(B353,4))</f>
        <v/>
      </c>
    </row>
    <row r="354">
      <c r="B354" s="20" t="n"/>
      <c r="D354" s="12">
        <f>IF(B354="","",LEFT(B354,2))</f>
        <v/>
      </c>
      <c r="E354" s="12">
        <f>IF(B354="","",LEFT(B354,4))</f>
        <v/>
      </c>
    </row>
    <row r="355">
      <c r="B355" s="20" t="n"/>
      <c r="D355" s="12">
        <f>IF(B355="","",LEFT(B355,2))</f>
        <v/>
      </c>
      <c r="E355" s="12">
        <f>IF(B355="","",LEFT(B355,4))</f>
        <v/>
      </c>
    </row>
    <row r="356">
      <c r="B356" s="20" t="n"/>
      <c r="D356" s="12">
        <f>IF(B356="","",LEFT(B356,2))</f>
        <v/>
      </c>
      <c r="E356" s="12">
        <f>IF(B356="","",LEFT(B356,4))</f>
        <v/>
      </c>
    </row>
    <row r="357">
      <c r="B357" s="20" t="n"/>
      <c r="D357" s="12">
        <f>IF(B357="","",LEFT(B357,2))</f>
        <v/>
      </c>
      <c r="E357" s="12">
        <f>IF(B357="","",LEFT(B357,4))</f>
        <v/>
      </c>
    </row>
    <row r="358">
      <c r="B358" s="20" t="n"/>
      <c r="D358" s="12">
        <f>IF(B358="","",LEFT(B358,2))</f>
        <v/>
      </c>
      <c r="E358" s="12">
        <f>IF(B358="","",LEFT(B358,4))</f>
        <v/>
      </c>
    </row>
    <row r="359">
      <c r="B359" s="20" t="n"/>
      <c r="D359" s="12">
        <f>IF(B359="","",LEFT(B359,2))</f>
        <v/>
      </c>
      <c r="E359" s="12">
        <f>IF(B359="","",LEFT(B359,4))</f>
        <v/>
      </c>
    </row>
    <row r="360">
      <c r="B360" s="20" t="n"/>
      <c r="D360" s="12">
        <f>IF(B360="","",LEFT(B360,2))</f>
        <v/>
      </c>
      <c r="E360" s="12">
        <f>IF(B360="","",LEFT(B360,4))</f>
        <v/>
      </c>
    </row>
    <row r="361">
      <c r="B361" s="20" t="n"/>
      <c r="D361" s="12">
        <f>IF(B361="","",LEFT(B361,2))</f>
        <v/>
      </c>
      <c r="E361" s="12">
        <f>IF(B361="","",LEFT(B361,4))</f>
        <v/>
      </c>
    </row>
    <row r="362">
      <c r="B362" s="20" t="n"/>
      <c r="D362" s="12">
        <f>IF(B362="","",LEFT(B362,2))</f>
        <v/>
      </c>
      <c r="E362" s="12">
        <f>IF(B362="","",LEFT(B362,4))</f>
        <v/>
      </c>
    </row>
    <row r="363">
      <c r="B363" s="20" t="n"/>
      <c r="D363" s="12">
        <f>IF(B363="","",LEFT(B363,2))</f>
        <v/>
      </c>
      <c r="E363" s="12">
        <f>IF(B363="","",LEFT(B363,4))</f>
        <v/>
      </c>
    </row>
    <row r="364">
      <c r="B364" s="20" t="n"/>
      <c r="D364" s="12">
        <f>IF(B364="","",LEFT(B364,2))</f>
        <v/>
      </c>
      <c r="E364" s="12">
        <f>IF(B364="","",LEFT(B364,4))</f>
        <v/>
      </c>
    </row>
    <row r="365">
      <c r="B365" s="20" t="n"/>
      <c r="D365" s="12">
        <f>IF(B365="","",LEFT(B365,2))</f>
        <v/>
      </c>
      <c r="E365" s="12">
        <f>IF(B365="","",LEFT(B365,4))</f>
        <v/>
      </c>
    </row>
    <row r="366">
      <c r="B366" s="20" t="n"/>
      <c r="D366" s="12">
        <f>IF(B366="","",LEFT(B366,2))</f>
        <v/>
      </c>
      <c r="E366" s="12">
        <f>IF(B366="","",LEFT(B366,4))</f>
        <v/>
      </c>
    </row>
    <row r="367">
      <c r="B367" s="20" t="n"/>
      <c r="D367" s="12">
        <f>IF(B367="","",LEFT(B367,2))</f>
        <v/>
      </c>
      <c r="E367" s="12">
        <f>IF(B367="","",LEFT(B367,4))</f>
        <v/>
      </c>
    </row>
    <row r="368">
      <c r="B368" s="20" t="n"/>
      <c r="D368" s="12">
        <f>IF(B368="","",LEFT(B368,2))</f>
        <v/>
      </c>
      <c r="E368" s="12">
        <f>IF(B368="","",LEFT(B368,4))</f>
        <v/>
      </c>
    </row>
    <row r="369">
      <c r="B369" s="20" t="n"/>
      <c r="D369" s="12">
        <f>IF(B369="","",LEFT(B369,2))</f>
        <v/>
      </c>
      <c r="E369" s="12">
        <f>IF(B369="","",LEFT(B369,4))</f>
        <v/>
      </c>
    </row>
    <row r="370">
      <c r="B370" s="20" t="n"/>
      <c r="D370" s="12">
        <f>IF(B370="","",LEFT(B370,2))</f>
        <v/>
      </c>
      <c r="E370" s="12">
        <f>IF(B370="","",LEFT(B370,4))</f>
        <v/>
      </c>
    </row>
    <row r="371">
      <c r="B371" s="20" t="n"/>
      <c r="D371" s="12">
        <f>IF(B371="","",LEFT(B371,2))</f>
        <v/>
      </c>
      <c r="E371" s="12">
        <f>IF(B371="","",LEFT(B371,4))</f>
        <v/>
      </c>
    </row>
    <row r="372">
      <c r="B372" s="20" t="n"/>
      <c r="D372" s="12">
        <f>IF(B372="","",LEFT(B372,2))</f>
        <v/>
      </c>
      <c r="E372" s="12">
        <f>IF(B372="","",LEFT(B372,4))</f>
        <v/>
      </c>
    </row>
    <row r="373">
      <c r="B373" s="20" t="n"/>
      <c r="D373" s="12">
        <f>IF(B373="","",LEFT(B373,2))</f>
        <v/>
      </c>
      <c r="E373" s="12">
        <f>IF(B373="","",LEFT(B373,4))</f>
        <v/>
      </c>
    </row>
    <row r="374">
      <c r="B374" s="20" t="n"/>
      <c r="D374" s="12">
        <f>IF(B374="","",LEFT(B374,2))</f>
        <v/>
      </c>
      <c r="E374" s="12">
        <f>IF(B374="","",LEFT(B374,4))</f>
        <v/>
      </c>
    </row>
    <row r="375">
      <c r="B375" s="20" t="n"/>
      <c r="D375" s="12">
        <f>IF(B375="","",LEFT(B375,2))</f>
        <v/>
      </c>
      <c r="E375" s="12">
        <f>IF(B375="","",LEFT(B375,4))</f>
        <v/>
      </c>
    </row>
    <row r="376">
      <c r="B376" s="20" t="n"/>
      <c r="D376" s="12">
        <f>IF(B376="","",LEFT(B376,2))</f>
        <v/>
      </c>
      <c r="E376" s="12">
        <f>IF(B376="","",LEFT(B376,4))</f>
        <v/>
      </c>
    </row>
    <row r="377">
      <c r="B377" s="20" t="n"/>
      <c r="D377" s="12">
        <f>IF(B377="","",LEFT(B377,2))</f>
        <v/>
      </c>
      <c r="E377" s="12">
        <f>IF(B377="","",LEFT(B377,4))</f>
        <v/>
      </c>
    </row>
    <row r="378">
      <c r="B378" s="20" t="n"/>
      <c r="D378" s="12">
        <f>IF(B378="","",LEFT(B378,2))</f>
        <v/>
      </c>
      <c r="E378" s="12">
        <f>IF(B378="","",LEFT(B378,4))</f>
        <v/>
      </c>
    </row>
    <row r="379">
      <c r="B379" s="20" t="n"/>
      <c r="D379" s="12">
        <f>IF(B379="","",LEFT(B379,2))</f>
        <v/>
      </c>
      <c r="E379" s="12">
        <f>IF(B379="","",LEFT(B379,4))</f>
        <v/>
      </c>
    </row>
    <row r="380">
      <c r="B380" s="20" t="n"/>
      <c r="D380" s="12">
        <f>IF(B380="","",LEFT(B380,2))</f>
        <v/>
      </c>
      <c r="E380" s="12">
        <f>IF(B380="","",LEFT(B380,4))</f>
        <v/>
      </c>
    </row>
    <row r="381">
      <c r="B381" s="20" t="n"/>
      <c r="D381" s="12">
        <f>IF(B381="","",LEFT(B381,2))</f>
        <v/>
      </c>
      <c r="E381" s="12">
        <f>IF(B381="","",LEFT(B381,4))</f>
        <v/>
      </c>
    </row>
    <row r="382">
      <c r="B382" s="20" t="n"/>
      <c r="D382" s="12">
        <f>IF(B382="","",LEFT(B382,2))</f>
        <v/>
      </c>
      <c r="E382" s="12">
        <f>IF(B382="","",LEFT(B382,4))</f>
        <v/>
      </c>
    </row>
    <row r="383">
      <c r="B383" s="20" t="n"/>
      <c r="D383" s="12">
        <f>IF(B383="","",LEFT(B383,2))</f>
        <v/>
      </c>
      <c r="E383" s="12">
        <f>IF(B383="","",LEFT(B383,4))</f>
        <v/>
      </c>
    </row>
    <row r="384">
      <c r="B384" s="20" t="n"/>
      <c r="D384" s="12">
        <f>IF(B384="","",LEFT(B384,2))</f>
        <v/>
      </c>
      <c r="E384" s="12">
        <f>IF(B384="","",LEFT(B384,4))</f>
        <v/>
      </c>
    </row>
    <row r="385">
      <c r="B385" s="20" t="n"/>
      <c r="D385" s="12">
        <f>IF(B385="","",LEFT(B385,2))</f>
        <v/>
      </c>
      <c r="E385" s="12">
        <f>IF(B385="","",LEFT(B385,4))</f>
        <v/>
      </c>
    </row>
    <row r="386">
      <c r="B386" s="20" t="n"/>
      <c r="D386" s="12">
        <f>IF(B386="","",LEFT(B386,2))</f>
        <v/>
      </c>
      <c r="E386" s="12">
        <f>IF(B386="","",LEFT(B386,4))</f>
        <v/>
      </c>
    </row>
    <row r="387">
      <c r="B387" s="20" t="n"/>
      <c r="D387" s="12">
        <f>IF(B387="","",LEFT(B387,2))</f>
        <v/>
      </c>
      <c r="E387" s="12">
        <f>IF(B387="","",LEFT(B387,4))</f>
        <v/>
      </c>
    </row>
    <row r="388">
      <c r="B388" s="20" t="n"/>
      <c r="D388" s="12">
        <f>IF(B388="","",LEFT(B388,2))</f>
        <v/>
      </c>
      <c r="E388" s="12">
        <f>IF(B388="","",LEFT(B388,4))</f>
        <v/>
      </c>
    </row>
    <row r="389">
      <c r="B389" s="20" t="n"/>
      <c r="D389" s="12">
        <f>IF(B389="","",LEFT(B389,2))</f>
        <v/>
      </c>
      <c r="E389" s="12">
        <f>IF(B389="","",LEFT(B389,4))</f>
        <v/>
      </c>
    </row>
    <row r="390">
      <c r="B390" s="20" t="n"/>
      <c r="D390" s="12">
        <f>IF(B390="","",LEFT(B390,2))</f>
        <v/>
      </c>
      <c r="E390" s="12">
        <f>IF(B390="","",LEFT(B390,4))</f>
        <v/>
      </c>
    </row>
    <row r="391">
      <c r="B391" s="20" t="n"/>
      <c r="D391" s="12">
        <f>IF(B391="","",LEFT(B391,2))</f>
        <v/>
      </c>
      <c r="E391" s="12">
        <f>IF(B391="","",LEFT(B391,4))</f>
        <v/>
      </c>
    </row>
    <row r="392">
      <c r="B392" s="20" t="n"/>
      <c r="D392" s="12">
        <f>IF(B392="","",LEFT(B392,2))</f>
        <v/>
      </c>
      <c r="E392" s="12">
        <f>IF(B392="","",LEFT(B392,4))</f>
        <v/>
      </c>
    </row>
    <row r="393">
      <c r="B393" s="20" t="n"/>
      <c r="D393" s="12">
        <f>IF(B393="","",LEFT(B393,2))</f>
        <v/>
      </c>
      <c r="E393" s="12">
        <f>IF(B393="","",LEFT(B393,4))</f>
        <v/>
      </c>
    </row>
    <row r="394">
      <c r="B394" s="20" t="n"/>
      <c r="D394" s="12">
        <f>IF(B394="","",LEFT(B394,2))</f>
        <v/>
      </c>
      <c r="E394" s="12">
        <f>IF(B394="","",LEFT(B394,4))</f>
        <v/>
      </c>
    </row>
    <row r="395">
      <c r="B395" s="20" t="n"/>
      <c r="D395" s="12">
        <f>IF(B395="","",LEFT(B395,2))</f>
        <v/>
      </c>
      <c r="E395" s="12">
        <f>IF(B395="","",LEFT(B395,4))</f>
        <v/>
      </c>
    </row>
    <row r="396">
      <c r="B396" s="20" t="n"/>
      <c r="D396" s="12">
        <f>IF(B396="","",LEFT(B396,2))</f>
        <v/>
      </c>
      <c r="E396" s="12">
        <f>IF(B396="","",LEFT(B396,4))</f>
        <v/>
      </c>
    </row>
    <row r="397">
      <c r="B397" s="20" t="n"/>
      <c r="D397" s="12">
        <f>IF(B397="","",LEFT(B397,2))</f>
        <v/>
      </c>
      <c r="E397" s="12">
        <f>IF(B397="","",LEFT(B397,4))</f>
        <v/>
      </c>
    </row>
    <row r="398">
      <c r="B398" s="20" t="n"/>
      <c r="D398" s="12">
        <f>IF(B398="","",LEFT(B398,2))</f>
        <v/>
      </c>
      <c r="E398" s="12">
        <f>IF(B398="","",LEFT(B398,4))</f>
        <v/>
      </c>
    </row>
    <row r="399">
      <c r="B399" s="20" t="n"/>
      <c r="D399" s="12">
        <f>IF(B399="","",LEFT(B399,2))</f>
        <v/>
      </c>
      <c r="E399" s="12">
        <f>IF(B399="","",LEFT(B399,4))</f>
        <v/>
      </c>
    </row>
    <row r="400">
      <c r="B400" s="20" t="n"/>
      <c r="D400" s="12">
        <f>IF(B400="","",LEFT(B400,2))</f>
        <v/>
      </c>
      <c r="E400" s="12">
        <f>IF(B400="","",LEFT(B400,4))</f>
        <v/>
      </c>
    </row>
    <row r="401">
      <c r="B401" s="20" t="n"/>
      <c r="D401" s="12">
        <f>IF(B401="","",LEFT(B401,2))</f>
        <v/>
      </c>
      <c r="E401" s="12">
        <f>IF(B401="","",LEFT(B401,4))</f>
        <v/>
      </c>
    </row>
    <row r="402">
      <c r="B402" s="20" t="n"/>
      <c r="D402" s="12">
        <f>IF(B402="","",LEFT(B402,2))</f>
        <v/>
      </c>
      <c r="E402" s="12">
        <f>IF(B402="","",LEFT(B402,4))</f>
        <v/>
      </c>
    </row>
    <row r="403">
      <c r="B403" s="20" t="n"/>
      <c r="D403" s="12">
        <f>IF(B403="","",LEFT(B403,2))</f>
        <v/>
      </c>
      <c r="E403" s="12">
        <f>IF(B403="","",LEFT(B403,4))</f>
        <v/>
      </c>
    </row>
    <row r="404">
      <c r="B404" s="20" t="n"/>
      <c r="D404" s="12">
        <f>IF(B404="","",LEFT(B404,2))</f>
        <v/>
      </c>
      <c r="E404" s="12">
        <f>IF(B404="","",LEFT(B404,4))</f>
        <v/>
      </c>
    </row>
    <row r="405">
      <c r="B405" s="20" t="n"/>
      <c r="D405" s="12">
        <f>IF(B405="","",LEFT(B405,2))</f>
        <v/>
      </c>
      <c r="E405" s="12">
        <f>IF(B405="","",LEFT(B405,4))</f>
        <v/>
      </c>
    </row>
    <row r="406">
      <c r="B406" s="20" t="n"/>
      <c r="D406" s="12">
        <f>IF(B406="","",LEFT(B406,2))</f>
        <v/>
      </c>
      <c r="E406" s="12">
        <f>IF(B406="","",LEFT(B406,4))</f>
        <v/>
      </c>
    </row>
    <row r="407">
      <c r="B407" s="20" t="n"/>
      <c r="D407" s="12">
        <f>IF(B407="","",LEFT(B407,2))</f>
        <v/>
      </c>
      <c r="E407" s="12">
        <f>IF(B407="","",LEFT(B407,4))</f>
        <v/>
      </c>
    </row>
    <row r="408">
      <c r="B408" s="20" t="n"/>
      <c r="D408" s="12">
        <f>IF(B408="","",LEFT(B408,2))</f>
        <v/>
      </c>
      <c r="E408" s="12">
        <f>IF(B408="","",LEFT(B408,4))</f>
        <v/>
      </c>
    </row>
    <row r="409">
      <c r="B409" s="20" t="n"/>
      <c r="D409" s="12">
        <f>IF(B409="","",LEFT(B409,2))</f>
        <v/>
      </c>
      <c r="E409" s="12">
        <f>IF(B409="","",LEFT(B409,4))</f>
        <v/>
      </c>
    </row>
    <row r="410">
      <c r="B410" s="20" t="n"/>
      <c r="D410" s="12">
        <f>IF(B410="","",LEFT(B410,2))</f>
        <v/>
      </c>
      <c r="E410" s="12">
        <f>IF(B410="","",LEFT(B410,4))</f>
        <v/>
      </c>
    </row>
    <row r="411">
      <c r="B411" s="20" t="n"/>
      <c r="D411" s="12">
        <f>IF(B411="","",LEFT(B411,2))</f>
        <v/>
      </c>
      <c r="E411" s="12">
        <f>IF(B411="","",LEFT(B411,4))</f>
        <v/>
      </c>
    </row>
    <row r="412">
      <c r="B412" s="20" t="n"/>
      <c r="D412" s="12">
        <f>IF(B412="","",LEFT(B412,2))</f>
        <v/>
      </c>
      <c r="E412" s="12">
        <f>IF(B412="","",LEFT(B412,4))</f>
        <v/>
      </c>
    </row>
    <row r="413">
      <c r="B413" s="20" t="n"/>
      <c r="D413" s="12">
        <f>IF(B413="","",LEFT(B413,2))</f>
        <v/>
      </c>
      <c r="E413" s="12">
        <f>IF(B413="","",LEFT(B413,4))</f>
        <v/>
      </c>
    </row>
    <row r="414">
      <c r="B414" s="20" t="n"/>
      <c r="D414" s="12">
        <f>IF(B414="","",LEFT(B414,2))</f>
        <v/>
      </c>
      <c r="E414" s="12">
        <f>IF(B414="","",LEFT(B414,4))</f>
        <v/>
      </c>
    </row>
    <row r="415">
      <c r="B415" s="20" t="n"/>
      <c r="D415" s="12">
        <f>IF(B415="","",LEFT(B415,2))</f>
        <v/>
      </c>
      <c r="E415" s="12">
        <f>IF(B415="","",LEFT(B415,4))</f>
        <v/>
      </c>
    </row>
    <row r="416">
      <c r="B416" s="20" t="n"/>
      <c r="D416" s="12">
        <f>IF(B416="","",LEFT(B416,2))</f>
        <v/>
      </c>
      <c r="E416" s="12">
        <f>IF(B416="","",LEFT(B416,4))</f>
        <v/>
      </c>
    </row>
    <row r="417">
      <c r="B417" s="20" t="n"/>
      <c r="D417" s="12">
        <f>IF(B417="","",LEFT(B417,2))</f>
        <v/>
      </c>
      <c r="E417" s="12">
        <f>IF(B417="","",LEFT(B417,4))</f>
        <v/>
      </c>
    </row>
    <row r="418">
      <c r="B418" s="20" t="n"/>
      <c r="D418" s="12">
        <f>IF(B418="","",LEFT(B418,2))</f>
        <v/>
      </c>
      <c r="E418" s="12">
        <f>IF(B418="","",LEFT(B418,4))</f>
        <v/>
      </c>
    </row>
    <row r="419">
      <c r="B419" s="20" t="n"/>
      <c r="D419" s="12">
        <f>IF(B419="","",LEFT(B419,2))</f>
        <v/>
      </c>
      <c r="E419" s="12">
        <f>IF(B419="","",LEFT(B419,4))</f>
        <v/>
      </c>
    </row>
    <row r="420">
      <c r="B420" s="20" t="n"/>
      <c r="D420" s="12">
        <f>IF(B420="","",LEFT(B420,2))</f>
        <v/>
      </c>
      <c r="E420" s="12">
        <f>IF(B420="","",LEFT(B420,4))</f>
        <v/>
      </c>
    </row>
    <row r="421">
      <c r="B421" s="20" t="n"/>
      <c r="D421" s="12">
        <f>IF(B421="","",LEFT(B421,2))</f>
        <v/>
      </c>
      <c r="E421" s="12">
        <f>IF(B421="","",LEFT(B421,4))</f>
        <v/>
      </c>
    </row>
    <row r="422">
      <c r="B422" s="20" t="n"/>
      <c r="D422" s="12">
        <f>IF(B422="","",LEFT(B422,2))</f>
        <v/>
      </c>
      <c r="E422" s="12">
        <f>IF(B422="","",LEFT(B422,4))</f>
        <v/>
      </c>
    </row>
    <row r="423">
      <c r="B423" s="20" t="n"/>
      <c r="D423" s="12">
        <f>IF(B423="","",LEFT(B423,2))</f>
        <v/>
      </c>
      <c r="E423" s="12">
        <f>IF(B423="","",LEFT(B423,4))</f>
        <v/>
      </c>
    </row>
    <row r="424">
      <c r="B424" s="20" t="n"/>
      <c r="D424" s="12">
        <f>IF(B424="","",LEFT(B424,2))</f>
        <v/>
      </c>
      <c r="E424" s="12">
        <f>IF(B424="","",LEFT(B424,4))</f>
        <v/>
      </c>
    </row>
    <row r="425">
      <c r="B425" s="20" t="n"/>
      <c r="D425" s="12">
        <f>IF(B425="","",LEFT(B425,2))</f>
        <v/>
      </c>
      <c r="E425" s="12">
        <f>IF(B425="","",LEFT(B425,4))</f>
        <v/>
      </c>
    </row>
    <row r="426">
      <c r="B426" s="20" t="n"/>
      <c r="D426" s="12">
        <f>IF(B426="","",LEFT(B426,2))</f>
        <v/>
      </c>
      <c r="E426" s="12">
        <f>IF(B426="","",LEFT(B426,4))</f>
        <v/>
      </c>
    </row>
    <row r="427">
      <c r="B427" s="20" t="n"/>
      <c r="D427" s="12">
        <f>IF(B427="","",LEFT(B427,2))</f>
        <v/>
      </c>
      <c r="E427" s="12">
        <f>IF(B427="","",LEFT(B427,4))</f>
        <v/>
      </c>
    </row>
    <row r="428">
      <c r="B428" s="20" t="n"/>
      <c r="D428" s="12">
        <f>IF(B428="","",LEFT(B428,2))</f>
        <v/>
      </c>
      <c r="E428" s="12">
        <f>IF(B428="","",LEFT(B428,4))</f>
        <v/>
      </c>
    </row>
    <row r="429">
      <c r="B429" s="20" t="n"/>
      <c r="D429" s="12">
        <f>IF(B429="","",LEFT(B429,2))</f>
        <v/>
      </c>
      <c r="E429" s="12">
        <f>IF(B429="","",LEFT(B429,4))</f>
        <v/>
      </c>
    </row>
    <row r="430">
      <c r="B430" s="20" t="n"/>
      <c r="D430" s="12">
        <f>IF(B430="","",LEFT(B430,2))</f>
        <v/>
      </c>
      <c r="E430" s="12">
        <f>IF(B430="","",LEFT(B430,4))</f>
        <v/>
      </c>
    </row>
    <row r="431">
      <c r="B431" s="20" t="n"/>
      <c r="D431" s="12">
        <f>IF(B431="","",LEFT(B431,2))</f>
        <v/>
      </c>
      <c r="E431" s="12">
        <f>IF(B431="","",LEFT(B431,4))</f>
        <v/>
      </c>
    </row>
    <row r="432">
      <c r="B432" s="20" t="n"/>
      <c r="D432" s="12">
        <f>IF(B432="","",LEFT(B432,2))</f>
        <v/>
      </c>
      <c r="E432" s="12">
        <f>IF(B432="","",LEFT(B432,4))</f>
        <v/>
      </c>
    </row>
    <row r="433">
      <c r="B433" s="20" t="n"/>
      <c r="D433" s="12">
        <f>IF(B433="","",LEFT(B433,2))</f>
        <v/>
      </c>
      <c r="E433" s="12">
        <f>IF(B433="","",LEFT(B433,4))</f>
        <v/>
      </c>
    </row>
    <row r="434">
      <c r="B434" s="20" t="n"/>
      <c r="D434" s="12">
        <f>IF(B434="","",LEFT(B434,2))</f>
        <v/>
      </c>
      <c r="E434" s="12">
        <f>IF(B434="","",LEFT(B434,4))</f>
        <v/>
      </c>
    </row>
    <row r="435">
      <c r="B435" s="20" t="n"/>
      <c r="D435" s="12">
        <f>IF(B435="","",LEFT(B435,2))</f>
        <v/>
      </c>
      <c r="E435" s="12">
        <f>IF(B435="","",LEFT(B435,4))</f>
        <v/>
      </c>
    </row>
    <row r="436">
      <c r="B436" s="20" t="n"/>
      <c r="D436" s="12">
        <f>IF(B436="","",LEFT(B436,2))</f>
        <v/>
      </c>
      <c r="E436" s="12">
        <f>IF(B436="","",LEFT(B436,4))</f>
        <v/>
      </c>
    </row>
    <row r="437">
      <c r="B437" s="20" t="n"/>
      <c r="D437" s="12">
        <f>IF(B437="","",LEFT(B437,2))</f>
        <v/>
      </c>
      <c r="E437" s="12">
        <f>IF(B437="","",LEFT(B437,4))</f>
        <v/>
      </c>
    </row>
    <row r="438">
      <c r="B438" s="20" t="n"/>
      <c r="D438" s="12">
        <f>IF(B438="","",LEFT(B438,2))</f>
        <v/>
      </c>
      <c r="E438" s="12">
        <f>IF(B438="","",LEFT(B438,4))</f>
        <v/>
      </c>
    </row>
    <row r="439">
      <c r="B439" s="20" t="n"/>
      <c r="D439" s="12">
        <f>IF(B439="","",LEFT(B439,2))</f>
        <v/>
      </c>
      <c r="E439" s="12">
        <f>IF(B439="","",LEFT(B439,4))</f>
        <v/>
      </c>
    </row>
    <row r="440">
      <c r="B440" s="20" t="n"/>
      <c r="D440" s="12">
        <f>IF(B440="","",LEFT(B440,2))</f>
        <v/>
      </c>
      <c r="E440" s="12">
        <f>IF(B440="","",LEFT(B440,4))</f>
        <v/>
      </c>
    </row>
    <row r="441">
      <c r="B441" s="20" t="n"/>
      <c r="D441" s="12">
        <f>IF(B441="","",LEFT(B441,2))</f>
        <v/>
      </c>
      <c r="E441" s="12">
        <f>IF(B441="","",LEFT(B441,4))</f>
        <v/>
      </c>
    </row>
    <row r="442">
      <c r="B442" s="20" t="n"/>
      <c r="D442" s="12">
        <f>IF(B442="","",LEFT(B442,2))</f>
        <v/>
      </c>
      <c r="E442" s="12">
        <f>IF(B442="","",LEFT(B442,4))</f>
        <v/>
      </c>
    </row>
    <row r="443">
      <c r="B443" s="20" t="n"/>
      <c r="D443" s="12">
        <f>IF(B443="","",LEFT(B443,2))</f>
        <v/>
      </c>
      <c r="E443" s="12">
        <f>IF(B443="","",LEFT(B443,4))</f>
        <v/>
      </c>
    </row>
    <row r="444">
      <c r="B444" s="20" t="n"/>
      <c r="D444" s="12">
        <f>IF(B444="","",LEFT(B444,2))</f>
        <v/>
      </c>
      <c r="E444" s="12">
        <f>IF(B444="","",LEFT(B444,4))</f>
        <v/>
      </c>
    </row>
    <row r="445">
      <c r="B445" s="20" t="n"/>
      <c r="D445" s="12">
        <f>IF(B445="","",LEFT(B445,2))</f>
        <v/>
      </c>
      <c r="E445" s="12">
        <f>IF(B445="","",LEFT(B445,4))</f>
        <v/>
      </c>
    </row>
    <row r="446">
      <c r="B446" s="20" t="n"/>
      <c r="D446" s="12">
        <f>IF(B446="","",LEFT(B446,2))</f>
        <v/>
      </c>
      <c r="E446" s="12">
        <f>IF(B446="","",LEFT(B446,4))</f>
        <v/>
      </c>
    </row>
    <row r="447">
      <c r="B447" s="20" t="n"/>
      <c r="D447" s="12">
        <f>IF(B447="","",LEFT(B447,2))</f>
        <v/>
      </c>
      <c r="E447" s="12">
        <f>IF(B447="","",LEFT(B447,4))</f>
        <v/>
      </c>
    </row>
    <row r="448">
      <c r="B448" s="20" t="n"/>
      <c r="D448" s="12">
        <f>IF(B448="","",LEFT(B448,2))</f>
        <v/>
      </c>
      <c r="E448" s="12">
        <f>IF(B448="","",LEFT(B448,4))</f>
        <v/>
      </c>
    </row>
    <row r="449">
      <c r="B449" s="20" t="n"/>
      <c r="D449" s="12">
        <f>IF(B449="","",LEFT(B449,2))</f>
        <v/>
      </c>
      <c r="E449" s="12">
        <f>IF(B449="","",LEFT(B449,4))</f>
        <v/>
      </c>
    </row>
    <row r="450">
      <c r="B450" s="20" t="n"/>
      <c r="D450" s="12">
        <f>IF(B450="","",LEFT(B450,2))</f>
        <v/>
      </c>
      <c r="E450" s="12">
        <f>IF(B450="","",LEFT(B450,4))</f>
        <v/>
      </c>
    </row>
    <row r="451">
      <c r="B451" s="20" t="n"/>
      <c r="D451" s="12">
        <f>IF(B451="","",LEFT(B451,2))</f>
        <v/>
      </c>
      <c r="E451" s="12">
        <f>IF(B451="","",LEFT(B451,4))</f>
        <v/>
      </c>
    </row>
    <row r="452">
      <c r="B452" s="20" t="n"/>
      <c r="D452" s="12">
        <f>IF(B452="","",LEFT(B452,2))</f>
        <v/>
      </c>
      <c r="E452" s="12">
        <f>IF(B452="","",LEFT(B452,4))</f>
        <v/>
      </c>
    </row>
    <row r="453">
      <c r="B453" s="20" t="n"/>
      <c r="D453" s="12">
        <f>IF(B453="","",LEFT(B453,2))</f>
        <v/>
      </c>
      <c r="E453" s="12">
        <f>IF(B453="","",LEFT(B453,4))</f>
        <v/>
      </c>
    </row>
    <row r="454">
      <c r="B454" s="20" t="n"/>
      <c r="D454" s="12">
        <f>IF(B454="","",LEFT(B454,2))</f>
        <v/>
      </c>
      <c r="E454" s="12">
        <f>IF(B454="","",LEFT(B454,4))</f>
        <v/>
      </c>
    </row>
    <row r="455">
      <c r="B455" s="20" t="n"/>
      <c r="D455" s="12">
        <f>IF(B455="","",LEFT(B455,2))</f>
        <v/>
      </c>
      <c r="E455" s="12">
        <f>IF(B455="","",LEFT(B455,4))</f>
        <v/>
      </c>
    </row>
    <row r="456">
      <c r="B456" s="20" t="n"/>
      <c r="D456" s="12">
        <f>IF(B456="","",LEFT(B456,2))</f>
        <v/>
      </c>
      <c r="E456" s="12">
        <f>IF(B456="","",LEFT(B456,4))</f>
        <v/>
      </c>
    </row>
    <row r="457">
      <c r="B457" s="20" t="n"/>
      <c r="D457" s="12">
        <f>IF(B457="","",LEFT(B457,2))</f>
        <v/>
      </c>
      <c r="E457" s="12">
        <f>IF(B457="","",LEFT(B457,4))</f>
        <v/>
      </c>
    </row>
    <row r="458">
      <c r="B458" s="20" t="n"/>
      <c r="D458" s="12">
        <f>IF(B458="","",LEFT(B458,2))</f>
        <v/>
      </c>
      <c r="E458" s="12">
        <f>IF(B458="","",LEFT(B458,4))</f>
        <v/>
      </c>
    </row>
    <row r="459">
      <c r="B459" s="20" t="n"/>
      <c r="D459" s="12">
        <f>IF(B459="","",LEFT(B459,2))</f>
        <v/>
      </c>
      <c r="E459" s="12">
        <f>IF(B459="","",LEFT(B459,4))</f>
        <v/>
      </c>
    </row>
    <row r="460">
      <c r="B460" s="20" t="n"/>
      <c r="D460" s="12">
        <f>IF(B460="","",LEFT(B460,2))</f>
        <v/>
      </c>
      <c r="E460" s="12">
        <f>IF(B460="","",LEFT(B460,4))</f>
        <v/>
      </c>
    </row>
    <row r="461">
      <c r="B461" s="20" t="n"/>
      <c r="D461" s="12">
        <f>IF(B461="","",LEFT(B461,2))</f>
        <v/>
      </c>
      <c r="E461" s="12">
        <f>IF(B461="","",LEFT(B461,4))</f>
        <v/>
      </c>
    </row>
    <row r="462">
      <c r="B462" s="20" t="n"/>
      <c r="D462" s="12">
        <f>IF(B462="","",LEFT(B462,2))</f>
        <v/>
      </c>
      <c r="E462" s="12">
        <f>IF(B462="","",LEFT(B462,4))</f>
        <v/>
      </c>
    </row>
    <row r="463">
      <c r="B463" s="20" t="n"/>
      <c r="D463" s="12">
        <f>IF(B463="","",LEFT(B463,2))</f>
        <v/>
      </c>
      <c r="E463" s="12">
        <f>IF(B463="","",LEFT(B463,4))</f>
        <v/>
      </c>
    </row>
    <row r="464">
      <c r="B464" s="20" t="n"/>
      <c r="D464" s="12">
        <f>IF(B464="","",LEFT(B464,2))</f>
        <v/>
      </c>
      <c r="E464" s="12">
        <f>IF(B464="","",LEFT(B464,4))</f>
        <v/>
      </c>
    </row>
    <row r="465">
      <c r="B465" s="20" t="n"/>
      <c r="D465" s="12">
        <f>IF(B465="","",LEFT(B465,2))</f>
        <v/>
      </c>
      <c r="E465" s="12">
        <f>IF(B465="","",LEFT(B465,4))</f>
        <v/>
      </c>
    </row>
    <row r="466">
      <c r="B466" s="20" t="n"/>
      <c r="D466" s="12">
        <f>IF(B466="","",LEFT(B466,2))</f>
        <v/>
      </c>
      <c r="E466" s="12">
        <f>IF(B466="","",LEFT(B466,4))</f>
        <v/>
      </c>
    </row>
    <row r="467">
      <c r="B467" s="20" t="n"/>
      <c r="D467" s="12">
        <f>IF(B467="","",LEFT(B467,2))</f>
        <v/>
      </c>
      <c r="E467" s="12">
        <f>IF(B467="","",LEFT(B467,4))</f>
        <v/>
      </c>
    </row>
    <row r="468">
      <c r="B468" s="20" t="n"/>
      <c r="D468" s="12">
        <f>IF(B468="","",LEFT(B468,2))</f>
        <v/>
      </c>
      <c r="E468" s="12">
        <f>IF(B468="","",LEFT(B468,4))</f>
        <v/>
      </c>
    </row>
    <row r="469">
      <c r="B469" s="20" t="n"/>
      <c r="D469" s="12">
        <f>IF(B469="","",LEFT(B469,2))</f>
        <v/>
      </c>
      <c r="E469" s="12">
        <f>IF(B469="","",LEFT(B469,4))</f>
        <v/>
      </c>
    </row>
    <row r="470">
      <c r="B470" s="20" t="n"/>
      <c r="D470" s="12">
        <f>IF(B470="","",LEFT(B470,2))</f>
        <v/>
      </c>
      <c r="E470" s="12">
        <f>IF(B470="","",LEFT(B470,4))</f>
        <v/>
      </c>
    </row>
    <row r="471">
      <c r="B471" s="20" t="n"/>
      <c r="D471" s="12">
        <f>IF(B471="","",LEFT(B471,2))</f>
        <v/>
      </c>
      <c r="E471" s="12">
        <f>IF(B471="","",LEFT(B471,4))</f>
        <v/>
      </c>
    </row>
    <row r="472">
      <c r="B472" s="20" t="n"/>
      <c r="D472" s="12">
        <f>IF(B472="","",LEFT(B472,2))</f>
        <v/>
      </c>
      <c r="E472" s="12">
        <f>IF(B472="","",LEFT(B472,4))</f>
        <v/>
      </c>
    </row>
    <row r="473">
      <c r="B473" s="20" t="n"/>
      <c r="D473" s="12">
        <f>IF(B473="","",LEFT(B473,2))</f>
        <v/>
      </c>
      <c r="E473" s="12">
        <f>IF(B473="","",LEFT(B473,4))</f>
        <v/>
      </c>
    </row>
    <row r="474">
      <c r="B474" s="20" t="n"/>
      <c r="D474" s="12">
        <f>IF(B474="","",LEFT(B474,2))</f>
        <v/>
      </c>
      <c r="E474" s="12">
        <f>IF(B474="","",LEFT(B474,4))</f>
        <v/>
      </c>
    </row>
    <row r="475">
      <c r="B475" s="20" t="n"/>
      <c r="D475" s="12">
        <f>IF(B475="","",LEFT(B475,2))</f>
        <v/>
      </c>
      <c r="E475" s="12">
        <f>IF(B475="","",LEFT(B475,4))</f>
        <v/>
      </c>
    </row>
    <row r="476">
      <c r="B476" s="20" t="n"/>
      <c r="D476" s="12">
        <f>IF(B476="","",LEFT(B476,2))</f>
        <v/>
      </c>
      <c r="E476" s="12">
        <f>IF(B476="","",LEFT(B476,4))</f>
        <v/>
      </c>
    </row>
    <row r="477">
      <c r="B477" s="20" t="n"/>
      <c r="D477" s="12">
        <f>IF(B477="","",LEFT(B477,2))</f>
        <v/>
      </c>
      <c r="E477" s="12">
        <f>IF(B477="","",LEFT(B477,4))</f>
        <v/>
      </c>
    </row>
    <row r="478">
      <c r="B478" s="20" t="n"/>
      <c r="D478" s="12">
        <f>IF(B478="","",LEFT(B478,2))</f>
        <v/>
      </c>
      <c r="E478" s="12">
        <f>IF(B478="","",LEFT(B478,4))</f>
        <v/>
      </c>
    </row>
    <row r="479">
      <c r="B479" s="20" t="n"/>
      <c r="D479" s="12">
        <f>IF(B479="","",LEFT(B479,2))</f>
        <v/>
      </c>
      <c r="E479" s="12">
        <f>IF(B479="","",LEFT(B479,4))</f>
        <v/>
      </c>
    </row>
    <row r="480">
      <c r="B480" s="20" t="n"/>
      <c r="D480" s="12">
        <f>IF(B480="","",LEFT(B480,2))</f>
        <v/>
      </c>
      <c r="E480" s="12">
        <f>IF(B480="","",LEFT(B480,4))</f>
        <v/>
      </c>
    </row>
    <row r="481">
      <c r="B481" s="20" t="n"/>
      <c r="D481" s="12">
        <f>IF(B481="","",LEFT(B481,2))</f>
        <v/>
      </c>
      <c r="E481" s="12">
        <f>IF(B481="","",LEFT(B481,4))</f>
        <v/>
      </c>
    </row>
    <row r="482">
      <c r="B482" s="20" t="n"/>
      <c r="D482" s="12">
        <f>IF(B482="","",LEFT(B482,2))</f>
        <v/>
      </c>
      <c r="E482" s="12">
        <f>IF(B482="","",LEFT(B482,4))</f>
        <v/>
      </c>
    </row>
    <row r="483">
      <c r="B483" s="20" t="n"/>
      <c r="D483" s="12">
        <f>IF(B483="","",LEFT(B483,2))</f>
        <v/>
      </c>
      <c r="E483" s="12">
        <f>IF(B483="","",LEFT(B483,4))</f>
        <v/>
      </c>
    </row>
    <row r="484">
      <c r="B484" s="20" t="n"/>
      <c r="D484" s="12">
        <f>IF(B484="","",LEFT(B484,2))</f>
        <v/>
      </c>
      <c r="E484" s="12">
        <f>IF(B484="","",LEFT(B484,4))</f>
        <v/>
      </c>
    </row>
    <row r="485">
      <c r="B485" s="20" t="n"/>
      <c r="D485" s="12">
        <f>IF(B485="","",LEFT(B485,2))</f>
        <v/>
      </c>
      <c r="E485" s="12">
        <f>IF(B485="","",LEFT(B485,4))</f>
        <v/>
      </c>
    </row>
    <row r="486">
      <c r="B486" s="20" t="n"/>
      <c r="D486" s="12">
        <f>IF(B486="","",LEFT(B486,2))</f>
        <v/>
      </c>
      <c r="E486" s="12">
        <f>IF(B486="","",LEFT(B486,4))</f>
        <v/>
      </c>
    </row>
    <row r="487">
      <c r="B487" s="20" t="n"/>
      <c r="D487" s="12">
        <f>IF(B487="","",LEFT(B487,2))</f>
        <v/>
      </c>
      <c r="E487" s="12">
        <f>IF(B487="","",LEFT(B487,4))</f>
        <v/>
      </c>
    </row>
    <row r="488">
      <c r="B488" s="20" t="n"/>
      <c r="D488" s="12">
        <f>IF(B488="","",LEFT(B488,2))</f>
        <v/>
      </c>
      <c r="E488" s="12">
        <f>IF(B488="","",LEFT(B488,4))</f>
        <v/>
      </c>
    </row>
    <row r="489">
      <c r="B489" s="20" t="n"/>
      <c r="D489" s="12">
        <f>IF(B489="","",LEFT(B489,2))</f>
        <v/>
      </c>
      <c r="E489" s="12">
        <f>IF(B489="","",LEFT(B489,4))</f>
        <v/>
      </c>
    </row>
    <row r="490">
      <c r="B490" s="20" t="n"/>
      <c r="D490" s="12">
        <f>IF(B490="","",LEFT(B490,2))</f>
        <v/>
      </c>
      <c r="E490" s="12">
        <f>IF(B490="","",LEFT(B490,4))</f>
        <v/>
      </c>
    </row>
    <row r="491">
      <c r="B491" s="20" t="n"/>
      <c r="D491" s="12">
        <f>IF(B491="","",LEFT(B491,2))</f>
        <v/>
      </c>
      <c r="E491" s="12">
        <f>IF(B491="","",LEFT(B491,4))</f>
        <v/>
      </c>
    </row>
    <row r="492">
      <c r="B492" s="20" t="n"/>
      <c r="D492" s="12">
        <f>IF(B492="","",LEFT(B492,2))</f>
        <v/>
      </c>
      <c r="E492" s="12">
        <f>IF(B492="","",LEFT(B492,4))</f>
        <v/>
      </c>
    </row>
    <row r="493">
      <c r="B493" s="20" t="n"/>
      <c r="D493" s="12">
        <f>IF(B493="","",LEFT(B493,2))</f>
        <v/>
      </c>
      <c r="E493" s="12">
        <f>IF(B493="","",LEFT(B493,4))</f>
        <v/>
      </c>
    </row>
    <row r="494">
      <c r="B494" s="20" t="n"/>
      <c r="D494" s="12">
        <f>IF(B494="","",LEFT(B494,2))</f>
        <v/>
      </c>
      <c r="E494" s="12">
        <f>IF(B494="","",LEFT(B494,4))</f>
        <v/>
      </c>
    </row>
    <row r="495">
      <c r="B495" s="20" t="n"/>
      <c r="D495" s="12">
        <f>IF(B495="","",LEFT(B495,2))</f>
        <v/>
      </c>
      <c r="E495" s="12">
        <f>IF(B495="","",LEFT(B495,4))</f>
        <v/>
      </c>
    </row>
    <row r="496">
      <c r="B496" s="20" t="n"/>
      <c r="D496" s="12">
        <f>IF(B496="","",LEFT(B496,2))</f>
        <v/>
      </c>
      <c r="E496" s="12">
        <f>IF(B496="","",LEFT(B496,4))</f>
        <v/>
      </c>
    </row>
    <row r="497">
      <c r="B497" s="20" t="n"/>
      <c r="D497" s="12">
        <f>IF(B497="","",LEFT(B497,2))</f>
        <v/>
      </c>
      <c r="E497" s="12">
        <f>IF(B497="","",LEFT(B497,4))</f>
        <v/>
      </c>
    </row>
    <row r="498">
      <c r="B498" s="20" t="n"/>
      <c r="D498" s="12">
        <f>IF(B498="","",LEFT(B498,2))</f>
        <v/>
      </c>
      <c r="E498" s="12">
        <f>IF(B498="","",LEFT(B498,4))</f>
        <v/>
      </c>
    </row>
    <row r="499">
      <c r="B499" s="20" t="n"/>
      <c r="D499" s="12">
        <f>IF(B499="","",LEFT(B499,2))</f>
        <v/>
      </c>
      <c r="E499" s="12">
        <f>IF(B499="","",LEFT(B499,4))</f>
        <v/>
      </c>
    </row>
    <row r="500">
      <c r="B500" s="20" t="n"/>
      <c r="D500" s="12">
        <f>IF(B500="","",LEFT(B500,2))</f>
        <v/>
      </c>
      <c r="E500" s="12">
        <f>IF(B500="","",LEFT(B500,4))</f>
        <v/>
      </c>
    </row>
    <row r="501">
      <c r="B501" s="20" t="n"/>
      <c r="D501" s="12">
        <f>IF(B501="","",LEFT(B501,2))</f>
        <v/>
      </c>
      <c r="E501" s="12">
        <f>IF(B501="","",LEFT(B501,4))</f>
        <v/>
      </c>
    </row>
    <row r="502">
      <c r="B502" s="20" t="n"/>
      <c r="D502" s="12">
        <f>IF(B502="","",LEFT(B502,2))</f>
        <v/>
      </c>
      <c r="E502" s="12">
        <f>IF(B502="","",LEFT(B502,4))</f>
        <v/>
      </c>
    </row>
    <row r="503">
      <c r="B503" s="20" t="n"/>
      <c r="D503" s="12">
        <f>IF(B503="","",LEFT(B503,2))</f>
        <v/>
      </c>
      <c r="E503" s="12">
        <f>IF(B503="","",LEFT(B503,4))</f>
        <v/>
      </c>
    </row>
    <row r="504">
      <c r="B504" s="20" t="n"/>
      <c r="D504" s="12">
        <f>IF(B504="","",LEFT(B504,2))</f>
        <v/>
      </c>
      <c r="E504" s="12">
        <f>IF(B504="","",LEFT(B504,4))</f>
        <v/>
      </c>
    </row>
    <row r="505">
      <c r="B505" s="20" t="n"/>
      <c r="D505" s="12">
        <f>IF(B505="","",LEFT(B505,2))</f>
        <v/>
      </c>
      <c r="E505" s="12">
        <f>IF(B505="","",LEFT(B505,4))</f>
        <v/>
      </c>
    </row>
    <row r="506">
      <c r="B506" s="20" t="n"/>
      <c r="D506" s="12">
        <f>IF(B506="","",LEFT(B506,2))</f>
        <v/>
      </c>
      <c r="E506" s="12">
        <f>IF(B506="","",LEFT(B506,4))</f>
        <v/>
      </c>
    </row>
    <row r="507">
      <c r="B507" s="20" t="n"/>
      <c r="D507" s="12">
        <f>IF(B507="","",LEFT(B507,2))</f>
        <v/>
      </c>
      <c r="E507" s="12">
        <f>IF(B507="","",LEFT(B507,4))</f>
        <v/>
      </c>
    </row>
    <row r="508">
      <c r="B508" s="20" t="n"/>
      <c r="D508" s="12">
        <f>IF(B508="","",LEFT(B508,2))</f>
        <v/>
      </c>
      <c r="E508" s="12">
        <f>IF(B508="","",LEFT(B508,4))</f>
        <v/>
      </c>
    </row>
    <row r="509">
      <c r="B509" s="20" t="n"/>
      <c r="D509" s="12">
        <f>IF(B509="","",LEFT(B509,2))</f>
        <v/>
      </c>
      <c r="E509" s="12">
        <f>IF(B509="","",LEFT(B509,4))</f>
        <v/>
      </c>
    </row>
    <row r="510">
      <c r="B510" s="20" t="n"/>
      <c r="D510" s="12">
        <f>IF(B510="","",LEFT(B510,2))</f>
        <v/>
      </c>
      <c r="E510" s="12">
        <f>IF(B510="","",LEFT(B510,4))</f>
        <v/>
      </c>
    </row>
    <row r="511">
      <c r="B511" s="20" t="n"/>
      <c r="D511" s="12">
        <f>IF(B511="","",LEFT(B511,2))</f>
        <v/>
      </c>
      <c r="E511" s="12">
        <f>IF(B511="","",LEFT(B511,4))</f>
        <v/>
      </c>
    </row>
    <row r="512">
      <c r="B512" s="20" t="n"/>
      <c r="D512" s="12">
        <f>IF(B512="","",LEFT(B512,2))</f>
        <v/>
      </c>
      <c r="E512" s="12">
        <f>IF(B512="","",LEFT(B512,4))</f>
        <v/>
      </c>
    </row>
    <row r="513">
      <c r="B513" s="20" t="n"/>
      <c r="D513" s="12">
        <f>IF(B513="","",LEFT(B513,2))</f>
        <v/>
      </c>
      <c r="E513" s="12">
        <f>IF(B513="","",LEFT(B513,4))</f>
        <v/>
      </c>
    </row>
    <row r="514">
      <c r="B514" s="20" t="n"/>
      <c r="D514" s="12">
        <f>IF(B514="","",LEFT(B514,2))</f>
        <v/>
      </c>
      <c r="E514" s="12">
        <f>IF(B514="","",LEFT(B514,4))</f>
        <v/>
      </c>
    </row>
    <row r="515">
      <c r="B515" s="20" t="n"/>
      <c r="D515" s="12">
        <f>IF(B515="","",LEFT(B515,2))</f>
        <v/>
      </c>
      <c r="E515" s="12">
        <f>IF(B515="","",LEFT(B515,4))</f>
        <v/>
      </c>
    </row>
    <row r="516">
      <c r="B516" s="20" t="n"/>
      <c r="D516" s="12">
        <f>IF(B516="","",LEFT(B516,2))</f>
        <v/>
      </c>
      <c r="E516" s="12">
        <f>IF(B516="","",LEFT(B516,4))</f>
        <v/>
      </c>
    </row>
    <row r="517">
      <c r="B517" s="20" t="n"/>
      <c r="D517" s="12">
        <f>IF(B517="","",LEFT(B517,2))</f>
        <v/>
      </c>
      <c r="E517" s="12">
        <f>IF(B517="","",LEFT(B517,4))</f>
        <v/>
      </c>
    </row>
    <row r="518">
      <c r="B518" s="20" t="n"/>
      <c r="D518" s="12">
        <f>IF(B518="","",LEFT(B518,2))</f>
        <v/>
      </c>
      <c r="E518" s="12">
        <f>IF(B518="","",LEFT(B518,4))</f>
        <v/>
      </c>
    </row>
    <row r="519">
      <c r="B519" s="20" t="n"/>
      <c r="D519" s="12">
        <f>IF(B519="","",LEFT(B519,2))</f>
        <v/>
      </c>
      <c r="E519" s="12">
        <f>IF(B519="","",LEFT(B519,4))</f>
        <v/>
      </c>
    </row>
    <row r="520">
      <c r="B520" s="20" t="n"/>
      <c r="D520" s="12">
        <f>IF(B520="","",LEFT(B520,2))</f>
        <v/>
      </c>
      <c r="E520" s="12">
        <f>IF(B520="","",LEFT(B520,4))</f>
        <v/>
      </c>
    </row>
    <row r="521">
      <c r="B521" s="20" t="n"/>
      <c r="D521" s="12">
        <f>IF(B521="","",LEFT(B521,2))</f>
        <v/>
      </c>
      <c r="E521" s="12">
        <f>IF(B521="","",LEFT(B521,4))</f>
        <v/>
      </c>
    </row>
    <row r="522">
      <c r="B522" s="20" t="n"/>
      <c r="D522" s="12">
        <f>IF(B522="","",LEFT(B522,2))</f>
        <v/>
      </c>
      <c r="E522" s="12">
        <f>IF(B522="","",LEFT(B522,4))</f>
        <v/>
      </c>
    </row>
    <row r="523">
      <c r="B523" s="20" t="n"/>
      <c r="D523" s="12">
        <f>IF(B523="","",LEFT(B523,2))</f>
        <v/>
      </c>
      <c r="E523" s="12">
        <f>IF(B523="","",LEFT(B523,4))</f>
        <v/>
      </c>
    </row>
    <row r="524">
      <c r="B524" s="20" t="n"/>
      <c r="D524" s="12">
        <f>IF(B524="","",LEFT(B524,2))</f>
        <v/>
      </c>
      <c r="E524" s="12">
        <f>IF(B524="","",LEFT(B524,4))</f>
        <v/>
      </c>
    </row>
    <row r="525">
      <c r="B525" s="20" t="n"/>
      <c r="D525" s="12">
        <f>IF(B525="","",LEFT(B525,2))</f>
        <v/>
      </c>
      <c r="E525" s="12">
        <f>IF(B525="","",LEFT(B525,4))</f>
        <v/>
      </c>
    </row>
    <row r="526">
      <c r="B526" s="20" t="n"/>
      <c r="D526" s="12">
        <f>IF(B526="","",LEFT(B526,2))</f>
        <v/>
      </c>
      <c r="E526" s="12">
        <f>IF(B526="","",LEFT(B526,4))</f>
        <v/>
      </c>
    </row>
    <row r="527">
      <c r="B527" s="20" t="n"/>
      <c r="D527" s="12">
        <f>IF(B527="","",LEFT(B527,2))</f>
        <v/>
      </c>
      <c r="E527" s="12">
        <f>IF(B527="","",LEFT(B527,4))</f>
        <v/>
      </c>
    </row>
    <row r="528">
      <c r="B528" s="20" t="n"/>
      <c r="D528" s="12">
        <f>IF(B528="","",LEFT(B528,2))</f>
        <v/>
      </c>
      <c r="E528" s="12">
        <f>IF(B528="","",LEFT(B528,4))</f>
        <v/>
      </c>
    </row>
    <row r="529">
      <c r="B529" s="20" t="n"/>
      <c r="D529" s="12">
        <f>IF(B529="","",LEFT(B529,2))</f>
        <v/>
      </c>
      <c r="E529" s="12">
        <f>IF(B529="","",LEFT(B529,4))</f>
        <v/>
      </c>
    </row>
    <row r="530">
      <c r="B530" s="20" t="n"/>
      <c r="D530" s="12">
        <f>IF(B530="","",LEFT(B530,2))</f>
        <v/>
      </c>
      <c r="E530" s="12">
        <f>IF(B530="","",LEFT(B530,4))</f>
        <v/>
      </c>
    </row>
    <row r="531">
      <c r="B531" s="20" t="n"/>
      <c r="D531" s="12">
        <f>IF(B531="","",LEFT(B531,2))</f>
        <v/>
      </c>
      <c r="E531" s="12">
        <f>IF(B531="","",LEFT(B531,4))</f>
        <v/>
      </c>
    </row>
    <row r="532">
      <c r="B532" s="20" t="n"/>
      <c r="D532" s="12">
        <f>IF(B532="","",LEFT(B532,2))</f>
        <v/>
      </c>
      <c r="E532" s="12">
        <f>IF(B532="","",LEFT(B532,4))</f>
        <v/>
      </c>
    </row>
    <row r="533">
      <c r="B533" s="20" t="n"/>
      <c r="D533" s="12">
        <f>IF(B533="","",LEFT(B533,2))</f>
        <v/>
      </c>
      <c r="E533" s="12">
        <f>IF(B533="","",LEFT(B533,4))</f>
        <v/>
      </c>
    </row>
    <row r="534">
      <c r="B534" s="20" t="n"/>
      <c r="D534" s="12">
        <f>IF(B534="","",LEFT(B534,2))</f>
        <v/>
      </c>
      <c r="E534" s="12">
        <f>IF(B534="","",LEFT(B534,4))</f>
        <v/>
      </c>
    </row>
    <row r="535">
      <c r="B535" s="20" t="n"/>
      <c r="D535" s="12">
        <f>IF(B535="","",LEFT(B535,2))</f>
        <v/>
      </c>
      <c r="E535" s="12">
        <f>IF(B535="","",LEFT(B535,4))</f>
        <v/>
      </c>
    </row>
    <row r="536">
      <c r="B536" s="20" t="n"/>
      <c r="D536" s="12">
        <f>IF(B536="","",LEFT(B536,2))</f>
        <v/>
      </c>
      <c r="E536" s="12">
        <f>IF(B536="","",LEFT(B536,4))</f>
        <v/>
      </c>
    </row>
    <row r="537">
      <c r="B537" s="20" t="n"/>
      <c r="D537" s="12">
        <f>IF(B537="","",LEFT(B537,2))</f>
        <v/>
      </c>
      <c r="E537" s="12">
        <f>IF(B537="","",LEFT(B537,4))</f>
        <v/>
      </c>
    </row>
    <row r="538">
      <c r="B538" s="20" t="n"/>
      <c r="D538" s="12">
        <f>IF(B538="","",LEFT(B538,2))</f>
        <v/>
      </c>
      <c r="E538" s="12">
        <f>IF(B538="","",LEFT(B538,4))</f>
        <v/>
      </c>
    </row>
    <row r="539">
      <c r="B539" s="20" t="n"/>
      <c r="D539" s="12">
        <f>IF(B539="","",LEFT(B539,2))</f>
        <v/>
      </c>
      <c r="E539" s="12">
        <f>IF(B539="","",LEFT(B539,4))</f>
        <v/>
      </c>
    </row>
    <row r="540">
      <c r="B540" s="20" t="n"/>
      <c r="D540" s="12">
        <f>IF(B540="","",LEFT(B540,2))</f>
        <v/>
      </c>
      <c r="E540" s="12">
        <f>IF(B540="","",LEFT(B540,4))</f>
        <v/>
      </c>
    </row>
    <row r="541">
      <c r="B541" s="20" t="n"/>
      <c r="D541" s="12">
        <f>IF(B541="","",LEFT(B541,2))</f>
        <v/>
      </c>
      <c r="E541" s="12">
        <f>IF(B541="","",LEFT(B541,4))</f>
        <v/>
      </c>
    </row>
    <row r="542">
      <c r="B542" s="20" t="n"/>
      <c r="D542" s="12">
        <f>IF(B542="","",LEFT(B542,2))</f>
        <v/>
      </c>
      <c r="E542" s="12">
        <f>IF(B542="","",LEFT(B542,4))</f>
        <v/>
      </c>
    </row>
    <row r="543">
      <c r="B543" s="20" t="n"/>
      <c r="D543" s="12">
        <f>IF(B543="","",LEFT(B543,2))</f>
        <v/>
      </c>
      <c r="E543" s="12">
        <f>IF(B543="","",LEFT(B543,4))</f>
        <v/>
      </c>
    </row>
    <row r="544">
      <c r="B544" s="20" t="n"/>
      <c r="D544" s="12">
        <f>IF(B544="","",LEFT(B544,2))</f>
        <v/>
      </c>
      <c r="E544" s="12">
        <f>IF(B544="","",LEFT(B544,4))</f>
        <v/>
      </c>
    </row>
    <row r="545">
      <c r="B545" s="20" t="n"/>
      <c r="D545" s="12">
        <f>IF(B545="","",LEFT(B545,2))</f>
        <v/>
      </c>
      <c r="E545" s="12">
        <f>IF(B545="","",LEFT(B545,4))</f>
        <v/>
      </c>
    </row>
    <row r="546">
      <c r="B546" s="20" t="n"/>
      <c r="D546" s="12">
        <f>IF(B546="","",LEFT(B546,2))</f>
        <v/>
      </c>
      <c r="E546" s="12">
        <f>IF(B546="","",LEFT(B546,4))</f>
        <v/>
      </c>
    </row>
    <row r="547">
      <c r="B547" s="20" t="n"/>
      <c r="D547" s="12">
        <f>IF(B547="","",LEFT(B547,2))</f>
        <v/>
      </c>
      <c r="E547" s="12">
        <f>IF(B547="","",LEFT(B547,4))</f>
        <v/>
      </c>
    </row>
    <row r="548">
      <c r="B548" s="20" t="n"/>
      <c r="D548" s="12">
        <f>IF(B548="","",LEFT(B548,2))</f>
        <v/>
      </c>
      <c r="E548" s="12">
        <f>IF(B548="","",LEFT(B548,4))</f>
        <v/>
      </c>
    </row>
    <row r="549">
      <c r="B549" s="20" t="n"/>
      <c r="D549" s="12">
        <f>IF(B549="","",LEFT(B549,2))</f>
        <v/>
      </c>
      <c r="E549" s="12">
        <f>IF(B549="","",LEFT(B549,4))</f>
        <v/>
      </c>
    </row>
    <row r="550">
      <c r="B550" s="20" t="n"/>
      <c r="D550" s="12">
        <f>IF(B550="","",LEFT(B550,2))</f>
        <v/>
      </c>
      <c r="E550" s="12">
        <f>IF(B550="","",LEFT(B550,4))</f>
        <v/>
      </c>
    </row>
    <row r="551">
      <c r="B551" s="20" t="n"/>
      <c r="D551" s="12">
        <f>IF(B551="","",LEFT(B551,2))</f>
        <v/>
      </c>
      <c r="E551" s="12">
        <f>IF(B551="","",LEFT(B551,4))</f>
        <v/>
      </c>
    </row>
    <row r="552">
      <c r="B552" s="20" t="n"/>
      <c r="D552" s="12">
        <f>IF(B552="","",LEFT(B552,2))</f>
        <v/>
      </c>
      <c r="E552" s="12">
        <f>IF(B552="","",LEFT(B552,4))</f>
        <v/>
      </c>
    </row>
    <row r="553">
      <c r="B553" s="20" t="n"/>
      <c r="D553" s="12">
        <f>IF(B553="","",LEFT(B553,2))</f>
        <v/>
      </c>
      <c r="E553" s="12">
        <f>IF(B553="","",LEFT(B553,4))</f>
        <v/>
      </c>
    </row>
    <row r="554">
      <c r="B554" s="20" t="n"/>
      <c r="D554" s="12">
        <f>IF(B554="","",LEFT(B554,2))</f>
        <v/>
      </c>
      <c r="E554" s="12">
        <f>IF(B554="","",LEFT(B554,4))</f>
        <v/>
      </c>
    </row>
    <row r="555">
      <c r="B555" s="20" t="n"/>
      <c r="D555" s="12">
        <f>IF(B555="","",LEFT(B555,2))</f>
        <v/>
      </c>
      <c r="E555" s="12">
        <f>IF(B555="","",LEFT(B555,4))</f>
        <v/>
      </c>
    </row>
    <row r="556">
      <c r="B556" s="20" t="n"/>
      <c r="D556" s="12">
        <f>IF(B556="","",LEFT(B556,2))</f>
        <v/>
      </c>
      <c r="E556" s="12">
        <f>IF(B556="","",LEFT(B556,4))</f>
        <v/>
      </c>
    </row>
    <row r="557">
      <c r="B557" s="20" t="n"/>
      <c r="D557" s="12">
        <f>IF(B557="","",LEFT(B557,2))</f>
        <v/>
      </c>
      <c r="E557" s="12">
        <f>IF(B557="","",LEFT(B557,4))</f>
        <v/>
      </c>
    </row>
    <row r="558">
      <c r="B558" s="20" t="n"/>
      <c r="D558" s="12">
        <f>IF(B558="","",LEFT(B558,2))</f>
        <v/>
      </c>
      <c r="E558" s="12">
        <f>IF(B558="","",LEFT(B558,4))</f>
        <v/>
      </c>
    </row>
    <row r="559">
      <c r="B559" s="20" t="n"/>
      <c r="D559" s="12">
        <f>IF(B559="","",LEFT(B559,2))</f>
        <v/>
      </c>
      <c r="E559" s="12">
        <f>IF(B559="","",LEFT(B559,4))</f>
        <v/>
      </c>
    </row>
    <row r="560">
      <c r="B560" s="20" t="n"/>
      <c r="D560" s="12">
        <f>IF(B560="","",LEFT(B560,2))</f>
        <v/>
      </c>
      <c r="E560" s="12">
        <f>IF(B560="","",LEFT(B560,4))</f>
        <v/>
      </c>
    </row>
    <row r="561">
      <c r="B561" s="20" t="n"/>
      <c r="D561" s="12">
        <f>IF(B561="","",LEFT(B561,2))</f>
        <v/>
      </c>
      <c r="E561" s="12">
        <f>IF(B561="","",LEFT(B561,4))</f>
        <v/>
      </c>
    </row>
    <row r="562">
      <c r="B562" s="20" t="n"/>
      <c r="D562" s="12">
        <f>IF(B562="","",LEFT(B562,2))</f>
        <v/>
      </c>
      <c r="E562" s="12">
        <f>IF(B562="","",LEFT(B562,4))</f>
        <v/>
      </c>
    </row>
    <row r="563">
      <c r="B563" s="20" t="n"/>
      <c r="D563" s="12">
        <f>IF(B563="","",LEFT(B563,2))</f>
        <v/>
      </c>
      <c r="E563" s="12">
        <f>IF(B563="","",LEFT(B563,4))</f>
        <v/>
      </c>
    </row>
    <row r="564">
      <c r="B564" s="20" t="n"/>
      <c r="D564" s="12">
        <f>IF(B564="","",LEFT(B564,2))</f>
        <v/>
      </c>
      <c r="E564" s="12">
        <f>IF(B564="","",LEFT(B564,4))</f>
        <v/>
      </c>
    </row>
    <row r="565">
      <c r="B565" s="20" t="n"/>
      <c r="D565" s="12">
        <f>IF(B565="","",LEFT(B565,2))</f>
        <v/>
      </c>
      <c r="E565" s="12">
        <f>IF(B565="","",LEFT(B565,4))</f>
        <v/>
      </c>
    </row>
    <row r="566">
      <c r="B566" s="20" t="n"/>
      <c r="D566" s="12">
        <f>IF(B566="","",LEFT(B566,2))</f>
        <v/>
      </c>
      <c r="E566" s="12">
        <f>IF(B566="","",LEFT(B566,4))</f>
        <v/>
      </c>
    </row>
    <row r="567">
      <c r="B567" s="20" t="n"/>
      <c r="D567" s="12">
        <f>IF(B567="","",LEFT(B567,2))</f>
        <v/>
      </c>
      <c r="E567" s="12">
        <f>IF(B567="","",LEFT(B567,4))</f>
        <v/>
      </c>
    </row>
    <row r="568">
      <c r="B568" s="20" t="n"/>
      <c r="D568" s="12">
        <f>IF(B568="","",LEFT(B568,2))</f>
        <v/>
      </c>
      <c r="E568" s="12">
        <f>IF(B568="","",LEFT(B568,4))</f>
        <v/>
      </c>
    </row>
    <row r="569">
      <c r="B569" s="20" t="n"/>
      <c r="D569" s="12">
        <f>IF(B569="","",LEFT(B569,2))</f>
        <v/>
      </c>
      <c r="E569" s="12">
        <f>IF(B569="","",LEFT(B569,4))</f>
        <v/>
      </c>
    </row>
    <row r="570">
      <c r="B570" s="20" t="n"/>
      <c r="D570" s="12">
        <f>IF(B570="","",LEFT(B570,2))</f>
        <v/>
      </c>
      <c r="E570" s="12">
        <f>IF(B570="","",LEFT(B570,4))</f>
        <v/>
      </c>
    </row>
    <row r="571">
      <c r="B571" s="20" t="n"/>
      <c r="D571" s="12">
        <f>IF(B571="","",LEFT(B571,2))</f>
        <v/>
      </c>
      <c r="E571" s="12">
        <f>IF(B571="","",LEFT(B571,4))</f>
        <v/>
      </c>
    </row>
    <row r="572">
      <c r="B572" s="20" t="n"/>
      <c r="D572" s="12">
        <f>IF(B572="","",LEFT(B572,2))</f>
        <v/>
      </c>
      <c r="E572" s="12">
        <f>IF(B572="","",LEFT(B572,4))</f>
        <v/>
      </c>
    </row>
    <row r="573">
      <c r="B573" s="20" t="n"/>
      <c r="D573" s="12">
        <f>IF(B573="","",LEFT(B573,2))</f>
        <v/>
      </c>
      <c r="E573" s="12">
        <f>IF(B573="","",LEFT(B573,4))</f>
        <v/>
      </c>
    </row>
    <row r="574">
      <c r="B574" s="20" t="n"/>
      <c r="D574" s="12">
        <f>IF(B574="","",LEFT(B574,2))</f>
        <v/>
      </c>
      <c r="E574" s="12">
        <f>IF(B574="","",LEFT(B574,4))</f>
        <v/>
      </c>
    </row>
    <row r="575">
      <c r="B575" s="20" t="n"/>
      <c r="D575" s="12">
        <f>IF(B575="","",LEFT(B575,2))</f>
        <v/>
      </c>
      <c r="E575" s="12">
        <f>IF(B575="","",LEFT(B575,4))</f>
        <v/>
      </c>
    </row>
    <row r="576">
      <c r="B576" s="20" t="n"/>
      <c r="D576" s="12">
        <f>IF(B576="","",LEFT(B576,2))</f>
        <v/>
      </c>
      <c r="E576" s="12">
        <f>IF(B576="","",LEFT(B576,4))</f>
        <v/>
      </c>
    </row>
    <row r="577">
      <c r="B577" s="20" t="n"/>
      <c r="D577" s="12">
        <f>IF(B577="","",LEFT(B577,2))</f>
        <v/>
      </c>
      <c r="E577" s="12">
        <f>IF(B577="","",LEFT(B577,4))</f>
        <v/>
      </c>
    </row>
    <row r="578">
      <c r="B578" s="20" t="n"/>
      <c r="D578" s="12">
        <f>IF(B578="","",LEFT(B578,2))</f>
        <v/>
      </c>
      <c r="E578" s="12">
        <f>IF(B578="","",LEFT(B578,4))</f>
        <v/>
      </c>
    </row>
    <row r="579">
      <c r="B579" s="20" t="n"/>
      <c r="D579" s="12">
        <f>IF(B579="","",LEFT(B579,2))</f>
        <v/>
      </c>
      <c r="E579" s="12">
        <f>IF(B579="","",LEFT(B579,4))</f>
        <v/>
      </c>
    </row>
    <row r="580">
      <c r="B580" s="20" t="n"/>
      <c r="D580" s="12">
        <f>IF(B580="","",LEFT(B580,2))</f>
        <v/>
      </c>
      <c r="E580" s="12">
        <f>IF(B580="","",LEFT(B580,4))</f>
        <v/>
      </c>
    </row>
    <row r="581">
      <c r="B581" s="20" t="n"/>
      <c r="D581" s="12">
        <f>IF(B581="","",LEFT(B581,2))</f>
        <v/>
      </c>
      <c r="E581" s="12">
        <f>IF(B581="","",LEFT(B581,4))</f>
        <v/>
      </c>
    </row>
    <row r="582">
      <c r="B582" s="20" t="n"/>
      <c r="D582" s="12">
        <f>IF(B582="","",LEFT(B582,2))</f>
        <v/>
      </c>
      <c r="E582" s="12">
        <f>IF(B582="","",LEFT(B582,4))</f>
        <v/>
      </c>
    </row>
    <row r="583">
      <c r="B583" s="20" t="n"/>
      <c r="D583" s="12">
        <f>IF(B583="","",LEFT(B583,2))</f>
        <v/>
      </c>
      <c r="E583" s="12">
        <f>IF(B583="","",LEFT(B583,4))</f>
        <v/>
      </c>
    </row>
    <row r="584">
      <c r="B584" s="20" t="n"/>
      <c r="D584" s="12">
        <f>IF(B584="","",LEFT(B584,2))</f>
        <v/>
      </c>
      <c r="E584" s="12">
        <f>IF(B584="","",LEFT(B584,4))</f>
        <v/>
      </c>
    </row>
    <row r="585">
      <c r="B585" s="20" t="n"/>
      <c r="D585" s="12">
        <f>IF(B585="","",LEFT(B585,2))</f>
        <v/>
      </c>
      <c r="E585" s="12">
        <f>IF(B585="","",LEFT(B585,4))</f>
        <v/>
      </c>
    </row>
    <row r="586">
      <c r="B586" s="20" t="n"/>
      <c r="D586" s="12">
        <f>IF(B586="","",LEFT(B586,2))</f>
        <v/>
      </c>
      <c r="E586" s="12">
        <f>IF(B586="","",LEFT(B586,4))</f>
        <v/>
      </c>
    </row>
    <row r="587">
      <c r="B587" s="20" t="n"/>
      <c r="D587" s="12">
        <f>IF(B587="","",LEFT(B587,2))</f>
        <v/>
      </c>
      <c r="E587" s="12">
        <f>IF(B587="","",LEFT(B587,4))</f>
        <v/>
      </c>
    </row>
    <row r="588">
      <c r="B588" s="20" t="n"/>
      <c r="D588" s="12">
        <f>IF(B588="","",LEFT(B588,2))</f>
        <v/>
      </c>
      <c r="E588" s="12">
        <f>IF(B588="","",LEFT(B588,4))</f>
        <v/>
      </c>
    </row>
    <row r="589">
      <c r="B589" s="20" t="n"/>
      <c r="D589" s="12">
        <f>IF(B589="","",LEFT(B589,2))</f>
        <v/>
      </c>
      <c r="E589" s="12">
        <f>IF(B589="","",LEFT(B589,4))</f>
        <v/>
      </c>
    </row>
    <row r="590">
      <c r="B590" s="20" t="n"/>
      <c r="D590" s="12">
        <f>IF(B590="","",LEFT(B590,2))</f>
        <v/>
      </c>
      <c r="E590" s="12">
        <f>IF(B590="","",LEFT(B590,4))</f>
        <v/>
      </c>
    </row>
    <row r="591">
      <c r="B591" s="20" t="n"/>
      <c r="D591" s="12">
        <f>IF(B591="","",LEFT(B591,2))</f>
        <v/>
      </c>
      <c r="E591" s="12">
        <f>IF(B591="","",LEFT(B591,4))</f>
        <v/>
      </c>
    </row>
    <row r="592">
      <c r="B592" s="20" t="n"/>
      <c r="D592" s="12">
        <f>IF(B592="","",LEFT(B592,2))</f>
        <v/>
      </c>
      <c r="E592" s="12">
        <f>IF(B592="","",LEFT(B592,4))</f>
        <v/>
      </c>
    </row>
    <row r="593">
      <c r="B593" s="20" t="n"/>
      <c r="D593" s="12">
        <f>IF(B593="","",LEFT(B593,2))</f>
        <v/>
      </c>
      <c r="E593" s="12">
        <f>IF(B593="","",LEFT(B593,4))</f>
        <v/>
      </c>
    </row>
    <row r="594">
      <c r="B594" s="20" t="n"/>
      <c r="D594" s="12">
        <f>IF(B594="","",LEFT(B594,2))</f>
        <v/>
      </c>
      <c r="E594" s="12">
        <f>IF(B594="","",LEFT(B594,4))</f>
        <v/>
      </c>
    </row>
    <row r="595">
      <c r="B595" s="20" t="n"/>
      <c r="D595" s="12">
        <f>IF(B595="","",LEFT(B595,2))</f>
        <v/>
      </c>
      <c r="E595" s="12">
        <f>IF(B595="","",LEFT(B595,4))</f>
        <v/>
      </c>
    </row>
    <row r="596">
      <c r="B596" s="20" t="n"/>
      <c r="D596" s="12">
        <f>IF(B596="","",LEFT(B596,2))</f>
        <v/>
      </c>
      <c r="E596" s="12">
        <f>IF(B596="","",LEFT(B596,4))</f>
        <v/>
      </c>
    </row>
    <row r="597">
      <c r="B597" s="20" t="n"/>
      <c r="D597" s="12">
        <f>IF(B597="","",LEFT(B597,2))</f>
        <v/>
      </c>
      <c r="E597" s="12">
        <f>IF(B597="","",LEFT(B597,4))</f>
        <v/>
      </c>
    </row>
    <row r="598">
      <c r="B598" s="20" t="n"/>
      <c r="D598" s="12">
        <f>IF(B598="","",LEFT(B598,2))</f>
        <v/>
      </c>
      <c r="E598" s="12">
        <f>IF(B598="","",LEFT(B598,4))</f>
        <v/>
      </c>
    </row>
    <row r="599">
      <c r="B599" s="20" t="n"/>
      <c r="D599" s="12">
        <f>IF(B599="","",LEFT(B599,2))</f>
        <v/>
      </c>
      <c r="E599" s="12">
        <f>IF(B599="","",LEFT(B599,4))</f>
        <v/>
      </c>
    </row>
    <row r="600">
      <c r="B600" s="20" t="n"/>
      <c r="D600" s="12">
        <f>IF(B600="","",LEFT(B600,2))</f>
        <v/>
      </c>
      <c r="E600" s="12">
        <f>IF(B600="","",LEFT(B600,4))</f>
        <v/>
      </c>
    </row>
    <row r="601">
      <c r="B601" s="20" t="n"/>
      <c r="D601" s="12">
        <f>IF(B601="","",LEFT(B601,2))</f>
        <v/>
      </c>
      <c r="E601" s="12">
        <f>IF(B601="","",LEFT(B601,4))</f>
        <v/>
      </c>
    </row>
  </sheetData>
  <dataValidations count="2">
    <dataValidation sqref="A2:A601" showDropDown="0" showInputMessage="0" showErrorMessage="1" allowBlank="1" errorTitle="Contrato" error="Ese ID no está en la hoja CONTRATOS." type="list" errorStyle="warning">
      <formula1>=CONTRATOS!$A$2:$A$601</formula1>
    </dataValidation>
    <dataValidation sqref="B2:B601" showDropDown="0" showInputMessage="0" showErrorMessage="1" allowBlank="1" errorTitle="Código UNSPSC" error="Debe tener exactamente 8 dígitos, solo números." type="custom">
      <formula1>=AND(LEN(B2)=8,ISNUMBER(--B2))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2" customWidth="1" min="4" max="4"/>
    <col width="30" customWidth="1" min="5" max="5"/>
  </cols>
  <sheetData>
    <row r="1" ht="42" customHeight="1">
      <c r="A1" s="9" t="inlineStr">
        <is>
          <t>ID_CONTRATO</t>
        </is>
      </c>
      <c r="B1" s="9" t="inlineStr">
        <is>
          <t>ITEM</t>
        </is>
      </c>
      <c r="C1" s="9" t="inlineStr">
        <is>
          <t>CANTIDAD</t>
        </is>
      </c>
      <c r="D1" s="9" t="inlineStr">
        <is>
          <t>UNIDAD</t>
        </is>
      </c>
      <c r="E1" s="10" t="inlineStr">
        <is>
          <t>NOTAS</t>
        </is>
      </c>
    </row>
    <row r="2">
      <c r="A2" t="inlineStr">
        <is>
          <t>C-0001</t>
        </is>
      </c>
      <c r="B2" t="inlineStr">
        <is>
          <t>(ejemplo) Aula de clase</t>
        </is>
      </c>
      <c r="C2" t="n">
        <v>1</v>
      </c>
      <c r="D2" t="inlineStr">
        <is>
          <t>un</t>
        </is>
      </c>
    </row>
  </sheetData>
  <dataValidations count="3">
    <dataValidation sqref="A2:A601" showDropDown="0" showInputMessage="0" showErrorMessage="1" allowBlank="1" errorTitle="Contrato" error="Ese ID no está en la hoja CONTRATOS." type="list" errorStyle="warning">
      <formula1>=CONTRATOS!$A$2:$A$601</formula1>
    </dataValidation>
    <dataValidation sqref="D2:D601" showDropDown="0" showInputMessage="0" showErrorMessage="1" allowBlank="1" errorTitle="Unidad" error="Elija una unidad de la lista." type="list">
      <formula1>=L_UNIDAD</formula1>
    </dataValidation>
    <dataValidation sqref="C2:C601" showDropDown="0" showInputMessage="0" showErrorMessage="1" allowBlank="1" errorTitle="Cantidad" error="Escriba solo un número no negativo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E8449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30" customWidth="1" min="4" max="4"/>
  </cols>
  <sheetData>
    <row r="1">
      <c r="A1" s="21" t="inlineStr">
        <is>
          <t>Resumen de experiencia por sujeto</t>
        </is>
      </c>
    </row>
    <row r="3">
      <c r="A3" s="22" t="inlineStr">
        <is>
          <t>Elija el sujeto (ID_SUJETO):</t>
        </is>
      </c>
      <c r="B3" s="23" t="inlineStr">
        <is>
          <t>S-001</t>
        </is>
      </c>
      <c r="C3" s="22">
        <f>IFERROR(INDEX(SUJETOS!$C$2:$C$601,MATCH(B3,SUJETOS!$A$2:$A$601,0)),"")</f>
        <v/>
      </c>
    </row>
    <row r="4">
      <c r="A4" t="inlineStr">
        <is>
          <t>Año de referencia de los valores:</t>
        </is>
      </c>
      <c r="B4" s="24">
        <f>SMMLV!E2</f>
        <v/>
      </c>
    </row>
    <row r="5">
      <c r="A5" s="25" t="inlineStr">
        <is>
          <t>No incluye contratos en ejecución (no acreditan experiencia).</t>
        </is>
      </c>
    </row>
    <row r="6">
      <c r="A6" s="22" t="inlineStr">
        <is>
          <t>Incluir a las personas vinculadas (CUENTA_PARA):</t>
        </is>
      </c>
      <c r="B6" s="23" t="inlineStr">
        <is>
          <t>Sí</t>
        </is>
      </c>
    </row>
    <row r="7">
      <c r="A7" s="26" t="inlineStr">
        <is>
          <t>Especialidad</t>
        </is>
      </c>
      <c r="B7" s="26" t="inlineStr">
        <is>
          <t>Contratos</t>
        </is>
      </c>
      <c r="C7" s="26" t="inlineStr">
        <is>
          <t>SMMLV participados</t>
        </is>
      </c>
      <c r="D7" s="26" t="inlineStr">
        <is>
          <t>Valor actualizado participado</t>
        </is>
      </c>
    </row>
    <row r="8">
      <c r="A8" t="inlineStr">
        <is>
          <t>Acueducto</t>
        </is>
      </c>
      <c r="B8">
        <f>IF($B$6="Sí",COUNTIFS(PARTICIPACIONES!$R$2:$R$601,$B$3,PARTICIPACIONES!$O$2:$O$601,A8,PARTICIPACIONES!$P$2:$P$601,"&lt;&gt;En ejecución"),COUNTIFS(PARTICIPACIONES!$B$2:$B$601,$B$3,PARTICIPACIONES!$O$2:$O$601,A8,PARTICIPACIONES!$P$2:$P$601,"&lt;&gt;En ejecución"))</f>
        <v/>
      </c>
      <c r="C8" s="27">
        <f>IF($B$6="Sí",SUMIFS(PARTICIPACIONES!$L$2:$L$601,PARTICIPACIONES!$R$2:$R$601,$B$3,PARTICIPACIONES!$O$2:$O$601,A8,PARTICIPACIONES!$P$2:$P$601,"&lt;&gt;En ejecución"),SUMIFS(PARTICIPACIONES!$L$2:$L$601,PARTICIPACIONES!$B$2:$B$601,$B$3,PARTICIPACIONES!$O$2:$O$601,A8,PARTICIPACIONES!$P$2:$P$601,"&lt;&gt;En ejecución"))</f>
        <v/>
      </c>
      <c r="D8" s="16">
        <f>IF($B$6="Sí",SUMIFS(PARTICIPACIONES!$M$2:$M$601,PARTICIPACIONES!$R$2:$R$601,$B$3,PARTICIPACIONES!$O$2:$O$601,A8,PARTICIPACIONES!$P$2:$P$601,"&lt;&gt;En ejecución"),SUMIFS(PARTICIPACIONES!$M$2:$M$601,PARTICIPACIONES!$B$2:$B$601,$B$3,PARTICIPACIONES!$O$2:$O$601,A8,PARTICIPACIONES!$P$2:$P$601,"&lt;&gt;En ejecución"))</f>
        <v/>
      </c>
    </row>
    <row r="9">
      <c r="A9" t="inlineStr">
        <is>
          <t>Alcantarillado</t>
        </is>
      </c>
      <c r="B9">
        <f>IF($B$6="Sí",COUNTIFS(PARTICIPACIONES!$R$2:$R$601,$B$3,PARTICIPACIONES!$O$2:$O$601,A9,PARTICIPACIONES!$P$2:$P$601,"&lt;&gt;En ejecución"),COUNTIFS(PARTICIPACIONES!$B$2:$B$601,$B$3,PARTICIPACIONES!$O$2:$O$601,A9,PARTICIPACIONES!$P$2:$P$601,"&lt;&gt;En ejecución"))</f>
        <v/>
      </c>
      <c r="C9" s="27">
        <f>IF($B$6="Sí",SUMIFS(PARTICIPACIONES!$L$2:$L$601,PARTICIPACIONES!$R$2:$R$601,$B$3,PARTICIPACIONES!$O$2:$O$601,A9,PARTICIPACIONES!$P$2:$P$601,"&lt;&gt;En ejecución"),SUMIFS(PARTICIPACIONES!$L$2:$L$601,PARTICIPACIONES!$B$2:$B$601,$B$3,PARTICIPACIONES!$O$2:$O$601,A9,PARTICIPACIONES!$P$2:$P$601,"&lt;&gt;En ejecución"))</f>
        <v/>
      </c>
      <c r="D9" s="16">
        <f>IF($B$6="Sí",SUMIFS(PARTICIPACIONES!$M$2:$M$601,PARTICIPACIONES!$R$2:$R$601,$B$3,PARTICIPACIONES!$O$2:$O$601,A9,PARTICIPACIONES!$P$2:$P$601,"&lt;&gt;En ejecución"),SUMIFS(PARTICIPACIONES!$M$2:$M$601,PARTICIPACIONES!$B$2:$B$601,$B$3,PARTICIPACIONES!$O$2:$O$601,A9,PARTICIPACIONES!$P$2:$P$601,"&lt;&gt;En ejecución"))</f>
        <v/>
      </c>
    </row>
    <row r="10">
      <c r="A10" t="inlineStr">
        <is>
          <t>Canales y obras hidráulicas</t>
        </is>
      </c>
      <c r="B10">
        <f>IF($B$6="Sí",COUNTIFS(PARTICIPACIONES!$R$2:$R$601,$B$3,PARTICIPACIONES!$O$2:$O$601,A10,PARTICIPACIONES!$P$2:$P$601,"&lt;&gt;En ejecución"),COUNTIFS(PARTICIPACIONES!$B$2:$B$601,$B$3,PARTICIPACIONES!$O$2:$O$601,A10,PARTICIPACIONES!$P$2:$P$601,"&lt;&gt;En ejecución"))</f>
        <v/>
      </c>
      <c r="C10" s="27">
        <f>IF($B$6="Sí",SUMIFS(PARTICIPACIONES!$L$2:$L$601,PARTICIPACIONES!$R$2:$R$601,$B$3,PARTICIPACIONES!$O$2:$O$601,A10,PARTICIPACIONES!$P$2:$P$601,"&lt;&gt;En ejecución"),SUMIFS(PARTICIPACIONES!$L$2:$L$601,PARTICIPACIONES!$B$2:$B$601,$B$3,PARTICIPACIONES!$O$2:$O$601,A10,PARTICIPACIONES!$P$2:$P$601,"&lt;&gt;En ejecución"))</f>
        <v/>
      </c>
      <c r="D10" s="16">
        <f>IF($B$6="Sí",SUMIFS(PARTICIPACIONES!$M$2:$M$601,PARTICIPACIONES!$R$2:$R$601,$B$3,PARTICIPACIONES!$O$2:$O$601,A10,PARTICIPACIONES!$P$2:$P$601,"&lt;&gt;En ejecución"),SUMIFS(PARTICIPACIONES!$M$2:$M$601,PARTICIPACIONES!$B$2:$B$601,$B$3,PARTICIPACIONES!$O$2:$O$601,A10,PARTICIPACIONES!$P$2:$P$601,"&lt;&gt;En ejecución"))</f>
        <v/>
      </c>
    </row>
    <row r="11">
      <c r="A11" t="inlineStr">
        <is>
          <t>Tanques y almacenamiento</t>
        </is>
      </c>
      <c r="B11">
        <f>IF($B$6="Sí",COUNTIFS(PARTICIPACIONES!$R$2:$R$601,$B$3,PARTICIPACIONES!$O$2:$O$601,A11,PARTICIPACIONES!$P$2:$P$601,"&lt;&gt;En ejecución"),COUNTIFS(PARTICIPACIONES!$B$2:$B$601,$B$3,PARTICIPACIONES!$O$2:$O$601,A11,PARTICIPACIONES!$P$2:$P$601,"&lt;&gt;En ejecución"))</f>
        <v/>
      </c>
      <c r="C11" s="27">
        <f>IF($B$6="Sí",SUMIFS(PARTICIPACIONES!$L$2:$L$601,PARTICIPACIONES!$R$2:$R$601,$B$3,PARTICIPACIONES!$O$2:$O$601,A11,PARTICIPACIONES!$P$2:$P$601,"&lt;&gt;En ejecución"),SUMIFS(PARTICIPACIONES!$L$2:$L$601,PARTICIPACIONES!$B$2:$B$601,$B$3,PARTICIPACIONES!$O$2:$O$601,A11,PARTICIPACIONES!$P$2:$P$601,"&lt;&gt;En ejecución"))</f>
        <v/>
      </c>
      <c r="D11" s="16">
        <f>IF($B$6="Sí",SUMIFS(PARTICIPACIONES!$M$2:$M$601,PARTICIPACIONES!$R$2:$R$601,$B$3,PARTICIPACIONES!$O$2:$O$601,A11,PARTICIPACIONES!$P$2:$P$601,"&lt;&gt;En ejecución"),SUMIFS(PARTICIPACIONES!$M$2:$M$601,PARTICIPACIONES!$B$2:$B$601,$B$3,PARTICIPACIONES!$O$2:$O$601,A11,PARTICIPACIONES!$P$2:$P$601,"&lt;&gt;En ejecución"))</f>
        <v/>
      </c>
    </row>
    <row r="12">
      <c r="A12" t="inlineStr">
        <is>
          <t>Riego y adecuación de tierras</t>
        </is>
      </c>
      <c r="B12">
        <f>IF($B$6="Sí",COUNTIFS(PARTICIPACIONES!$R$2:$R$601,$B$3,PARTICIPACIONES!$O$2:$O$601,A12,PARTICIPACIONES!$P$2:$P$601,"&lt;&gt;En ejecución"),COUNTIFS(PARTICIPACIONES!$B$2:$B$601,$B$3,PARTICIPACIONES!$O$2:$O$601,A12,PARTICIPACIONES!$P$2:$P$601,"&lt;&gt;En ejecución"))</f>
        <v/>
      </c>
      <c r="C12" s="27">
        <f>IF($B$6="Sí",SUMIFS(PARTICIPACIONES!$L$2:$L$601,PARTICIPACIONES!$R$2:$R$601,$B$3,PARTICIPACIONES!$O$2:$O$601,A12,PARTICIPACIONES!$P$2:$P$601,"&lt;&gt;En ejecución"),SUMIFS(PARTICIPACIONES!$L$2:$L$601,PARTICIPACIONES!$B$2:$B$601,$B$3,PARTICIPACIONES!$O$2:$O$601,A12,PARTICIPACIONES!$P$2:$P$601,"&lt;&gt;En ejecución"))</f>
        <v/>
      </c>
      <c r="D12" s="16">
        <f>IF($B$6="Sí",SUMIFS(PARTICIPACIONES!$M$2:$M$601,PARTICIPACIONES!$R$2:$R$601,$B$3,PARTICIPACIONES!$O$2:$O$601,A12,PARTICIPACIONES!$P$2:$P$601,"&lt;&gt;En ejecución"),SUMIFS(PARTICIPACIONES!$M$2:$M$601,PARTICIPACIONES!$B$2:$B$601,$B$3,PARTICIPACIONES!$O$2:$O$601,A12,PARTICIPACIONES!$P$2:$P$601,"&lt;&gt;En ejecución"))</f>
        <v/>
      </c>
    </row>
    <row r="13">
      <c r="A13" t="inlineStr">
        <is>
          <t>Vías y carreteras</t>
        </is>
      </c>
      <c r="B13">
        <f>IF($B$6="Sí",COUNTIFS(PARTICIPACIONES!$R$2:$R$601,$B$3,PARTICIPACIONES!$O$2:$O$601,A13,PARTICIPACIONES!$P$2:$P$601,"&lt;&gt;En ejecución"),COUNTIFS(PARTICIPACIONES!$B$2:$B$601,$B$3,PARTICIPACIONES!$O$2:$O$601,A13,PARTICIPACIONES!$P$2:$P$601,"&lt;&gt;En ejecución"))</f>
        <v/>
      </c>
      <c r="C13" s="27">
        <f>IF($B$6="Sí",SUMIFS(PARTICIPACIONES!$L$2:$L$601,PARTICIPACIONES!$R$2:$R$601,$B$3,PARTICIPACIONES!$O$2:$O$601,A13,PARTICIPACIONES!$P$2:$P$601,"&lt;&gt;En ejecución"),SUMIFS(PARTICIPACIONES!$L$2:$L$601,PARTICIPACIONES!$B$2:$B$601,$B$3,PARTICIPACIONES!$O$2:$O$601,A13,PARTICIPACIONES!$P$2:$P$601,"&lt;&gt;En ejecución"))</f>
        <v/>
      </c>
      <c r="D13" s="16">
        <f>IF($B$6="Sí",SUMIFS(PARTICIPACIONES!$M$2:$M$601,PARTICIPACIONES!$R$2:$R$601,$B$3,PARTICIPACIONES!$O$2:$O$601,A13,PARTICIPACIONES!$P$2:$P$601,"&lt;&gt;En ejecución"),SUMIFS(PARTICIPACIONES!$M$2:$M$601,PARTICIPACIONES!$B$2:$B$601,$B$3,PARTICIPACIONES!$O$2:$O$601,A13,PARTICIPACIONES!$P$2:$P$601,"&lt;&gt;En ejecución"))</f>
        <v/>
      </c>
    </row>
    <row r="14">
      <c r="A14" t="inlineStr">
        <is>
          <t>Puentes</t>
        </is>
      </c>
      <c r="B14">
        <f>IF($B$6="Sí",COUNTIFS(PARTICIPACIONES!$R$2:$R$601,$B$3,PARTICIPACIONES!$O$2:$O$601,A14,PARTICIPACIONES!$P$2:$P$601,"&lt;&gt;En ejecución"),COUNTIFS(PARTICIPACIONES!$B$2:$B$601,$B$3,PARTICIPACIONES!$O$2:$O$601,A14,PARTICIPACIONES!$P$2:$P$601,"&lt;&gt;En ejecución"))</f>
        <v/>
      </c>
      <c r="C14" s="27">
        <f>IF($B$6="Sí",SUMIFS(PARTICIPACIONES!$L$2:$L$601,PARTICIPACIONES!$R$2:$R$601,$B$3,PARTICIPACIONES!$O$2:$O$601,A14,PARTICIPACIONES!$P$2:$P$601,"&lt;&gt;En ejecución"),SUMIFS(PARTICIPACIONES!$L$2:$L$601,PARTICIPACIONES!$B$2:$B$601,$B$3,PARTICIPACIONES!$O$2:$O$601,A14,PARTICIPACIONES!$P$2:$P$601,"&lt;&gt;En ejecución"))</f>
        <v/>
      </c>
      <c r="D14" s="16">
        <f>IF($B$6="Sí",SUMIFS(PARTICIPACIONES!$M$2:$M$601,PARTICIPACIONES!$R$2:$R$601,$B$3,PARTICIPACIONES!$O$2:$O$601,A14,PARTICIPACIONES!$P$2:$P$601,"&lt;&gt;En ejecución"),SUMIFS(PARTICIPACIONES!$M$2:$M$601,PARTICIPACIONES!$B$2:$B$601,$B$3,PARTICIPACIONES!$O$2:$O$601,A14,PARTICIPACIONES!$P$2:$P$601,"&lt;&gt;En ejecución"))</f>
        <v/>
      </c>
    </row>
    <row r="15">
      <c r="A15" t="inlineStr">
        <is>
          <t>Vivienda</t>
        </is>
      </c>
      <c r="B15">
        <f>IF($B$6="Sí",COUNTIFS(PARTICIPACIONES!$R$2:$R$601,$B$3,PARTICIPACIONES!$O$2:$O$601,A15,PARTICIPACIONES!$P$2:$P$601,"&lt;&gt;En ejecución"),COUNTIFS(PARTICIPACIONES!$B$2:$B$601,$B$3,PARTICIPACIONES!$O$2:$O$601,A15,PARTICIPACIONES!$P$2:$P$601,"&lt;&gt;En ejecución"))</f>
        <v/>
      </c>
      <c r="C15" s="27">
        <f>IF($B$6="Sí",SUMIFS(PARTICIPACIONES!$L$2:$L$601,PARTICIPACIONES!$R$2:$R$601,$B$3,PARTICIPACIONES!$O$2:$O$601,A15,PARTICIPACIONES!$P$2:$P$601,"&lt;&gt;En ejecución"),SUMIFS(PARTICIPACIONES!$L$2:$L$601,PARTICIPACIONES!$B$2:$B$601,$B$3,PARTICIPACIONES!$O$2:$O$601,A15,PARTICIPACIONES!$P$2:$P$601,"&lt;&gt;En ejecución"))</f>
        <v/>
      </c>
      <c r="D15" s="16">
        <f>IF($B$6="Sí",SUMIFS(PARTICIPACIONES!$M$2:$M$601,PARTICIPACIONES!$R$2:$R$601,$B$3,PARTICIPACIONES!$O$2:$O$601,A15,PARTICIPACIONES!$P$2:$P$601,"&lt;&gt;En ejecución"),SUMIFS(PARTICIPACIONES!$M$2:$M$601,PARTICIPACIONES!$B$2:$B$601,$B$3,PARTICIPACIONES!$O$2:$O$601,A15,PARTICIPACIONES!$P$2:$P$601,"&lt;&gt;En ejecución"))</f>
        <v/>
      </c>
    </row>
    <row r="16">
      <c r="A16" t="inlineStr">
        <is>
          <t>Edificaciones educativas</t>
        </is>
      </c>
      <c r="B16">
        <f>IF($B$6="Sí",COUNTIFS(PARTICIPACIONES!$R$2:$R$601,$B$3,PARTICIPACIONES!$O$2:$O$601,A16,PARTICIPACIONES!$P$2:$P$601,"&lt;&gt;En ejecución"),COUNTIFS(PARTICIPACIONES!$B$2:$B$601,$B$3,PARTICIPACIONES!$O$2:$O$601,A16,PARTICIPACIONES!$P$2:$P$601,"&lt;&gt;En ejecución"))</f>
        <v/>
      </c>
      <c r="C16" s="27">
        <f>IF($B$6="Sí",SUMIFS(PARTICIPACIONES!$L$2:$L$601,PARTICIPACIONES!$R$2:$R$601,$B$3,PARTICIPACIONES!$O$2:$O$601,A16,PARTICIPACIONES!$P$2:$P$601,"&lt;&gt;En ejecución"),SUMIFS(PARTICIPACIONES!$L$2:$L$601,PARTICIPACIONES!$B$2:$B$601,$B$3,PARTICIPACIONES!$O$2:$O$601,A16,PARTICIPACIONES!$P$2:$P$601,"&lt;&gt;En ejecución"))</f>
        <v/>
      </c>
      <c r="D16" s="16">
        <f>IF($B$6="Sí",SUMIFS(PARTICIPACIONES!$M$2:$M$601,PARTICIPACIONES!$R$2:$R$601,$B$3,PARTICIPACIONES!$O$2:$O$601,A16,PARTICIPACIONES!$P$2:$P$601,"&lt;&gt;En ejecución"),SUMIFS(PARTICIPACIONES!$M$2:$M$601,PARTICIPACIONES!$B$2:$B$601,$B$3,PARTICIPACIONES!$O$2:$O$601,A16,PARTICIPACIONES!$P$2:$P$601,"&lt;&gt;En ejecución"))</f>
        <v/>
      </c>
    </row>
    <row r="17">
      <c r="A17" t="inlineStr">
        <is>
          <t>Edificaciones deportivas y recreativas</t>
        </is>
      </c>
      <c r="B17">
        <f>IF($B$6="Sí",COUNTIFS(PARTICIPACIONES!$R$2:$R$601,$B$3,PARTICIPACIONES!$O$2:$O$601,A17,PARTICIPACIONES!$P$2:$P$601,"&lt;&gt;En ejecución"),COUNTIFS(PARTICIPACIONES!$B$2:$B$601,$B$3,PARTICIPACIONES!$O$2:$O$601,A17,PARTICIPACIONES!$P$2:$P$601,"&lt;&gt;En ejecución"))</f>
        <v/>
      </c>
      <c r="C17" s="27">
        <f>IF($B$6="Sí",SUMIFS(PARTICIPACIONES!$L$2:$L$601,PARTICIPACIONES!$R$2:$R$601,$B$3,PARTICIPACIONES!$O$2:$O$601,A17,PARTICIPACIONES!$P$2:$P$601,"&lt;&gt;En ejecución"),SUMIFS(PARTICIPACIONES!$L$2:$L$601,PARTICIPACIONES!$B$2:$B$601,$B$3,PARTICIPACIONES!$O$2:$O$601,A17,PARTICIPACIONES!$P$2:$P$601,"&lt;&gt;En ejecución"))</f>
        <v/>
      </c>
      <c r="D17" s="16">
        <f>IF($B$6="Sí",SUMIFS(PARTICIPACIONES!$M$2:$M$601,PARTICIPACIONES!$R$2:$R$601,$B$3,PARTICIPACIONES!$O$2:$O$601,A17,PARTICIPACIONES!$P$2:$P$601,"&lt;&gt;En ejecución"),SUMIFS(PARTICIPACIONES!$M$2:$M$601,PARTICIPACIONES!$B$2:$B$601,$B$3,PARTICIPACIONES!$O$2:$O$601,A17,PARTICIPACIONES!$P$2:$P$601,"&lt;&gt;En ejecución"))</f>
        <v/>
      </c>
    </row>
    <row r="18">
      <c r="A18" t="inlineStr">
        <is>
          <t>Centros de integración ciudadana</t>
        </is>
      </c>
      <c r="B18">
        <f>IF($B$6="Sí",COUNTIFS(PARTICIPACIONES!$R$2:$R$601,$B$3,PARTICIPACIONES!$O$2:$O$601,A18,PARTICIPACIONES!$P$2:$P$601,"&lt;&gt;En ejecución"),COUNTIFS(PARTICIPACIONES!$B$2:$B$601,$B$3,PARTICIPACIONES!$O$2:$O$601,A18,PARTICIPACIONES!$P$2:$P$601,"&lt;&gt;En ejecución"))</f>
        <v/>
      </c>
      <c r="C18" s="27">
        <f>IF($B$6="Sí",SUMIFS(PARTICIPACIONES!$L$2:$L$601,PARTICIPACIONES!$R$2:$R$601,$B$3,PARTICIPACIONES!$O$2:$O$601,A18,PARTICIPACIONES!$P$2:$P$601,"&lt;&gt;En ejecución"),SUMIFS(PARTICIPACIONES!$L$2:$L$601,PARTICIPACIONES!$B$2:$B$601,$B$3,PARTICIPACIONES!$O$2:$O$601,A18,PARTICIPACIONES!$P$2:$P$601,"&lt;&gt;En ejecución"))</f>
        <v/>
      </c>
      <c r="D18" s="16">
        <f>IF($B$6="Sí",SUMIFS(PARTICIPACIONES!$M$2:$M$601,PARTICIPACIONES!$R$2:$R$601,$B$3,PARTICIPACIONES!$O$2:$O$601,A18,PARTICIPACIONES!$P$2:$P$601,"&lt;&gt;En ejecución"),SUMIFS(PARTICIPACIONES!$M$2:$M$601,PARTICIPACIONES!$B$2:$B$601,$B$3,PARTICIPACIONES!$O$2:$O$601,A18,PARTICIPACIONES!$P$2:$P$601,"&lt;&gt;En ejecución"))</f>
        <v/>
      </c>
    </row>
    <row r="19">
      <c r="A19" t="inlineStr">
        <is>
          <t>Edificaciones de salud</t>
        </is>
      </c>
      <c r="B19">
        <f>IF($B$6="Sí",COUNTIFS(PARTICIPACIONES!$R$2:$R$601,$B$3,PARTICIPACIONES!$O$2:$O$601,A19,PARTICIPACIONES!$P$2:$P$601,"&lt;&gt;En ejecución"),COUNTIFS(PARTICIPACIONES!$B$2:$B$601,$B$3,PARTICIPACIONES!$O$2:$O$601,A19,PARTICIPACIONES!$P$2:$P$601,"&lt;&gt;En ejecución"))</f>
        <v/>
      </c>
      <c r="C19" s="27">
        <f>IF($B$6="Sí",SUMIFS(PARTICIPACIONES!$L$2:$L$601,PARTICIPACIONES!$R$2:$R$601,$B$3,PARTICIPACIONES!$O$2:$O$601,A19,PARTICIPACIONES!$P$2:$P$601,"&lt;&gt;En ejecución"),SUMIFS(PARTICIPACIONES!$L$2:$L$601,PARTICIPACIONES!$B$2:$B$601,$B$3,PARTICIPACIONES!$O$2:$O$601,A19,PARTICIPACIONES!$P$2:$P$601,"&lt;&gt;En ejecución"))</f>
        <v/>
      </c>
      <c r="D19" s="16">
        <f>IF($B$6="Sí",SUMIFS(PARTICIPACIONES!$M$2:$M$601,PARTICIPACIONES!$R$2:$R$601,$B$3,PARTICIPACIONES!$O$2:$O$601,A19,PARTICIPACIONES!$P$2:$P$601,"&lt;&gt;En ejecución"),SUMIFS(PARTICIPACIONES!$M$2:$M$601,PARTICIPACIONES!$B$2:$B$601,$B$3,PARTICIPACIONES!$O$2:$O$601,A19,PARTICIPACIONES!$P$2:$P$601,"&lt;&gt;En ejecución"))</f>
        <v/>
      </c>
    </row>
    <row r="20">
      <c r="A20" t="inlineStr">
        <is>
          <t>Edificaciones institucionales y oficinas</t>
        </is>
      </c>
      <c r="B20">
        <f>IF($B$6="Sí",COUNTIFS(PARTICIPACIONES!$R$2:$R$601,$B$3,PARTICIPACIONES!$O$2:$O$601,A20,PARTICIPACIONES!$P$2:$P$601,"&lt;&gt;En ejecución"),COUNTIFS(PARTICIPACIONES!$B$2:$B$601,$B$3,PARTICIPACIONES!$O$2:$O$601,A20,PARTICIPACIONES!$P$2:$P$601,"&lt;&gt;En ejecución"))</f>
        <v/>
      </c>
      <c r="C20" s="27">
        <f>IF($B$6="Sí",SUMIFS(PARTICIPACIONES!$L$2:$L$601,PARTICIPACIONES!$R$2:$R$601,$B$3,PARTICIPACIONES!$O$2:$O$601,A20,PARTICIPACIONES!$P$2:$P$601,"&lt;&gt;En ejecución"),SUMIFS(PARTICIPACIONES!$L$2:$L$601,PARTICIPACIONES!$B$2:$B$601,$B$3,PARTICIPACIONES!$O$2:$O$601,A20,PARTICIPACIONES!$P$2:$P$601,"&lt;&gt;En ejecución"))</f>
        <v/>
      </c>
      <c r="D20" s="16">
        <f>IF($B$6="Sí",SUMIFS(PARTICIPACIONES!$M$2:$M$601,PARTICIPACIONES!$R$2:$R$601,$B$3,PARTICIPACIONES!$O$2:$O$601,A20,PARTICIPACIONES!$P$2:$P$601,"&lt;&gt;En ejecución"),SUMIFS(PARTICIPACIONES!$M$2:$M$601,PARTICIPACIONES!$B$2:$B$601,$B$3,PARTICIPACIONES!$O$2:$O$601,A20,PARTICIPACIONES!$P$2:$P$601,"&lt;&gt;En ejecución"))</f>
        <v/>
      </c>
    </row>
    <row r="21">
      <c r="A21" t="inlineStr">
        <is>
          <t>Mataderos y plazas</t>
        </is>
      </c>
      <c r="B21">
        <f>IF($B$6="Sí",COUNTIFS(PARTICIPACIONES!$R$2:$R$601,$B$3,PARTICIPACIONES!$O$2:$O$601,A21,PARTICIPACIONES!$P$2:$P$601,"&lt;&gt;En ejecución"),COUNTIFS(PARTICIPACIONES!$B$2:$B$601,$B$3,PARTICIPACIONES!$O$2:$O$601,A21,PARTICIPACIONES!$P$2:$P$601,"&lt;&gt;En ejecución"))</f>
        <v/>
      </c>
      <c r="C21" s="27">
        <f>IF($B$6="Sí",SUMIFS(PARTICIPACIONES!$L$2:$L$601,PARTICIPACIONES!$R$2:$R$601,$B$3,PARTICIPACIONES!$O$2:$O$601,A21,PARTICIPACIONES!$P$2:$P$601,"&lt;&gt;En ejecución"),SUMIFS(PARTICIPACIONES!$L$2:$L$601,PARTICIPACIONES!$B$2:$B$601,$B$3,PARTICIPACIONES!$O$2:$O$601,A21,PARTICIPACIONES!$P$2:$P$601,"&lt;&gt;En ejecución"))</f>
        <v/>
      </c>
      <c r="D21" s="16">
        <f>IF($B$6="Sí",SUMIFS(PARTICIPACIONES!$M$2:$M$601,PARTICIPACIONES!$R$2:$R$601,$B$3,PARTICIPACIONES!$O$2:$O$601,A21,PARTICIPACIONES!$P$2:$P$601,"&lt;&gt;En ejecución"),SUMIFS(PARTICIPACIONES!$M$2:$M$601,PARTICIPACIONES!$B$2:$B$601,$B$3,PARTICIPACIONES!$O$2:$O$601,A21,PARTICIPACIONES!$P$2:$P$601,"&lt;&gt;En ejecución"))</f>
        <v/>
      </c>
    </row>
    <row r="22">
      <c r="A22" t="inlineStr">
        <is>
          <t>Mitigación y gestión del riesgo</t>
        </is>
      </c>
      <c r="B22">
        <f>IF($B$6="Sí",COUNTIFS(PARTICIPACIONES!$R$2:$R$601,$B$3,PARTICIPACIONES!$O$2:$O$601,A22,PARTICIPACIONES!$P$2:$P$601,"&lt;&gt;En ejecución"),COUNTIFS(PARTICIPACIONES!$B$2:$B$601,$B$3,PARTICIPACIONES!$O$2:$O$601,A22,PARTICIPACIONES!$P$2:$P$601,"&lt;&gt;En ejecución"))</f>
        <v/>
      </c>
      <c r="C22" s="27">
        <f>IF($B$6="Sí",SUMIFS(PARTICIPACIONES!$L$2:$L$601,PARTICIPACIONES!$R$2:$R$601,$B$3,PARTICIPACIONES!$O$2:$O$601,A22,PARTICIPACIONES!$P$2:$P$601,"&lt;&gt;En ejecución"),SUMIFS(PARTICIPACIONES!$L$2:$L$601,PARTICIPACIONES!$B$2:$B$601,$B$3,PARTICIPACIONES!$O$2:$O$601,A22,PARTICIPACIONES!$P$2:$P$601,"&lt;&gt;En ejecución"))</f>
        <v/>
      </c>
      <c r="D22" s="16">
        <f>IF($B$6="Sí",SUMIFS(PARTICIPACIONES!$M$2:$M$601,PARTICIPACIONES!$R$2:$R$601,$B$3,PARTICIPACIONES!$O$2:$O$601,A22,PARTICIPACIONES!$P$2:$P$601,"&lt;&gt;En ejecución"),SUMIFS(PARTICIPACIONES!$M$2:$M$601,PARTICIPACIONES!$B$2:$B$601,$B$3,PARTICIPACIONES!$O$2:$O$601,A22,PARTICIPACIONES!$P$2:$P$601,"&lt;&gt;En ejecución"))</f>
        <v/>
      </c>
    </row>
    <row r="23">
      <c r="A23" t="inlineStr">
        <is>
          <t>Redes eléctricas</t>
        </is>
      </c>
      <c r="B23">
        <f>IF($B$6="Sí",COUNTIFS(PARTICIPACIONES!$R$2:$R$601,$B$3,PARTICIPACIONES!$O$2:$O$601,A23,PARTICIPACIONES!$P$2:$P$601,"&lt;&gt;En ejecución"),COUNTIFS(PARTICIPACIONES!$B$2:$B$601,$B$3,PARTICIPACIONES!$O$2:$O$601,A23,PARTICIPACIONES!$P$2:$P$601,"&lt;&gt;En ejecución"))</f>
        <v/>
      </c>
      <c r="C23" s="27">
        <f>IF($B$6="Sí",SUMIFS(PARTICIPACIONES!$L$2:$L$601,PARTICIPACIONES!$R$2:$R$601,$B$3,PARTICIPACIONES!$O$2:$O$601,A23,PARTICIPACIONES!$P$2:$P$601,"&lt;&gt;En ejecución"),SUMIFS(PARTICIPACIONES!$L$2:$L$601,PARTICIPACIONES!$B$2:$B$601,$B$3,PARTICIPACIONES!$O$2:$O$601,A23,PARTICIPACIONES!$P$2:$P$601,"&lt;&gt;En ejecución"))</f>
        <v/>
      </c>
      <c r="D23" s="16">
        <f>IF($B$6="Sí",SUMIFS(PARTICIPACIONES!$M$2:$M$601,PARTICIPACIONES!$R$2:$R$601,$B$3,PARTICIPACIONES!$O$2:$O$601,A23,PARTICIPACIONES!$P$2:$P$601,"&lt;&gt;En ejecución"),SUMIFS(PARTICIPACIONES!$M$2:$M$601,PARTICIPACIONES!$B$2:$B$601,$B$3,PARTICIPACIONES!$O$2:$O$601,A23,PARTICIPACIONES!$P$2:$P$601,"&lt;&gt;En ejecución"))</f>
        <v/>
      </c>
    </row>
    <row r="24">
      <c r="A24" t="inlineStr">
        <is>
          <t>Redes de gas</t>
        </is>
      </c>
      <c r="B24">
        <f>IF($B$6="Sí",COUNTIFS(PARTICIPACIONES!$R$2:$R$601,$B$3,PARTICIPACIONES!$O$2:$O$601,A24,PARTICIPACIONES!$P$2:$P$601,"&lt;&gt;En ejecución"),COUNTIFS(PARTICIPACIONES!$B$2:$B$601,$B$3,PARTICIPACIONES!$O$2:$O$601,A24,PARTICIPACIONES!$P$2:$P$601,"&lt;&gt;En ejecución"))</f>
        <v/>
      </c>
      <c r="C24" s="27">
        <f>IF($B$6="Sí",SUMIFS(PARTICIPACIONES!$L$2:$L$601,PARTICIPACIONES!$R$2:$R$601,$B$3,PARTICIPACIONES!$O$2:$O$601,A24,PARTICIPACIONES!$P$2:$P$601,"&lt;&gt;En ejecución"),SUMIFS(PARTICIPACIONES!$L$2:$L$601,PARTICIPACIONES!$B$2:$B$601,$B$3,PARTICIPACIONES!$O$2:$O$601,A24,PARTICIPACIONES!$P$2:$P$601,"&lt;&gt;En ejecución"))</f>
        <v/>
      </c>
      <c r="D24" s="16">
        <f>IF($B$6="Sí",SUMIFS(PARTICIPACIONES!$M$2:$M$601,PARTICIPACIONES!$R$2:$R$601,$B$3,PARTICIPACIONES!$O$2:$O$601,A24,PARTICIPACIONES!$P$2:$P$601,"&lt;&gt;En ejecución"),SUMIFS(PARTICIPACIONES!$M$2:$M$601,PARTICIPACIONES!$B$2:$B$601,$B$3,PARTICIPACIONES!$O$2:$O$601,A24,PARTICIPACIONES!$P$2:$P$601,"&lt;&gt;En ejecución"))</f>
        <v/>
      </c>
    </row>
    <row r="25">
      <c r="A25" t="inlineStr">
        <is>
          <t>Tuberías e instalaciones</t>
        </is>
      </c>
      <c r="B25">
        <f>IF($B$6="Sí",COUNTIFS(PARTICIPACIONES!$R$2:$R$601,$B$3,PARTICIPACIONES!$O$2:$O$601,A25,PARTICIPACIONES!$P$2:$P$601,"&lt;&gt;En ejecución"),COUNTIFS(PARTICIPACIONES!$B$2:$B$601,$B$3,PARTICIPACIONES!$O$2:$O$601,A25,PARTICIPACIONES!$P$2:$P$601,"&lt;&gt;En ejecución"))</f>
        <v/>
      </c>
      <c r="C25" s="27">
        <f>IF($B$6="Sí",SUMIFS(PARTICIPACIONES!$L$2:$L$601,PARTICIPACIONES!$R$2:$R$601,$B$3,PARTICIPACIONES!$O$2:$O$601,A25,PARTICIPACIONES!$P$2:$P$601,"&lt;&gt;En ejecución"),SUMIFS(PARTICIPACIONES!$L$2:$L$601,PARTICIPACIONES!$B$2:$B$601,$B$3,PARTICIPACIONES!$O$2:$O$601,A25,PARTICIPACIONES!$P$2:$P$601,"&lt;&gt;En ejecución"))</f>
        <v/>
      </c>
      <c r="D25" s="16">
        <f>IF($B$6="Sí",SUMIFS(PARTICIPACIONES!$M$2:$M$601,PARTICIPACIONES!$R$2:$R$601,$B$3,PARTICIPACIONES!$O$2:$O$601,A25,PARTICIPACIONES!$P$2:$P$601,"&lt;&gt;En ejecución"),SUMIFS(PARTICIPACIONES!$M$2:$M$601,PARTICIPACIONES!$B$2:$B$601,$B$3,PARTICIPACIONES!$O$2:$O$601,A25,PARTICIPACIONES!$P$2:$P$601,"&lt;&gt;En ejecución"))</f>
        <v/>
      </c>
    </row>
    <row r="26">
      <c r="A26" t="inlineStr">
        <is>
          <t>Obra civil general</t>
        </is>
      </c>
      <c r="B26">
        <f>IF($B$6="Sí",COUNTIFS(PARTICIPACIONES!$R$2:$R$601,$B$3,PARTICIPACIONES!$O$2:$O$601,A26,PARTICIPACIONES!$P$2:$P$601,"&lt;&gt;En ejecución"),COUNTIFS(PARTICIPACIONES!$B$2:$B$601,$B$3,PARTICIPACIONES!$O$2:$O$601,A26,PARTICIPACIONES!$P$2:$P$601,"&lt;&gt;En ejecución"))</f>
        <v/>
      </c>
      <c r="C26" s="27">
        <f>IF($B$6="Sí",SUMIFS(PARTICIPACIONES!$L$2:$L$601,PARTICIPACIONES!$R$2:$R$601,$B$3,PARTICIPACIONES!$O$2:$O$601,A26,PARTICIPACIONES!$P$2:$P$601,"&lt;&gt;En ejecución"),SUMIFS(PARTICIPACIONES!$L$2:$L$601,PARTICIPACIONES!$B$2:$B$601,$B$3,PARTICIPACIONES!$O$2:$O$601,A26,PARTICIPACIONES!$P$2:$P$601,"&lt;&gt;En ejecución"))</f>
        <v/>
      </c>
      <c r="D26" s="16">
        <f>IF($B$6="Sí",SUMIFS(PARTICIPACIONES!$M$2:$M$601,PARTICIPACIONES!$R$2:$R$601,$B$3,PARTICIPACIONES!$O$2:$O$601,A26,PARTICIPACIONES!$P$2:$P$601,"&lt;&gt;En ejecución"),SUMIFS(PARTICIPACIONES!$M$2:$M$601,PARTICIPACIONES!$B$2:$B$601,$B$3,PARTICIPACIONES!$O$2:$O$601,A26,PARTICIPACIONES!$P$2:$P$601,"&lt;&gt;En ejecución"))</f>
        <v/>
      </c>
    </row>
    <row r="27">
      <c r="A27" t="inlineStr">
        <is>
          <t>Interventoría</t>
        </is>
      </c>
      <c r="B27">
        <f>IF($B$6="Sí",COUNTIFS(PARTICIPACIONES!$R$2:$R$601,$B$3,PARTICIPACIONES!$O$2:$O$601,A27,PARTICIPACIONES!$P$2:$P$601,"&lt;&gt;En ejecución"),COUNTIFS(PARTICIPACIONES!$B$2:$B$601,$B$3,PARTICIPACIONES!$O$2:$O$601,A27,PARTICIPACIONES!$P$2:$P$601,"&lt;&gt;En ejecución"))</f>
        <v/>
      </c>
      <c r="C27" s="27">
        <f>IF($B$6="Sí",SUMIFS(PARTICIPACIONES!$L$2:$L$601,PARTICIPACIONES!$R$2:$R$601,$B$3,PARTICIPACIONES!$O$2:$O$601,A27,PARTICIPACIONES!$P$2:$P$601,"&lt;&gt;En ejecución"),SUMIFS(PARTICIPACIONES!$L$2:$L$601,PARTICIPACIONES!$B$2:$B$601,$B$3,PARTICIPACIONES!$O$2:$O$601,A27,PARTICIPACIONES!$P$2:$P$601,"&lt;&gt;En ejecución"))</f>
        <v/>
      </c>
      <c r="D27" s="16">
        <f>IF($B$6="Sí",SUMIFS(PARTICIPACIONES!$M$2:$M$601,PARTICIPACIONES!$R$2:$R$601,$B$3,PARTICIPACIONES!$O$2:$O$601,A27,PARTICIPACIONES!$P$2:$P$601,"&lt;&gt;En ejecución"),SUMIFS(PARTICIPACIONES!$M$2:$M$601,PARTICIPACIONES!$B$2:$B$601,$B$3,PARTICIPACIONES!$O$2:$O$601,A27,PARTICIPACIONES!$P$2:$P$601,"&lt;&gt;En ejecución"))</f>
        <v/>
      </c>
    </row>
    <row r="28">
      <c r="A28" t="inlineStr">
        <is>
          <t>Gerencia y consultoría de obra</t>
        </is>
      </c>
      <c r="B28">
        <f>IF($B$6="Sí",COUNTIFS(PARTICIPACIONES!$R$2:$R$601,$B$3,PARTICIPACIONES!$O$2:$O$601,A28,PARTICIPACIONES!$P$2:$P$601,"&lt;&gt;En ejecución"),COUNTIFS(PARTICIPACIONES!$B$2:$B$601,$B$3,PARTICIPACIONES!$O$2:$O$601,A28,PARTICIPACIONES!$P$2:$P$601,"&lt;&gt;En ejecución"))</f>
        <v/>
      </c>
      <c r="C28" s="27">
        <f>IF($B$6="Sí",SUMIFS(PARTICIPACIONES!$L$2:$L$601,PARTICIPACIONES!$R$2:$R$601,$B$3,PARTICIPACIONES!$O$2:$O$601,A28,PARTICIPACIONES!$P$2:$P$601,"&lt;&gt;En ejecución"),SUMIFS(PARTICIPACIONES!$L$2:$L$601,PARTICIPACIONES!$B$2:$B$601,$B$3,PARTICIPACIONES!$O$2:$O$601,A28,PARTICIPACIONES!$P$2:$P$601,"&lt;&gt;En ejecución"))</f>
        <v/>
      </c>
      <c r="D28" s="16">
        <f>IF($B$6="Sí",SUMIFS(PARTICIPACIONES!$M$2:$M$601,PARTICIPACIONES!$R$2:$R$601,$B$3,PARTICIPACIONES!$O$2:$O$601,A28,PARTICIPACIONES!$P$2:$P$601,"&lt;&gt;En ejecución"),SUMIFS(PARTICIPACIONES!$M$2:$M$601,PARTICIPACIONES!$B$2:$B$601,$B$3,PARTICIPACIONES!$O$2:$O$601,A28,PARTICIPACIONES!$P$2:$P$601,"&lt;&gt;En ejecución"))</f>
        <v/>
      </c>
    </row>
    <row r="29">
      <c r="A29" t="inlineStr">
        <is>
          <t>Otra</t>
        </is>
      </c>
      <c r="B29">
        <f>IF($B$6="Sí",COUNTIFS(PARTICIPACIONES!$R$2:$R$601,$B$3,PARTICIPACIONES!$O$2:$O$601,A29,PARTICIPACIONES!$P$2:$P$601,"&lt;&gt;En ejecución"),COUNTIFS(PARTICIPACIONES!$B$2:$B$601,$B$3,PARTICIPACIONES!$O$2:$O$601,A29,PARTICIPACIONES!$P$2:$P$601,"&lt;&gt;En ejecución"))</f>
        <v/>
      </c>
      <c r="C29" s="27">
        <f>IF($B$6="Sí",SUMIFS(PARTICIPACIONES!$L$2:$L$601,PARTICIPACIONES!$R$2:$R$601,$B$3,PARTICIPACIONES!$O$2:$O$601,A29,PARTICIPACIONES!$P$2:$P$601,"&lt;&gt;En ejecución"),SUMIFS(PARTICIPACIONES!$L$2:$L$601,PARTICIPACIONES!$B$2:$B$601,$B$3,PARTICIPACIONES!$O$2:$O$601,A29,PARTICIPACIONES!$P$2:$P$601,"&lt;&gt;En ejecución"))</f>
        <v/>
      </c>
      <c r="D29" s="16">
        <f>IF($B$6="Sí",SUMIFS(PARTICIPACIONES!$M$2:$M$601,PARTICIPACIONES!$R$2:$R$601,$B$3,PARTICIPACIONES!$O$2:$O$601,A29,PARTICIPACIONES!$P$2:$P$601,"&lt;&gt;En ejecución"),SUMIFS(PARTICIPACIONES!$M$2:$M$601,PARTICIPACIONES!$B$2:$B$601,$B$3,PARTICIPACIONES!$O$2:$O$601,A29,PARTICIPACIONES!$P$2:$P$601,"&lt;&gt;En ejecución"))</f>
        <v/>
      </c>
    </row>
    <row r="30">
      <c r="A30" t="inlineStr">
        <is>
          <t>Sin especialidad asignada</t>
        </is>
      </c>
      <c r="B30">
        <f>IF($B$6="Sí",COUNTIFS(PARTICIPACIONES!$R$2:$R$601,$B$3,PARTICIPACIONES!$P$2:$P$601,"&lt;&gt;En ejecución"),COUNTIFS(PARTICIPACIONES!$B$2:$B$601,$B$3,PARTICIPACIONES!$P$2:$P$601,"&lt;&gt;En ejecución"))-SUM(B8:B29)</f>
        <v/>
      </c>
      <c r="C30" s="27">
        <f>IF($B$6="Sí",SUMIFS(PARTICIPACIONES!$L$2:$L$601,PARTICIPACIONES!$R$2:$R$601,$B$3,PARTICIPACIONES!$P$2:$P$601,"&lt;&gt;En ejecución"),SUMIFS(PARTICIPACIONES!$L$2:$L$601,PARTICIPACIONES!$B$2:$B$601,$B$3,PARTICIPACIONES!$P$2:$P$601,"&lt;&gt;En ejecución"))-SUM(C8:C29)</f>
        <v/>
      </c>
      <c r="D30" s="16">
        <f>IF($B$6="Sí",SUMIFS(PARTICIPACIONES!$M$2:$M$601,PARTICIPACIONES!$R$2:$R$601,$B$3,PARTICIPACIONES!$P$2:$P$601,"&lt;&gt;En ejecución"),SUMIFS(PARTICIPACIONES!$M$2:$M$601,PARTICIPACIONES!$B$2:$B$601,$B$3,PARTICIPACIONES!$P$2:$P$601,"&lt;&gt;En ejecución"))-SUM(D8:D29)</f>
        <v/>
      </c>
    </row>
    <row r="31">
      <c r="A31" s="22" t="inlineStr">
        <is>
          <t>TOTAL</t>
        </is>
      </c>
      <c r="B31" s="22">
        <f>SUM(B8:B30)</f>
        <v/>
      </c>
      <c r="C31" s="28">
        <f>SUM(C8:C30)</f>
        <v/>
      </c>
      <c r="D31" s="29">
        <f>SUM(D8:D30)</f>
        <v/>
      </c>
    </row>
  </sheetData>
  <dataValidations count="2">
    <dataValidation sqref="B3" showDropDown="0" showInputMessage="0" showErrorMessage="1" allowBlank="1" errorTitle="Sujeto" error="Elija un ID de la hoja SUJETOS." type="list" errorStyle="warning">
      <formula1>=SUJETOS!$A$2:$A$601</formula1>
    </dataValidation>
    <dataValidation sqref="B6" showDropDown="0" showInputMessage="0" showErrorMessage="1" allowBlank="1" errorTitle="Sí / No" error="Elija Sí o No." type="list">
      <formula1>=L_SINO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26" t="inlineStr">
        <is>
          <t>Tipo de cliente</t>
        </is>
      </c>
      <c r="B1" s="26" t="inlineStr">
        <is>
          <t>Estado del contrato</t>
        </is>
      </c>
      <c r="C1" s="26" t="inlineStr">
        <is>
          <t>Forma de ejecución</t>
        </is>
      </c>
      <c r="D1" s="26" t="inlineStr">
        <is>
          <t>Rol en la figura</t>
        </is>
      </c>
      <c r="E1" s="26" t="inlineStr">
        <is>
          <t>Certificación</t>
        </is>
      </c>
      <c r="F1" s="26" t="inlineStr">
        <is>
          <t>Sí / No</t>
        </is>
      </c>
      <c r="G1" s="26" t="inlineStr">
        <is>
          <t>Tipo de sujeto</t>
        </is>
      </c>
      <c r="H1" s="26" t="inlineStr">
        <is>
          <t>Cargo del profesional</t>
        </is>
      </c>
      <c r="I1" s="26" t="inlineStr">
        <is>
          <t>Especialidad</t>
        </is>
      </c>
      <c r="J1" s="26" t="inlineStr">
        <is>
          <t>Tipo de actividad</t>
        </is>
      </c>
      <c r="K1" s="26" t="inlineStr">
        <is>
          <t>Unidad</t>
        </is>
      </c>
      <c r="L1" s="26" t="inlineStr">
        <is>
          <t>Departamento</t>
        </is>
      </c>
    </row>
    <row r="2">
      <c r="A2" t="inlineStr">
        <is>
          <t>Público</t>
        </is>
      </c>
      <c r="B2" t="inlineStr">
        <is>
          <t>En ejecución</t>
        </is>
      </c>
      <c r="C2" t="inlineStr">
        <is>
          <t>Individual</t>
        </is>
      </c>
      <c r="D2" t="inlineStr">
        <is>
          <t>Líder</t>
        </is>
      </c>
      <c r="E2" t="inlineStr">
        <is>
          <t>Sí</t>
        </is>
      </c>
      <c r="F2" t="inlineStr">
        <is>
          <t>Sí</t>
        </is>
      </c>
      <c r="G2" t="inlineStr">
        <is>
          <t>Empresa</t>
        </is>
      </c>
      <c r="H2" t="inlineStr">
        <is>
          <t>Contratista</t>
        </is>
      </c>
      <c r="I2" t="inlineStr">
        <is>
          <t>Acueducto</t>
        </is>
      </c>
      <c r="J2" t="inlineStr">
        <is>
          <t>Construcción</t>
        </is>
      </c>
      <c r="K2" t="inlineStr">
        <is>
          <t>m</t>
        </is>
      </c>
      <c r="L2" t="inlineStr">
        <is>
          <t>Amazonas</t>
        </is>
      </c>
    </row>
    <row r="3">
      <c r="A3" t="inlineStr">
        <is>
          <t>Privado</t>
        </is>
      </c>
      <c r="B3" t="inlineStr">
        <is>
          <t>Terminado</t>
        </is>
      </c>
      <c r="C3" t="inlineStr">
        <is>
          <t>Consorcio</t>
        </is>
      </c>
      <c r="D3" t="inlineStr">
        <is>
          <t>Integrante</t>
        </is>
      </c>
      <c r="E3" t="inlineStr">
        <is>
          <t>Solicitada</t>
        </is>
      </c>
      <c r="F3" t="inlineStr">
        <is>
          <t>No</t>
        </is>
      </c>
      <c r="G3" t="inlineStr">
        <is>
          <t>Persona natural</t>
        </is>
      </c>
      <c r="H3" t="inlineStr">
        <is>
          <t>Constructor</t>
        </is>
      </c>
      <c r="I3" t="inlineStr">
        <is>
          <t>Alcantarillado</t>
        </is>
      </c>
      <c r="J3" t="inlineStr">
        <is>
          <t>Mejoramiento / rehabilitación</t>
        </is>
      </c>
      <c r="K3" t="inlineStr">
        <is>
          <t>ml</t>
        </is>
      </c>
      <c r="L3" t="inlineStr">
        <is>
          <t>Antioquia</t>
        </is>
      </c>
    </row>
    <row r="4">
      <c r="A4" t="inlineStr">
        <is>
          <t>Concesionario</t>
        </is>
      </c>
      <c r="B4" t="inlineStr">
        <is>
          <t>Liquidado</t>
        </is>
      </c>
      <c r="C4" t="inlineStr">
        <is>
          <t>Unión temporal</t>
        </is>
      </c>
      <c r="E4" t="inlineStr">
        <is>
          <t>Pendiente</t>
        </is>
      </c>
      <c r="H4" t="inlineStr">
        <is>
          <t>Director de obra</t>
        </is>
      </c>
      <c r="I4" t="inlineStr">
        <is>
          <t>Canales y obras hidráulicas</t>
        </is>
      </c>
      <c r="J4" t="inlineStr">
        <is>
          <t>Mantenimiento</t>
        </is>
      </c>
      <c r="K4" t="inlineStr">
        <is>
          <t>m²</t>
        </is>
      </c>
      <c r="L4" t="inlineStr">
        <is>
          <t>Arauca</t>
        </is>
      </c>
    </row>
    <row r="5">
      <c r="A5" t="inlineStr">
        <is>
          <t>Otro</t>
        </is>
      </c>
      <c r="B5" t="inlineStr">
        <is>
          <t>Suspendido</t>
        </is>
      </c>
      <c r="C5" t="inlineStr">
        <is>
          <t>Otra</t>
        </is>
      </c>
      <c r="E5" t="inlineStr">
        <is>
          <t>No</t>
        </is>
      </c>
      <c r="H5" t="inlineStr">
        <is>
          <t>Residente de obra</t>
        </is>
      </c>
      <c r="I5" t="inlineStr">
        <is>
          <t>Tanques y almacenamiento</t>
        </is>
      </c>
      <c r="J5" t="inlineStr">
        <is>
          <t>Ampliación / optimización</t>
        </is>
      </c>
      <c r="K5" t="inlineStr">
        <is>
          <t>m³</t>
        </is>
      </c>
      <c r="L5" t="inlineStr">
        <is>
          <t>Atlántico</t>
        </is>
      </c>
    </row>
    <row r="6">
      <c r="H6" t="inlineStr">
        <is>
          <t>Interventor</t>
        </is>
      </c>
      <c r="I6" t="inlineStr">
        <is>
          <t>Riego y adecuación de tierras</t>
        </is>
      </c>
      <c r="J6" t="inlineStr">
        <is>
          <t>Suministro e instalación</t>
        </is>
      </c>
      <c r="K6" t="inlineStr">
        <is>
          <t>km</t>
        </is>
      </c>
      <c r="L6" t="inlineStr">
        <is>
          <t>Bogotá D.C.</t>
        </is>
      </c>
    </row>
    <row r="7">
      <c r="H7" t="inlineStr">
        <is>
          <t>Gerente de proyecto</t>
        </is>
      </c>
      <c r="I7" t="inlineStr">
        <is>
          <t>Vías y carreteras</t>
        </is>
      </c>
      <c r="J7" t="inlineStr">
        <is>
          <t>Interventoría</t>
        </is>
      </c>
      <c r="K7" t="inlineStr">
        <is>
          <t>un</t>
        </is>
      </c>
      <c r="L7" t="inlineStr">
        <is>
          <t>Bolívar</t>
        </is>
      </c>
    </row>
    <row r="8">
      <c r="H8" t="inlineStr">
        <is>
          <t>Otro</t>
        </is>
      </c>
      <c r="I8" t="inlineStr">
        <is>
          <t>Puentes</t>
        </is>
      </c>
      <c r="J8" t="inlineStr">
        <is>
          <t>Diseño / consultoría</t>
        </is>
      </c>
      <c r="K8" t="inlineStr">
        <is>
          <t>kg</t>
        </is>
      </c>
      <c r="L8" t="inlineStr">
        <is>
          <t>Boyacá</t>
        </is>
      </c>
    </row>
    <row r="9">
      <c r="I9" t="inlineStr">
        <is>
          <t>Vivienda</t>
        </is>
      </c>
      <c r="K9" t="inlineStr">
        <is>
          <t>ton</t>
        </is>
      </c>
      <c r="L9" t="inlineStr">
        <is>
          <t>Caldas</t>
        </is>
      </c>
    </row>
    <row r="10">
      <c r="I10" t="inlineStr">
        <is>
          <t>Edificaciones educativas</t>
        </is>
      </c>
      <c r="K10" t="inlineStr">
        <is>
          <t>global</t>
        </is>
      </c>
      <c r="L10" t="inlineStr">
        <is>
          <t>Caquetá</t>
        </is>
      </c>
    </row>
    <row r="11">
      <c r="I11" t="inlineStr">
        <is>
          <t>Edificaciones deportivas y recreativas</t>
        </is>
      </c>
      <c r="K11" t="inlineStr">
        <is>
          <t>Otra</t>
        </is>
      </c>
      <c r="L11" t="inlineStr">
        <is>
          <t>Casanare</t>
        </is>
      </c>
    </row>
    <row r="12">
      <c r="I12" t="inlineStr">
        <is>
          <t>Centros de integración ciudadana</t>
        </is>
      </c>
      <c r="L12" t="inlineStr">
        <is>
          <t>Cauca</t>
        </is>
      </c>
    </row>
    <row r="13">
      <c r="I13" t="inlineStr">
        <is>
          <t>Edificaciones de salud</t>
        </is>
      </c>
      <c r="L13" t="inlineStr">
        <is>
          <t>Cesar</t>
        </is>
      </c>
    </row>
    <row r="14">
      <c r="I14" t="inlineStr">
        <is>
          <t>Edificaciones institucionales y oficinas</t>
        </is>
      </c>
      <c r="L14" t="inlineStr">
        <is>
          <t>Chocó</t>
        </is>
      </c>
    </row>
    <row r="15">
      <c r="I15" t="inlineStr">
        <is>
          <t>Mataderos y plazas</t>
        </is>
      </c>
      <c r="L15" t="inlineStr">
        <is>
          <t>Córdoba</t>
        </is>
      </c>
    </row>
    <row r="16">
      <c r="I16" t="inlineStr">
        <is>
          <t>Mitigación y gestión del riesgo</t>
        </is>
      </c>
      <c r="L16" t="inlineStr">
        <is>
          <t>Cundinamarca</t>
        </is>
      </c>
    </row>
    <row r="17">
      <c r="I17" t="inlineStr">
        <is>
          <t>Redes eléctricas</t>
        </is>
      </c>
      <c r="L17" t="inlineStr">
        <is>
          <t>Guainía</t>
        </is>
      </c>
    </row>
    <row r="18">
      <c r="I18" t="inlineStr">
        <is>
          <t>Redes de gas</t>
        </is>
      </c>
      <c r="L18" t="inlineStr">
        <is>
          <t>Guaviare</t>
        </is>
      </c>
    </row>
    <row r="19">
      <c r="I19" t="inlineStr">
        <is>
          <t>Tuberías e instalaciones</t>
        </is>
      </c>
      <c r="L19" t="inlineStr">
        <is>
          <t>Huila</t>
        </is>
      </c>
    </row>
    <row r="20">
      <c r="I20" t="inlineStr">
        <is>
          <t>Obra civil general</t>
        </is>
      </c>
      <c r="L20" t="inlineStr">
        <is>
          <t>La Guajira</t>
        </is>
      </c>
    </row>
    <row r="21">
      <c r="I21" t="inlineStr">
        <is>
          <t>Interventoría</t>
        </is>
      </c>
      <c r="L21" t="inlineStr">
        <is>
          <t>Magdalena</t>
        </is>
      </c>
    </row>
    <row r="22">
      <c r="I22" t="inlineStr">
        <is>
          <t>Gerencia y consultoría de obra</t>
        </is>
      </c>
      <c r="L22" t="inlineStr">
        <is>
          <t>Meta</t>
        </is>
      </c>
    </row>
    <row r="23">
      <c r="I23" t="inlineStr">
        <is>
          <t>Otra</t>
        </is>
      </c>
      <c r="L23" t="inlineStr">
        <is>
          <t>Nariño</t>
        </is>
      </c>
    </row>
    <row r="24">
      <c r="L24" t="inlineStr">
        <is>
          <t>Norte de Santander</t>
        </is>
      </c>
    </row>
    <row r="25">
      <c r="L25" t="inlineStr">
        <is>
          <t>Putumayo</t>
        </is>
      </c>
    </row>
    <row r="26">
      <c r="L26" t="inlineStr">
        <is>
          <t>Quindío</t>
        </is>
      </c>
    </row>
    <row r="27">
      <c r="L27" t="inlineStr">
        <is>
          <t>Risaralda</t>
        </is>
      </c>
    </row>
    <row r="28">
      <c r="L28" t="inlineStr">
        <is>
          <t>San Andrés y Providencia</t>
        </is>
      </c>
    </row>
    <row r="29">
      <c r="L29" t="inlineStr">
        <is>
          <t>Santander</t>
        </is>
      </c>
    </row>
    <row r="30">
      <c r="L30" t="inlineStr">
        <is>
          <t>Sucre</t>
        </is>
      </c>
    </row>
    <row r="31">
      <c r="L31" t="inlineStr">
        <is>
          <t>Tolima</t>
        </is>
      </c>
    </row>
    <row r="32">
      <c r="L32" t="inlineStr">
        <is>
          <t>Valle del Cauca</t>
        </is>
      </c>
    </row>
    <row r="33">
      <c r="L33" t="inlineStr">
        <is>
          <t>Vaupés</t>
        </is>
      </c>
    </row>
    <row r="34">
      <c r="L34" t="inlineStr">
        <is>
          <t>Vichada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8C8D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6" customWidth="1" min="3" max="3"/>
    <col width="3" customWidth="1" min="4" max="4"/>
    <col width="40" customWidth="1" min="5" max="5"/>
  </cols>
  <sheetData>
    <row r="1">
      <c r="A1" s="26" t="inlineStr">
        <is>
          <t>Año</t>
        </is>
      </c>
      <c r="B1" s="26" t="inlineStr">
        <is>
          <t>Salario mínimo mensual (SMMLV)</t>
        </is>
      </c>
      <c r="C1" s="26" t="inlineStr">
        <is>
          <t>Verificación</t>
        </is>
      </c>
      <c r="E1" s="22" t="inlineStr">
        <is>
          <t>Año de referencia para actualizar valores</t>
        </is>
      </c>
    </row>
    <row r="2">
      <c r="A2" t="n">
        <v>1990</v>
      </c>
      <c r="B2" s="16" t="n">
        <v>41025</v>
      </c>
      <c r="C2" t="inlineStr">
        <is>
          <t>Coincide con los valores implícitos en los archivos de experiencia</t>
        </is>
      </c>
      <c r="E2" s="30" t="n">
        <v>2026</v>
      </c>
    </row>
    <row r="3">
      <c r="A3" t="n">
        <v>1991</v>
      </c>
      <c r="B3" s="16" t="n">
        <v>51720</v>
      </c>
      <c r="C3" t="inlineStr">
        <is>
          <t>Por verificar contra el decreto del año antes de usar en una propuesta</t>
        </is>
      </c>
      <c r="E3" s="22" t="inlineStr">
        <is>
          <t>SMMLV del año de referencia</t>
        </is>
      </c>
    </row>
    <row r="4">
      <c r="A4" t="n">
        <v>1992</v>
      </c>
      <c r="B4" s="16" t="n">
        <v>65190</v>
      </c>
      <c r="C4" t="inlineStr">
        <is>
          <t>Por verificar contra el decreto del año antes de usar en una propuesta</t>
        </is>
      </c>
      <c r="E4" s="16">
        <f>IFERROR(VLOOKUP(E2,A2:B38,2,FALSE),"")</f>
        <v/>
      </c>
    </row>
    <row r="5">
      <c r="A5" t="n">
        <v>1993</v>
      </c>
      <c r="B5" s="16" t="n">
        <v>81510</v>
      </c>
      <c r="C5" t="inlineStr">
        <is>
          <t>Coincide con los valores implícitos en los archivos de experiencia</t>
        </is>
      </c>
    </row>
    <row r="6">
      <c r="A6" t="n">
        <v>1994</v>
      </c>
      <c r="B6" s="16" t="n">
        <v>98700</v>
      </c>
      <c r="C6" t="inlineStr">
        <is>
          <t>Coincide con los valores implícitos en los archivos de experiencia</t>
        </is>
      </c>
      <c r="E6" s="2" t="inlineStr">
        <is>
          <t>Cambie E2 para actualizar todos los valores del libro a otro año. Para años nuevos, agregue una fila al final de la tabla.</t>
        </is>
      </c>
    </row>
    <row r="7">
      <c r="A7" t="n">
        <v>1995</v>
      </c>
      <c r="B7" s="16" t="n">
        <v>118934</v>
      </c>
      <c r="C7" t="inlineStr">
        <is>
          <t>Coincide con los valores implícitos en los archivos de experiencia</t>
        </is>
      </c>
    </row>
    <row r="8">
      <c r="A8" t="n">
        <v>1996</v>
      </c>
      <c r="B8" s="16" t="n">
        <v>142125</v>
      </c>
      <c r="C8" t="inlineStr">
        <is>
          <t>Coincide con los valores implícitos en los archivos de experiencia</t>
        </is>
      </c>
    </row>
    <row r="9">
      <c r="A9" t="n">
        <v>1997</v>
      </c>
      <c r="B9" s="16" t="n">
        <v>172005</v>
      </c>
      <c r="C9" t="inlineStr">
        <is>
          <t>Coincide con los valores implícitos en los archivos de experiencia</t>
        </is>
      </c>
    </row>
    <row r="10">
      <c r="A10" t="n">
        <v>1998</v>
      </c>
      <c r="B10" s="16" t="n">
        <v>203826</v>
      </c>
      <c r="C10" t="inlineStr">
        <is>
          <t>Coincide con los valores implícitos en los archivos de experiencia</t>
        </is>
      </c>
    </row>
    <row r="11">
      <c r="A11" t="n">
        <v>1999</v>
      </c>
      <c r="B11" s="16" t="n">
        <v>236460</v>
      </c>
      <c r="C11" t="inlineStr">
        <is>
          <t>Coincide con los valores implícitos en los archivos de experiencia</t>
        </is>
      </c>
    </row>
    <row r="12">
      <c r="A12" t="n">
        <v>2000</v>
      </c>
      <c r="B12" s="16" t="n">
        <v>260100</v>
      </c>
      <c r="C12" t="inlineStr">
        <is>
          <t>Coincide con los valores implícitos en los archivos de experiencia</t>
        </is>
      </c>
    </row>
    <row r="13">
      <c r="A13" t="n">
        <v>2001</v>
      </c>
      <c r="B13" s="16" t="n">
        <v>286000</v>
      </c>
      <c r="C13" t="inlineStr">
        <is>
          <t>Coincide con los valores implícitos en los archivos de experiencia</t>
        </is>
      </c>
    </row>
    <row r="14">
      <c r="A14" t="n">
        <v>2002</v>
      </c>
      <c r="B14" s="16" t="n">
        <v>309000</v>
      </c>
      <c r="C14" t="inlineStr">
        <is>
          <t>Coincide con los valores implícitos en los archivos de experiencia</t>
        </is>
      </c>
    </row>
    <row r="15">
      <c r="A15" t="n">
        <v>2003</v>
      </c>
      <c r="B15" s="16" t="n">
        <v>332000</v>
      </c>
      <c r="C15" t="inlineStr">
        <is>
          <t>Coincide con los valores implícitos en los archivos de experiencia</t>
        </is>
      </c>
    </row>
    <row r="16">
      <c r="A16" t="n">
        <v>2004</v>
      </c>
      <c r="B16" s="16" t="n">
        <v>358000</v>
      </c>
      <c r="C16" t="inlineStr">
        <is>
          <t>Coincide con los valores implícitos en los archivos de experiencia</t>
        </is>
      </c>
    </row>
    <row r="17">
      <c r="A17" t="n">
        <v>2005</v>
      </c>
      <c r="B17" s="16" t="n">
        <v>381500</v>
      </c>
      <c r="C17" t="inlineStr">
        <is>
          <t>Coincide con los valores implícitos en los archivos de experiencia</t>
        </is>
      </c>
    </row>
    <row r="18">
      <c r="A18" t="n">
        <v>2006</v>
      </c>
      <c r="B18" s="16" t="n">
        <v>408000</v>
      </c>
      <c r="C18" t="inlineStr">
        <is>
          <t>Coincide con los valores implícitos en los archivos de experiencia</t>
        </is>
      </c>
    </row>
    <row r="19">
      <c r="A19" t="n">
        <v>2007</v>
      </c>
      <c r="B19" s="16" t="n">
        <v>433700</v>
      </c>
      <c r="C19" t="inlineStr">
        <is>
          <t>Coincide con los valores implícitos en los archivos de experiencia</t>
        </is>
      </c>
    </row>
    <row r="20">
      <c r="A20" t="n">
        <v>2008</v>
      </c>
      <c r="B20" s="16" t="n">
        <v>461500</v>
      </c>
      <c r="C20" t="inlineStr">
        <is>
          <t>Coincide con los valores implícitos en los archivos de experiencia</t>
        </is>
      </c>
    </row>
    <row r="21">
      <c r="A21" t="n">
        <v>2009</v>
      </c>
      <c r="B21" s="16" t="n">
        <v>496900</v>
      </c>
      <c r="C21" t="inlineStr">
        <is>
          <t>Coincide con los valores implícitos en los archivos de experiencia</t>
        </is>
      </c>
    </row>
    <row r="22">
      <c r="A22" t="n">
        <v>2010</v>
      </c>
      <c r="B22" s="16" t="n">
        <v>515000</v>
      </c>
      <c r="C22" t="inlineStr">
        <is>
          <t>Coincide con los valores implícitos en los archivos de experiencia</t>
        </is>
      </c>
    </row>
    <row r="23">
      <c r="A23" t="n">
        <v>2011</v>
      </c>
      <c r="B23" s="16" t="n">
        <v>535600</v>
      </c>
      <c r="C23" t="inlineStr">
        <is>
          <t>Coincide con los valores implícitos en los archivos de experiencia</t>
        </is>
      </c>
    </row>
    <row r="24">
      <c r="A24" t="n">
        <v>2012</v>
      </c>
      <c r="B24" s="16" t="n">
        <v>566700</v>
      </c>
      <c r="C24" t="inlineStr">
        <is>
          <t>Coincide con los valores implícitos en los archivos de experiencia</t>
        </is>
      </c>
    </row>
    <row r="25">
      <c r="A25" t="n">
        <v>2013</v>
      </c>
      <c r="B25" s="16" t="n">
        <v>589500</v>
      </c>
      <c r="C25" t="inlineStr">
        <is>
          <t>Coincide con los valores implícitos en los archivos de experiencia</t>
        </is>
      </c>
    </row>
    <row r="26">
      <c r="A26" t="n">
        <v>2014</v>
      </c>
      <c r="B26" s="16" t="n">
        <v>616000</v>
      </c>
      <c r="C26" t="inlineStr">
        <is>
          <t>Coincide con los valores implícitos en los archivos de experiencia</t>
        </is>
      </c>
    </row>
    <row r="27">
      <c r="A27" t="n">
        <v>2015</v>
      </c>
      <c r="B27" s="16" t="n">
        <v>644350</v>
      </c>
      <c r="C27" t="inlineStr">
        <is>
          <t>Coincide con los valores implícitos en los archivos de experiencia</t>
        </is>
      </c>
    </row>
    <row r="28">
      <c r="A28" t="n">
        <v>2016</v>
      </c>
      <c r="B28" s="16" t="n">
        <v>689455</v>
      </c>
      <c r="C28" t="inlineStr">
        <is>
          <t>Coincide con los valores implícitos en los archivos de experiencia</t>
        </is>
      </c>
    </row>
    <row r="29">
      <c r="A29" t="n">
        <v>2017</v>
      </c>
      <c r="B29" s="16" t="n">
        <v>737717</v>
      </c>
      <c r="C29" t="inlineStr">
        <is>
          <t>Coincide con los valores implícitos en los archivos de experiencia</t>
        </is>
      </c>
    </row>
    <row r="30">
      <c r="A30" t="n">
        <v>2018</v>
      </c>
      <c r="B30" s="16" t="n">
        <v>781242</v>
      </c>
      <c r="C30" t="inlineStr">
        <is>
          <t>Coincide con los valores implícitos en los archivos de experiencia</t>
        </is>
      </c>
    </row>
    <row r="31">
      <c r="A31" t="n">
        <v>2019</v>
      </c>
      <c r="B31" s="16" t="n">
        <v>828116</v>
      </c>
      <c r="C31" t="inlineStr">
        <is>
          <t>Por verificar contra el decreto del año antes de usar en una propuesta</t>
        </is>
      </c>
    </row>
    <row r="32">
      <c r="A32" t="n">
        <v>2020</v>
      </c>
      <c r="B32" s="16" t="n">
        <v>877803</v>
      </c>
      <c r="C32" t="inlineStr">
        <is>
          <t>Coincide con los valores implícitos en los archivos de experiencia</t>
        </is>
      </c>
    </row>
    <row r="33">
      <c r="A33" t="n">
        <v>2021</v>
      </c>
      <c r="B33" s="16" t="n">
        <v>908526</v>
      </c>
      <c r="C33" t="inlineStr">
        <is>
          <t>Coincide con los valores implícitos en los archivos de experiencia</t>
        </is>
      </c>
    </row>
    <row r="34">
      <c r="A34" t="n">
        <v>2022</v>
      </c>
      <c r="B34" s="16" t="n">
        <v>1000000</v>
      </c>
      <c r="C34" t="inlineStr">
        <is>
          <t>Por verificar contra el decreto del año antes de usar en una propuesta</t>
        </is>
      </c>
    </row>
    <row r="35">
      <c r="A35" t="n">
        <v>2023</v>
      </c>
      <c r="B35" s="16" t="n">
        <v>1160000</v>
      </c>
      <c r="C35" t="inlineStr">
        <is>
          <t>Coincide con los valores implícitos en los archivos de experiencia</t>
        </is>
      </c>
    </row>
    <row r="36">
      <c r="A36" t="n">
        <v>2024</v>
      </c>
      <c r="B36" s="16" t="n">
        <v>1300000</v>
      </c>
      <c r="C36" t="inlineStr">
        <is>
          <t>Por verificar contra el decreto del año antes de usar en una propuesta</t>
        </is>
      </c>
    </row>
    <row r="37">
      <c r="A37" t="n">
        <v>2025</v>
      </c>
      <c r="B37" s="16" t="n">
        <v>1423500</v>
      </c>
      <c r="C37" t="inlineStr">
        <is>
          <t>Por verificar contra el decreto del año antes de usar en una propuesta</t>
        </is>
      </c>
    </row>
    <row r="38">
      <c r="A38" t="n">
        <v>2026</v>
      </c>
      <c r="B38" s="16" t="n">
        <v>1750905</v>
      </c>
      <c r="C38" t="inlineStr">
        <is>
          <t>Coincide con los valores implícitos en los archivos de experiencia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8C8D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4" customWidth="1" min="3" max="3"/>
    <col width="62" customWidth="1" min="4" max="4"/>
    <col width="22" customWidth="1" min="5" max="5"/>
    <col width="22" customWidth="1" min="6" max="6"/>
  </cols>
  <sheetData>
    <row r="1">
      <c r="A1" s="26" t="inlineStr">
        <is>
          <t>Entidad (nombre a usar)</t>
        </is>
      </c>
      <c r="B1" s="26" t="inlineStr">
        <is>
          <t>Otras formas en que aparece</t>
        </is>
      </c>
      <c r="C1" s="26" t="inlineStr">
        <is>
          <t>Veces en los 4 archivos</t>
        </is>
      </c>
      <c r="D1" s="26" t="inlineStr">
        <is>
          <t>Posibles relacionadas (decidir a mano)</t>
        </is>
      </c>
      <c r="E1" s="26" t="inlineStr">
        <is>
          <t>Departamento</t>
        </is>
      </c>
      <c r="F1" s="26" t="inlineStr">
        <is>
          <t>Municipio</t>
        </is>
      </c>
    </row>
    <row r="2">
      <c r="A2" t="inlineStr">
        <is>
          <t>Alcaldía de Ejemplo</t>
        </is>
      </c>
      <c r="C2" t="n">
        <v>0</v>
      </c>
    </row>
    <row r="3">
      <c r="A3" t="inlineStr">
        <is>
          <t>Gobernación de Ejemplo</t>
        </is>
      </c>
      <c r="C3" t="n">
        <v>0</v>
      </c>
    </row>
    <row r="4">
      <c r="A4" t="inlineStr">
        <is>
          <t>Empresa de Gas de Ejemplo S.A. E.S.P.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2026-10-07T19:16:07Z</dcterms:created>
  <dcterms:modified xmlns:dcterms="http://purl.org/dc/terms/" xmlns:xsi="http://www.w3.org/2001/XMLSchema-instance" xsi:type="dcterms:W3CDTF">2026-10-07T19:16:08Z</dcterms:modified>
</cp:coreProperties>
</file>